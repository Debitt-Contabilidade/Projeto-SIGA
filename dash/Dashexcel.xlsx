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sh" sheetId="1" r:id="rId1"/>
    <sheet name="NF-e de Entrada" sheetId="2" r:id="rId2"/>
    <sheet name="NF-e de Saída" sheetId="5" r:id="rId3"/>
    <sheet name="Sheet3" sheetId="4" state="hidden" r:id="rId4"/>
  </sheets>
  <definedNames>
    <definedName name="_xlnm._FilterDatabase" localSheetId="0" hidden="1">Dash!$B$2:$F$590</definedName>
    <definedName name="ExternalData_1" localSheetId="1" hidden="1">'NF-e de Entrada'!$A$1:$H$2763</definedName>
    <definedName name="ExternalData_1" localSheetId="2" hidden="1">'NF-e de Saída'!$A$1:$G$324</definedName>
    <definedName name="ExternalData_1" localSheetId="3" hidden="1">Sheet3!$A$1:$E$308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H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I3" i="1"/>
  <c r="H3" i="1"/>
  <c r="H1" i="1" s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I1" i="1" l="1"/>
  <c r="G1" i="1"/>
  <c r="F1" i="1"/>
</calcChain>
</file>

<file path=xl/connections.xml><?xml version="1.0" encoding="utf-8"?>
<connections xmlns="http://schemas.openxmlformats.org/spreadsheetml/2006/main">
  <connection id="1" keepAlive="1" name="Query - cadastro_empresas" description="Connection to the 'cadastro_empresas' query in the workbook." type="5" refreshedVersion="6" background="1" saveData="1">
    <dbPr connection="Provider=Microsoft.Mashup.OleDb.1;Data Source=$Workbook$;Location=cadastro_empresas;Extended Properties=&quot;&quot;" command="SELECT * FROM [cadastro_empresas]"/>
  </connection>
  <connection id="2" keepAlive="1" name="Query - entradas_competencia" description="Connection to the 'entradas_competencia' query in the workbook." type="5" refreshedVersion="6" background="1" saveData="1">
    <dbPr connection="Provider=Microsoft.Mashup.OleDb.1;Data Source=$Workbook$;Location=entradas_competencia;Extended Properties=&quot;&quot;" command="SELECT * FROM [entradas_competencia]"/>
  </connection>
  <connection id="3" keepAlive="1" name="Query - saidas_competencia" description="Connection to the 'saidas_competencia' query in the workbook." type="5" refreshedVersion="6" background="1" saveData="1">
    <dbPr connection="Provider=Microsoft.Mashup.OleDb.1;Data Source=$Workbook$;Location=saidas_competencia;Extended Properties=&quot;&quot;" command="SELECT * FROM [saidas_competencia]"/>
  </connection>
  <connection id="4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6" keepAlive="1" name="Query - Sample File Parameter1" description="Connection to the 'Sample File Parameter1' query in the workbook." type="5" refreshedVersion="0" background="1">
    <dbPr connection="Provider=Microsoft.Mashup.OleDb.1;Data Source=$Workbook$;Location=&quot;Sample File Parameter1&quot;;Extended Properties=&quot;&quot;" command="SELECT * FROM [Sample File Parameter1]"/>
  </connection>
  <connection id="7" keepAlive="1" name="Query - Sample File Parameter2" description="Connection to the 'Sample File Parameter2' query in the workbook." type="5" refreshedVersion="0" background="1">
    <dbPr connection="Provider=Microsoft.Mashup.OleDb.1;Data Source=$Workbook$;Location=&quot;Sample File Parameter2&quot;;Extended Properties=&quot;&quot;" command="SELECT * FROM [Sample File Parameter2]"/>
  </connection>
  <connection id="8" keepAlive="1" name="Query - Transform File from entradas_competencia" description="Connection to the 'Transform File from entradas_competencia' query in the workbook." type="5" refreshedVersion="0" background="1">
    <dbPr connection="Provider=Microsoft.Mashup.OleDb.1;Data Source=$Workbook$;Location=&quot;Transform File from entradas_competencia&quot;;Extended Properties=&quot;&quot;" command="SELECT * FROM [Transform File from entradas_competencia]"/>
  </connection>
  <connection id="9" keepAlive="1" name="Query - Transform File from saidas_competencia" description="Connection to the 'Transform File from saidas_competencia' query in the workbook." type="5" refreshedVersion="0" background="1">
    <dbPr connection="Provider=Microsoft.Mashup.OleDb.1;Data Source=$Workbook$;Location=&quot;Transform File from saidas_competencia&quot;;Extended Properties=&quot;&quot;" command="SELECT * FROM [Transform File from saidas_competencia]"/>
  </connection>
  <connection id="10" keepAlive="1" name="Query - Transform Sample File from entradas_competencia" description="Connection to the 'Transform Sample File from entradas_competencia' query in the workbook." type="5" refreshedVersion="0" background="1">
    <dbPr connection="Provider=Microsoft.Mashup.OleDb.1;Data Source=$Workbook$;Location=&quot;Transform Sample File from entradas_competencia&quot;;Extended Properties=&quot;&quot;" command="SELECT * FROM [Transform Sample File from entradas_competencia]"/>
  </connection>
  <connection id="11" keepAlive="1" name="Query - Transform Sample File from saidas_competencia" description="Connection to the 'Transform Sample File from saidas_competencia' query in the workbook." type="5" refreshedVersion="0" background="1">
    <dbPr connection="Provider=Microsoft.Mashup.OleDb.1;Data Source=$Workbook$;Location=&quot;Transform Sample File from saidas_competencia&quot;;Extended Properties=&quot;&quot;" command="SELECT * FROM [Transform Sample File from saidas_competencia]"/>
  </connection>
</connections>
</file>

<file path=xl/sharedStrings.xml><?xml version="1.0" encoding="utf-8"?>
<sst xmlns="http://schemas.openxmlformats.org/spreadsheetml/2006/main" count="20312" uniqueCount="7338">
  <si>
    <t>Código Domínio</t>
  </si>
  <si>
    <t>CNPJ</t>
  </si>
  <si>
    <t>Numero</t>
  </si>
  <si>
    <t>Chave de Acesso</t>
  </si>
  <si>
    <t>Número</t>
  </si>
  <si>
    <t>Status</t>
  </si>
  <si>
    <t>Tipo</t>
  </si>
  <si>
    <t>Data</t>
  </si>
  <si>
    <t>AUTORIZADA</t>
  </si>
  <si>
    <t>INTERNO</t>
  </si>
  <si>
    <t>2026-06-01</t>
  </si>
  <si>
    <t>CANCELADA</t>
  </si>
  <si>
    <t>4</t>
  </si>
  <si>
    <t>INTERESTADUAL</t>
  </si>
  <si>
    <t>12981026000147</t>
  </si>
  <si>
    <t>24906</t>
  </si>
  <si>
    <t>23260603616846000149550020000249061000312834</t>
  </si>
  <si>
    <t>1232</t>
  </si>
  <si>
    <t>23260615309004000123550010000012321691423897</t>
  </si>
  <si>
    <t>2657600</t>
  </si>
  <si>
    <t>23260663360234000160550010026576001238812342</t>
  </si>
  <si>
    <t>89864</t>
  </si>
  <si>
    <t>23260609035933000199550010000898641411674400</t>
  </si>
  <si>
    <t>3004</t>
  </si>
  <si>
    <t>23260657337442000145550010000030041490030498</t>
  </si>
  <si>
    <t>14626</t>
  </si>
  <si>
    <t>23260612981026000309550010000146261000273215</t>
  </si>
  <si>
    <t>1622</t>
  </si>
  <si>
    <t>23260629080327000100551110000016221006148322</t>
  </si>
  <si>
    <t>1711</t>
  </si>
  <si>
    <t>23260626270614000187550010000017111295067336</t>
  </si>
  <si>
    <t>180753</t>
  </si>
  <si>
    <t>23260603623218000271550030001807531216795817</t>
  </si>
  <si>
    <t>1327819</t>
  </si>
  <si>
    <t>23260605139918000130550000013278191168104498</t>
  </si>
  <si>
    <t>1327818</t>
  </si>
  <si>
    <t>23260605139918000130550000013278181232147434</t>
  </si>
  <si>
    <t>723607</t>
  </si>
  <si>
    <t>23260635229640000152550010007236071755764446</t>
  </si>
  <si>
    <t>1436030</t>
  </si>
  <si>
    <t>23260609662119000102550020014360301014963711</t>
  </si>
  <si>
    <t>23788</t>
  </si>
  <si>
    <t>23260600819007000130550010000237881000143542</t>
  </si>
  <si>
    <t>10055630</t>
  </si>
  <si>
    <t>23260610483444000260550010100556301624507254</t>
  </si>
  <si>
    <t>1160</t>
  </si>
  <si>
    <t>23260623381419000136550010000011601285219060</t>
  </si>
  <si>
    <t>3008</t>
  </si>
  <si>
    <t>23260657337442000145550010000030081409724160</t>
  </si>
  <si>
    <t>1712</t>
  </si>
  <si>
    <t>23260626270614000187550010000017121296064184</t>
  </si>
  <si>
    <t>641</t>
  </si>
  <si>
    <t>23260629004902000188550010000006411638980272</t>
  </si>
  <si>
    <t>152233</t>
  </si>
  <si>
    <t>23260601413264000130550010001522331294400002</t>
  </si>
  <si>
    <t>36410673000167</t>
  </si>
  <si>
    <t>33384059000180</t>
  </si>
  <si>
    <t>2254</t>
  </si>
  <si>
    <t>35260662861054000107550100000022541300000006</t>
  </si>
  <si>
    <t>11235</t>
  </si>
  <si>
    <t>23260607603376000644550010000112351712866847</t>
  </si>
  <si>
    <t>143</t>
  </si>
  <si>
    <t>35260662774357000184550020000001431351495437</t>
  </si>
  <si>
    <t>20743516000133</t>
  </si>
  <si>
    <t>4704335</t>
  </si>
  <si>
    <t>23260601206820003201550010047043351548567025</t>
  </si>
  <si>
    <t>4704348</t>
  </si>
  <si>
    <t>23260601206820003201550010047043481548708050</t>
  </si>
  <si>
    <t>5274360</t>
  </si>
  <si>
    <t>23260607224991000135550010052743601052228947</t>
  </si>
  <si>
    <t>5274368</t>
  </si>
  <si>
    <t>23260607224991000135550010052743681052229216</t>
  </si>
  <si>
    <t>348520</t>
  </si>
  <si>
    <t>23260609070060000155550010003485201547938481</t>
  </si>
  <si>
    <t>339230</t>
  </si>
  <si>
    <t>23260610521559000110550010003392301592033600</t>
  </si>
  <si>
    <t>4716534</t>
  </si>
  <si>
    <t>23260601206820003201550010047165341936681670</t>
  </si>
  <si>
    <t>4716535</t>
  </si>
  <si>
    <t>23260601206820003201550010047165351936681678</t>
  </si>
  <si>
    <t>55022</t>
  </si>
  <si>
    <t>23260622340476000104550010000550221179381660</t>
  </si>
  <si>
    <t>4723166</t>
  </si>
  <si>
    <t>23260601206820003201550010047231661426470580</t>
  </si>
  <si>
    <t>4724066</t>
  </si>
  <si>
    <t>23260601206820003201550010047240661625608220</t>
  </si>
  <si>
    <t>349076</t>
  </si>
  <si>
    <t>23260609070060000155550010003490761912070051</t>
  </si>
  <si>
    <t>349078</t>
  </si>
  <si>
    <t>23260609070060000155550010003490781061658669</t>
  </si>
  <si>
    <t>4733580</t>
  </si>
  <si>
    <t>23260601206820003201550010047335801319432752</t>
  </si>
  <si>
    <t>5279512</t>
  </si>
  <si>
    <t>23260607224991000135550010052795121052873377</t>
  </si>
  <si>
    <t>4734241</t>
  </si>
  <si>
    <t>23260601206820003201550010047342411678679233</t>
  </si>
  <si>
    <t>4734246</t>
  </si>
  <si>
    <t>23260601206820003201550010047342461678710579</t>
  </si>
  <si>
    <t>349299</t>
  </si>
  <si>
    <t>23260609070060000155550010003492991978510551</t>
  </si>
  <si>
    <t>5282031</t>
  </si>
  <si>
    <t>23260607224991000135550010052820311053180642</t>
  </si>
  <si>
    <t>55151</t>
  </si>
  <si>
    <t>23260622340476000104550010000551511942596095</t>
  </si>
  <si>
    <t>1130910</t>
  </si>
  <si>
    <t>23260603606595000111550010011309101206751668</t>
  </si>
  <si>
    <t>349653</t>
  </si>
  <si>
    <t>23260609070060000155550010003496531862986463</t>
  </si>
  <si>
    <t>4762180</t>
  </si>
  <si>
    <t>23260601206820003201550010047621801764891746</t>
  </si>
  <si>
    <t>5287876</t>
  </si>
  <si>
    <t>23260607224991000135550010052878761053829108</t>
  </si>
  <si>
    <t>5287987</t>
  </si>
  <si>
    <t>23260607224991000135550010052879871053847679</t>
  </si>
  <si>
    <t>5288166</t>
  </si>
  <si>
    <t>23260607224991000135550010052881661053858906</t>
  </si>
  <si>
    <t>5288215</t>
  </si>
  <si>
    <t>23260607224991000135550010052882151053861512</t>
  </si>
  <si>
    <t>5288216</t>
  </si>
  <si>
    <t>23260607224991000135550010052882161053861544</t>
  </si>
  <si>
    <t>5288343</t>
  </si>
  <si>
    <t>23260607224991000135550010052883431053871054</t>
  </si>
  <si>
    <t>5288371</t>
  </si>
  <si>
    <t>23260607224991000135550010052883711053873272</t>
  </si>
  <si>
    <t>5288506</t>
  </si>
  <si>
    <t>23260607224991000135550010052885061053887373</t>
  </si>
  <si>
    <t>5289489</t>
  </si>
  <si>
    <t>23260607224991000135550010052894891053976378</t>
  </si>
  <si>
    <t>5289586</t>
  </si>
  <si>
    <t>23260607224991000135550010052895861053995368</t>
  </si>
  <si>
    <t>5430812</t>
  </si>
  <si>
    <t>23260673909566000104550010054308121114211198</t>
  </si>
  <si>
    <t>55359</t>
  </si>
  <si>
    <t>23260622340476000104550010000553591767529133</t>
  </si>
  <si>
    <t>350009</t>
  </si>
  <si>
    <t>23260609070060000155550010003500091276935670</t>
  </si>
  <si>
    <t>350024</t>
  </si>
  <si>
    <t>23260609070060000155550010003500241099877157</t>
  </si>
  <si>
    <t>55399</t>
  </si>
  <si>
    <t>23260622340476000104550010000553991525089730</t>
  </si>
  <si>
    <t>339433</t>
  </si>
  <si>
    <t>23260610521559000110550010003394331255831580</t>
  </si>
  <si>
    <t>339439</t>
  </si>
  <si>
    <t>23260610521559000110550010003394391289288246</t>
  </si>
  <si>
    <t>4786068</t>
  </si>
  <si>
    <t>23260601206820003201550010047860681748066715</t>
  </si>
  <si>
    <t>4786077</t>
  </si>
  <si>
    <t>23260601206820003201550010047860771748176404</t>
  </si>
  <si>
    <t>5293382</t>
  </si>
  <si>
    <t>23260607224991000135550010052933821054431219</t>
  </si>
  <si>
    <t>4793201</t>
  </si>
  <si>
    <t>23260601206820003201550010047932011037999307</t>
  </si>
  <si>
    <t>4793211</t>
  </si>
  <si>
    <t>23260601206820003201550010047932111038218682</t>
  </si>
  <si>
    <t>36220012000179</t>
  </si>
  <si>
    <t>24940</t>
  </si>
  <si>
    <t>23260631544074000112550010000249401230249405</t>
  </si>
  <si>
    <t>7792</t>
  </si>
  <si>
    <t>23260626754720000136550010000077921727350569</t>
  </si>
  <si>
    <t>2491</t>
  </si>
  <si>
    <t>23260628184946000174550010000024911454170110</t>
  </si>
  <si>
    <t>140690</t>
  </si>
  <si>
    <t>35260636846716000151550010001406901584353791</t>
  </si>
  <si>
    <t>35009</t>
  </si>
  <si>
    <t>23260616422478000140550010000350091238861218</t>
  </si>
  <si>
    <t>8981346</t>
  </si>
  <si>
    <t>23260607196033002141550070089813461724134661</t>
  </si>
  <si>
    <t>8981714</t>
  </si>
  <si>
    <t>23260607196033002141550070089817141724134660</t>
  </si>
  <si>
    <t>25016</t>
  </si>
  <si>
    <t>23260631544074000112550010000250161230250160</t>
  </si>
  <si>
    <t>1608</t>
  </si>
  <si>
    <t>23260631520143002878550020000016081794230117</t>
  </si>
  <si>
    <t>7852</t>
  </si>
  <si>
    <t>23260626754720000136550010000078521805107752</t>
  </si>
  <si>
    <t>6745</t>
  </si>
  <si>
    <t>23260626371319000117550010000067451385884091</t>
  </si>
  <si>
    <t>10070254</t>
  </si>
  <si>
    <t>23260610483444000260550010100702541775636325</t>
  </si>
  <si>
    <t>22245</t>
  </si>
  <si>
    <t>41260631520143000158550020000222451649676209</t>
  </si>
  <si>
    <t>25132</t>
  </si>
  <si>
    <t>23260631544074000112550010000251321230251328</t>
  </si>
  <si>
    <t>7894</t>
  </si>
  <si>
    <t>23260626754720000136550010000078941153898800</t>
  </si>
  <si>
    <t>2540</t>
  </si>
  <si>
    <t>23260628184946000174550010000025401297753471</t>
  </si>
  <si>
    <t>18914734000141</t>
  </si>
  <si>
    <t>4921</t>
  </si>
  <si>
    <t>23260611805777000140550020000049211583590538</t>
  </si>
  <si>
    <t>332120</t>
  </si>
  <si>
    <t>26260619300038000299550020003321201554944005</t>
  </si>
  <si>
    <t>332346</t>
  </si>
  <si>
    <t>26260619300038000299550020003323461625506690</t>
  </si>
  <si>
    <t>4534</t>
  </si>
  <si>
    <t>23260653557846000193550010000045341477526383</t>
  </si>
  <si>
    <t>1272</t>
  </si>
  <si>
    <t>23260654648659000188550010000012721067982022</t>
  </si>
  <si>
    <t>403702</t>
  </si>
  <si>
    <t>23260628826394002102550010004037021740408030</t>
  </si>
  <si>
    <t>334850</t>
  </si>
  <si>
    <t>26260619300038000299550020003348501238099089</t>
  </si>
  <si>
    <t>1465822</t>
  </si>
  <si>
    <t>23260608038666000140550010014658221277848650</t>
  </si>
  <si>
    <t>4580</t>
  </si>
  <si>
    <t>23260653557846000193550010000045801610995213</t>
  </si>
  <si>
    <t>1466001</t>
  </si>
  <si>
    <t>23260608038666000140550010014660011564309574</t>
  </si>
  <si>
    <t>1466279</t>
  </si>
  <si>
    <t>23260608038666000140550010014662791655232799</t>
  </si>
  <si>
    <t>4616</t>
  </si>
  <si>
    <t>23260653557846000193550010000046161702485887</t>
  </si>
  <si>
    <t>1974728</t>
  </si>
  <si>
    <t>33260668571041000171550010019747281895786530</t>
  </si>
  <si>
    <t>1466473</t>
  </si>
  <si>
    <t>23260608038666000140550010014664731305488538</t>
  </si>
  <si>
    <t>1466721</t>
  </si>
  <si>
    <t>23260608038666000140550010014667211654556288</t>
  </si>
  <si>
    <t>79525</t>
  </si>
  <si>
    <t>23260658048925000273550010000795251001996321</t>
  </si>
  <si>
    <t>4652</t>
  </si>
  <si>
    <t>23260653557846000193550010000046521905929433</t>
  </si>
  <si>
    <t>1467052</t>
  </si>
  <si>
    <t>23260608038666000140550010014670521071432488</t>
  </si>
  <si>
    <t>404838</t>
  </si>
  <si>
    <t>23260628826394002102550010004048381740408033</t>
  </si>
  <si>
    <t>404884</t>
  </si>
  <si>
    <t>23260628826394002102550010004048841740408036</t>
  </si>
  <si>
    <t>404888</t>
  </si>
  <si>
    <t>23260628826394002102550010004048881740408035</t>
  </si>
  <si>
    <t>404909</t>
  </si>
  <si>
    <t>23260628826394002102550010004049091740408037</t>
  </si>
  <si>
    <t>1467213</t>
  </si>
  <si>
    <t>23260608038666000140550010014672131227121355</t>
  </si>
  <si>
    <t>1467214</t>
  </si>
  <si>
    <t>23260608038666000140550010014672141904927728</t>
  </si>
  <si>
    <t>3584568</t>
  </si>
  <si>
    <t>23260663310411000101550040035845681220964728</t>
  </si>
  <si>
    <t>15122739000143</t>
  </si>
  <si>
    <t>4925</t>
  </si>
  <si>
    <t>23260611805777000140550020000049251585024202</t>
  </si>
  <si>
    <t>332091</t>
  </si>
  <si>
    <t>26260619300038000299550020003320911939324046</t>
  </si>
  <si>
    <t>41</t>
  </si>
  <si>
    <t>23260615122739000143550020000000411399002240</t>
  </si>
  <si>
    <t>1465390</t>
  </si>
  <si>
    <t>23260608038666000140550010014653901745654330</t>
  </si>
  <si>
    <t>1465391</t>
  </si>
  <si>
    <t>23260608038666000140550010014653911827678302</t>
  </si>
  <si>
    <t>2186</t>
  </si>
  <si>
    <t>23260633662355000103550020000021861684580954</t>
  </si>
  <si>
    <t>4076</t>
  </si>
  <si>
    <t>23260631341225000640550010000040761825164775</t>
  </si>
  <si>
    <t>334584</t>
  </si>
  <si>
    <t>26260619300038000299550020003345841224726851</t>
  </si>
  <si>
    <t>403667</t>
  </si>
  <si>
    <t>23260628826394002102550010004036671740408030</t>
  </si>
  <si>
    <t>51259</t>
  </si>
  <si>
    <t>23260622070849000174550010000512591522096109</t>
  </si>
  <si>
    <t>335338</t>
  </si>
  <si>
    <t>26260619300038000299550020003353381997854381</t>
  </si>
  <si>
    <t>403931</t>
  </si>
  <si>
    <t>23260628826394002102550010004039311740408033</t>
  </si>
  <si>
    <t>19274</t>
  </si>
  <si>
    <t>23260636684328000111550010000192741756958255</t>
  </si>
  <si>
    <t>4109</t>
  </si>
  <si>
    <t>23260631341225000640550010000041091825164700</t>
  </si>
  <si>
    <t>4288</t>
  </si>
  <si>
    <t>23260631341225000640550010000042881461520351</t>
  </si>
  <si>
    <t>404964</t>
  </si>
  <si>
    <t>23260628826394002102550010004049641740408039</t>
  </si>
  <si>
    <t>405004</t>
  </si>
  <si>
    <t>23260628826394002102550010004050041740408036</t>
  </si>
  <si>
    <t>8393493000189</t>
  </si>
  <si>
    <t>4923</t>
  </si>
  <si>
    <t>23260611805777000140550020000049231584273182</t>
  </si>
  <si>
    <t>5410654</t>
  </si>
  <si>
    <t>33260619300038000108550010054106541144313265</t>
  </si>
  <si>
    <t>1271</t>
  </si>
  <si>
    <t>23260654648659000188550010000012711562771939</t>
  </si>
  <si>
    <t>51258</t>
  </si>
  <si>
    <t>23260622070849000174550010000512581315973158</t>
  </si>
  <si>
    <t>334971</t>
  </si>
  <si>
    <t>26260619300038000299550020003349711574296647</t>
  </si>
  <si>
    <t>335756</t>
  </si>
  <si>
    <t>26260619300038000299550020003357561228902981</t>
  </si>
  <si>
    <t>403961</t>
  </si>
  <si>
    <t>23260628826394002102550010004039611740408032</t>
  </si>
  <si>
    <t>4582</t>
  </si>
  <si>
    <t>23260653557846000193550010000045821237265302</t>
  </si>
  <si>
    <t>403980</t>
  </si>
  <si>
    <t>23260628826394002102550010004039801740408038</t>
  </si>
  <si>
    <t>403992</t>
  </si>
  <si>
    <t>23260628826394002102550010004039921740408039</t>
  </si>
  <si>
    <t>404299</t>
  </si>
  <si>
    <t>23260628826394002102550010004042991740408036</t>
  </si>
  <si>
    <t>1247</t>
  </si>
  <si>
    <t>23260608393493000189550010000012471510558794</t>
  </si>
  <si>
    <t>404668</t>
  </si>
  <si>
    <t>23260628826394002102550010004046681740408031</t>
  </si>
  <si>
    <t>28942796000110</t>
  </si>
  <si>
    <t>4922</t>
  </si>
  <si>
    <t>23260611805777000140550020000049221583974945</t>
  </si>
  <si>
    <t>403231</t>
  </si>
  <si>
    <t>23260628826394002102550010004032311740408035</t>
  </si>
  <si>
    <t>1465454</t>
  </si>
  <si>
    <t>23260608038666000140550010014654541503272272</t>
  </si>
  <si>
    <t>403482</t>
  </si>
  <si>
    <t>23260628826394002102550010004034821740408035</t>
  </si>
  <si>
    <t>403510</t>
  </si>
  <si>
    <t>23260628826394002102550010004035101740408031</t>
  </si>
  <si>
    <t>1097</t>
  </si>
  <si>
    <t>23260628942796000110550010000010971571281780</t>
  </si>
  <si>
    <t>1465823</t>
  </si>
  <si>
    <t>23260608038666000140550010014658231777192980</t>
  </si>
  <si>
    <t>403896</t>
  </si>
  <si>
    <t>23260628826394002102550010004038961740408032</t>
  </si>
  <si>
    <t>1466722</t>
  </si>
  <si>
    <t>23260608038666000140550010014667221031881715</t>
  </si>
  <si>
    <t>404647</t>
  </si>
  <si>
    <t>23260628826394002102550010004046471740408031</t>
  </si>
  <si>
    <t>404914</t>
  </si>
  <si>
    <t>23260628826394002102550010004049141740408037</t>
  </si>
  <si>
    <t>3584313</t>
  </si>
  <si>
    <t>23260663310411000101550040035843131258243310</t>
  </si>
  <si>
    <t>8427279000104</t>
  </si>
  <si>
    <t>4929</t>
  </si>
  <si>
    <t>23260611805777000140550020000049291699250677</t>
  </si>
  <si>
    <t>4490</t>
  </si>
  <si>
    <t>23260653557846000193550010000044901940457046</t>
  </si>
  <si>
    <t>4500</t>
  </si>
  <si>
    <t>23260653557846000193550010000045001183344689</t>
  </si>
  <si>
    <t>252231</t>
  </si>
  <si>
    <t>23260608038666000221550010002522311404343883</t>
  </si>
  <si>
    <t>4567</t>
  </si>
  <si>
    <t>23260653557846000193550010000045671171251043</t>
  </si>
  <si>
    <t>4594</t>
  </si>
  <si>
    <t>23260653557846000193550010000045941412338653</t>
  </si>
  <si>
    <t>404201</t>
  </si>
  <si>
    <t>23260628826394002102550010004042011740408030</t>
  </si>
  <si>
    <t>4608</t>
  </si>
  <si>
    <t>23260653557846000193550010000046081662111661</t>
  </si>
  <si>
    <t>4620</t>
  </si>
  <si>
    <t>23260653557846000193550010000046201300255260</t>
  </si>
  <si>
    <t>404255</t>
  </si>
  <si>
    <t>23260628826394002102550010004042551740408031</t>
  </si>
  <si>
    <t>4629</t>
  </si>
  <si>
    <t>23260653557846000193550010000046291780439160</t>
  </si>
  <si>
    <t>3580571</t>
  </si>
  <si>
    <t>23260663310411000101550040035805711909863139</t>
  </si>
  <si>
    <t>4646</t>
  </si>
  <si>
    <t>23260653557846000193550010000046461837223170</t>
  </si>
  <si>
    <t>404907</t>
  </si>
  <si>
    <t>23260628826394002102550010004049071740408032</t>
  </si>
  <si>
    <t>404924</t>
  </si>
  <si>
    <t>23260628826394002102550010004049241740408033</t>
  </si>
  <si>
    <t>5646748000694</t>
  </si>
  <si>
    <t>15896</t>
  </si>
  <si>
    <t>23260605646748000180550010000158961453571727</t>
  </si>
  <si>
    <t>5646748000856</t>
  </si>
  <si>
    <t>15897</t>
  </si>
  <si>
    <t>23260605646748000180550010000158971888129308</t>
  </si>
  <si>
    <t>5646748001070</t>
  </si>
  <si>
    <t>15902</t>
  </si>
  <si>
    <t>23260605646748000180550010000159021446369143</t>
  </si>
  <si>
    <t>15907</t>
  </si>
  <si>
    <t>23260605646748000180550010000159071107503340</t>
  </si>
  <si>
    <t>18452941000121</t>
  </si>
  <si>
    <t>48028</t>
  </si>
  <si>
    <t>23260612196927000209550010000480281024727330</t>
  </si>
  <si>
    <t>146445</t>
  </si>
  <si>
    <t>43260689842439000175550030001464451959073865</t>
  </si>
  <si>
    <t>856</t>
  </si>
  <si>
    <t>33260653682430000105550030000008561511587971</t>
  </si>
  <si>
    <t>5657</t>
  </si>
  <si>
    <t>5661</t>
  </si>
  <si>
    <t>5662</t>
  </si>
  <si>
    <t>5667</t>
  </si>
  <si>
    <t>5670</t>
  </si>
  <si>
    <t>5671</t>
  </si>
  <si>
    <t>5674</t>
  </si>
  <si>
    <t>5683</t>
  </si>
  <si>
    <t>5686</t>
  </si>
  <si>
    <t>5709</t>
  </si>
  <si>
    <t>1102</t>
  </si>
  <si>
    <t>5680</t>
  </si>
  <si>
    <t>5689</t>
  </si>
  <si>
    <t>1113</t>
  </si>
  <si>
    <t>1116</t>
  </si>
  <si>
    <t>10463419000133</t>
  </si>
  <si>
    <t>57602</t>
  </si>
  <si>
    <t>23260630128884000125550010000576021377987744</t>
  </si>
  <si>
    <t>5760</t>
  </si>
  <si>
    <t>35260660430812000107550010000057601004640321</t>
  </si>
  <si>
    <t>57694</t>
  </si>
  <si>
    <t>23260630128884000125550010000576941928750925</t>
  </si>
  <si>
    <t>57832</t>
  </si>
  <si>
    <t>23260630128884000125550010000578321964606977</t>
  </si>
  <si>
    <t>57967</t>
  </si>
  <si>
    <t>23260630128884000125550010000579671438639288</t>
  </si>
  <si>
    <t>39755367000150</t>
  </si>
  <si>
    <t>66308</t>
  </si>
  <si>
    <t>23260611226581000109550020000663081151781588</t>
  </si>
  <si>
    <t>59</t>
  </si>
  <si>
    <t>23260663124950000148550010000000591071383637</t>
  </si>
  <si>
    <t>36181497000139</t>
  </si>
  <si>
    <t>1710</t>
  </si>
  <si>
    <t>23260649002376000124550010000017101000263656</t>
  </si>
  <si>
    <t>510860</t>
  </si>
  <si>
    <t>23260607576952000440550010005108601884674388</t>
  </si>
  <si>
    <t>510861</t>
  </si>
  <si>
    <t>23260607576952000440550010005108611443558731</t>
  </si>
  <si>
    <t>80532</t>
  </si>
  <si>
    <t>23260604764277000303550010000805321033685604</t>
  </si>
  <si>
    <t>8995495</t>
  </si>
  <si>
    <t>23260607196033002141550070089954951937274721</t>
  </si>
  <si>
    <t>6768</t>
  </si>
  <si>
    <t>23260631565104018890551740000067681512138110</t>
  </si>
  <si>
    <t>6769</t>
  </si>
  <si>
    <t>23260631565104018890551740000067691512138126</t>
  </si>
  <si>
    <t>1813</t>
  </si>
  <si>
    <t>23260649002376000124550010000018131000270412</t>
  </si>
  <si>
    <t>964693</t>
  </si>
  <si>
    <t>23260656228356007144550370009646931495092454</t>
  </si>
  <si>
    <t>964692</t>
  </si>
  <si>
    <t>23260656228356007144550370009646921417800147</t>
  </si>
  <si>
    <t>467131</t>
  </si>
  <si>
    <t>23260650221019007904550010004671311398725630</t>
  </si>
  <si>
    <t>22749300000100</t>
  </si>
  <si>
    <t>3743</t>
  </si>
  <si>
    <t>23260637700149000193550000000037431265652546</t>
  </si>
  <si>
    <t>268781</t>
  </si>
  <si>
    <t>23260601837729000180550010002687811108956686</t>
  </si>
  <si>
    <t>32084111000110</t>
  </si>
  <si>
    <t>403045</t>
  </si>
  <si>
    <t>23260628826394002102550010004030451740408030</t>
  </si>
  <si>
    <t>403047</t>
  </si>
  <si>
    <t>23260628826394002102550010004030471740408034</t>
  </si>
  <si>
    <t>403049</t>
  </si>
  <si>
    <t>23260628826394002102550010004030491740408039</t>
  </si>
  <si>
    <t>403051</t>
  </si>
  <si>
    <t>23260628826394002102550010004030511740408037</t>
  </si>
  <si>
    <t>403053</t>
  </si>
  <si>
    <t>23260628826394002102550010004030531740408031</t>
  </si>
  <si>
    <t>403055</t>
  </si>
  <si>
    <t>23260628826394002102550010004030551740408036</t>
  </si>
  <si>
    <t>403193</t>
  </si>
  <si>
    <t>23260628826394002102550010004031931740408032</t>
  </si>
  <si>
    <t>56611</t>
  </si>
  <si>
    <t>23260628917988000177550010000566111247303063</t>
  </si>
  <si>
    <t>332322</t>
  </si>
  <si>
    <t>26260619300038000299550020003323221187717740</t>
  </si>
  <si>
    <t>332408</t>
  </si>
  <si>
    <t>26260619300038000299550020003324081788273249</t>
  </si>
  <si>
    <t>56624</t>
  </si>
  <si>
    <t>23260628917988000177550010000566241461525207</t>
  </si>
  <si>
    <t>132260</t>
  </si>
  <si>
    <t>23260600212872000113550030001322601124541278</t>
  </si>
  <si>
    <t>3341396</t>
  </si>
  <si>
    <t>17260607019231000358550010033413961018444614</t>
  </si>
  <si>
    <t>3341431</t>
  </si>
  <si>
    <t>17260607019231000358550010033414311018444968</t>
  </si>
  <si>
    <t>403337</t>
  </si>
  <si>
    <t>23260628826394002102550010004033371740408034</t>
  </si>
  <si>
    <t>403339</t>
  </si>
  <si>
    <t>23260628826394002102550010004033391740408039</t>
  </si>
  <si>
    <t>403341</t>
  </si>
  <si>
    <t>23260628826394002102550010004033411740408037</t>
  </si>
  <si>
    <t>403343</t>
  </si>
  <si>
    <t>23260628826394002102550010004033431740408031</t>
  </si>
  <si>
    <t>403345</t>
  </si>
  <si>
    <t>23260628826394002102550010004033451740408036</t>
  </si>
  <si>
    <t>132310</t>
  </si>
  <si>
    <t>23260600212872000113550030001323101117481528</t>
  </si>
  <si>
    <t>605989</t>
  </si>
  <si>
    <t>35260606106225000103550020006059891247364010</t>
  </si>
  <si>
    <t>1465830</t>
  </si>
  <si>
    <t>23260608038666000140550010014658301771284381</t>
  </si>
  <si>
    <t>606422</t>
  </si>
  <si>
    <t>35260606106225000103550020006064221572617400</t>
  </si>
  <si>
    <t>335070</t>
  </si>
  <si>
    <t>26260619300038000299550020003350701422992495</t>
  </si>
  <si>
    <t>335087</t>
  </si>
  <si>
    <t>26260619300038000299550020003350871879507949</t>
  </si>
  <si>
    <t>403862</t>
  </si>
  <si>
    <t>23260628826394002102550010004038621740408034</t>
  </si>
  <si>
    <t>403865</t>
  </si>
  <si>
    <t>23260628826394002102550010004038651740408036</t>
  </si>
  <si>
    <t>403868</t>
  </si>
  <si>
    <t>23260628826394002102550010004038681740408038</t>
  </si>
  <si>
    <t>403869</t>
  </si>
  <si>
    <t>23260628826394002102550010004038691740408035</t>
  </si>
  <si>
    <t>403871</t>
  </si>
  <si>
    <t>23260628826394002102550010004038711740408033</t>
  </si>
  <si>
    <t>817315</t>
  </si>
  <si>
    <t>35260604233419000144550010008173151698087940</t>
  </si>
  <si>
    <t>404051</t>
  </si>
  <si>
    <t>23260628826394002102550010004040511740408031</t>
  </si>
  <si>
    <t>606821</t>
  </si>
  <si>
    <t>35260606106225000103550020006068211247364110</t>
  </si>
  <si>
    <t>3343732</t>
  </si>
  <si>
    <t>17260607019231000358550010033437321018467995</t>
  </si>
  <si>
    <t>337112</t>
  </si>
  <si>
    <t>26260619300038000299550020003371121520971957</t>
  </si>
  <si>
    <t>337142</t>
  </si>
  <si>
    <t>26260619300038000299550020003371421286518570</t>
  </si>
  <si>
    <t>607203</t>
  </si>
  <si>
    <t>35260606106225000103550020006072031136253136</t>
  </si>
  <si>
    <t>607252</t>
  </si>
  <si>
    <t>35260606106225000103550020006072521025142020</t>
  </si>
  <si>
    <t>404508</t>
  </si>
  <si>
    <t>23260628826394002102550010004045081740408038</t>
  </si>
  <si>
    <t>404510</t>
  </si>
  <si>
    <t>23260628826394002102550010004045101740408036</t>
  </si>
  <si>
    <t>607555</t>
  </si>
  <si>
    <t>35260606106225000103550020006075551350475309</t>
  </si>
  <si>
    <t>607911</t>
  </si>
  <si>
    <t>35260606106225000103550020006079111714031700</t>
  </si>
  <si>
    <t>10684663</t>
  </si>
  <si>
    <t>35260604692027001034550050106846631144497834</t>
  </si>
  <si>
    <t>1467116</t>
  </si>
  <si>
    <t>23260608038666000140550010014671161490398512</t>
  </si>
  <si>
    <t>338823</t>
  </si>
  <si>
    <t>26260619300038000299550020003388231184832400</t>
  </si>
  <si>
    <t>1467234</t>
  </si>
  <si>
    <t>23260608038666000140550010014672341457808867</t>
  </si>
  <si>
    <t>608268</t>
  </si>
  <si>
    <t>35260606106225000103550020006082681136253240</t>
  </si>
  <si>
    <t>24937274000170</t>
  </si>
  <si>
    <t>11618173000194</t>
  </si>
  <si>
    <t>11791</t>
  </si>
  <si>
    <t>23260611618173000194550010000117911004972050</t>
  </si>
  <si>
    <t>20722</t>
  </si>
  <si>
    <t>23260620951181000300550010000207221004973782</t>
  </si>
  <si>
    <t>4628</t>
  </si>
  <si>
    <t>43260640738840000170550020000046281000325369</t>
  </si>
  <si>
    <t>11793</t>
  </si>
  <si>
    <t>23260611618173000194550010000117931004974898</t>
  </si>
  <si>
    <t>5159</t>
  </si>
  <si>
    <t>23260623343540000254550010000051591004975100</t>
  </si>
  <si>
    <t>15792</t>
  </si>
  <si>
    <t>23260620951181000220550010000157921004975184</t>
  </si>
  <si>
    <t>11794</t>
  </si>
  <si>
    <t>23260611618173000194550010000117941004975395</t>
  </si>
  <si>
    <t>11799</t>
  </si>
  <si>
    <t>23260611618173000194550010000117991004980077</t>
  </si>
  <si>
    <t>2159</t>
  </si>
  <si>
    <t>23260620951181000149550010000021591004981517</t>
  </si>
  <si>
    <t>20751</t>
  </si>
  <si>
    <t>23260620951181000300550010000207511004985316</t>
  </si>
  <si>
    <t>11802</t>
  </si>
  <si>
    <t>23260611618173000194550010000118021004989799</t>
  </si>
  <si>
    <t>11801</t>
  </si>
  <si>
    <t>23260611618173000194550010000118011004989635</t>
  </si>
  <si>
    <t>11803</t>
  </si>
  <si>
    <t>23260611618173000194550010000118031004989915</t>
  </si>
  <si>
    <t>11804</t>
  </si>
  <si>
    <t>23260611618173000194550010000118041004990473</t>
  </si>
  <si>
    <t>15827</t>
  </si>
  <si>
    <t>23260620951181000220550010000158271004991195</t>
  </si>
  <si>
    <t>11809</t>
  </si>
  <si>
    <t>23260611618173000194550010000118091004994475</t>
  </si>
  <si>
    <t>11811</t>
  </si>
  <si>
    <t>23260611618173000194550010000118111004995437</t>
  </si>
  <si>
    <t>11813</t>
  </si>
  <si>
    <t>23260611618173000194550010000118131004996470</t>
  </si>
  <si>
    <t>11816</t>
  </si>
  <si>
    <t>23260611618173000194550010000118161004999854</t>
  </si>
  <si>
    <t>20800</t>
  </si>
  <si>
    <t>23260620951181000300550010000208001005001138</t>
  </si>
  <si>
    <t>79685</t>
  </si>
  <si>
    <t>23260658048925000273550010000796851001997925</t>
  </si>
  <si>
    <t>5188</t>
  </si>
  <si>
    <t>23260623343540000254550010000051881005002905</t>
  </si>
  <si>
    <t>11378</t>
  </si>
  <si>
    <t>23260607873084000117550010000113781005010957</t>
  </si>
  <si>
    <t>11618173000437</t>
  </si>
  <si>
    <t>7787</t>
  </si>
  <si>
    <t>23260611618173000437550020000077871004971229</t>
  </si>
  <si>
    <t>8532</t>
  </si>
  <si>
    <t>23260620951181000572550010000085321004972433</t>
  </si>
  <si>
    <t>8533</t>
  </si>
  <si>
    <t>23260620951181000572550010000085331004972457</t>
  </si>
  <si>
    <t>7789</t>
  </si>
  <si>
    <t>23260611618173000437550020000077891004972955</t>
  </si>
  <si>
    <t>5954</t>
  </si>
  <si>
    <t>23260611618173000437550010000059541004973323</t>
  </si>
  <si>
    <t>5955</t>
  </si>
  <si>
    <t>23260611618173000437550010000059551004974122</t>
  </si>
  <si>
    <t>7790</t>
  </si>
  <si>
    <t>23260611618173000437550020000077901004974304</t>
  </si>
  <si>
    <t>7791</t>
  </si>
  <si>
    <t>23260611618173000437550020000077911004974743</t>
  </si>
  <si>
    <t>4627</t>
  </si>
  <si>
    <t>43260640738840000170550020000046271000326830</t>
  </si>
  <si>
    <t>11340</t>
  </si>
  <si>
    <t>23260607873084000117550010000113401004974955</t>
  </si>
  <si>
    <t>23260611618173000437550020000077921004975518</t>
  </si>
  <si>
    <t>7793</t>
  </si>
  <si>
    <t>23260611618173000437550020000077931004976686</t>
  </si>
  <si>
    <t>7794</t>
  </si>
  <si>
    <t>23260611618173000437550020000077941004978066</t>
  </si>
  <si>
    <t>7795</t>
  </si>
  <si>
    <t>23260611618173000437550020000077951004978179</t>
  </si>
  <si>
    <t>5958</t>
  </si>
  <si>
    <t>23260611618173000437550010000059581004979983</t>
  </si>
  <si>
    <t>7796</t>
  </si>
  <si>
    <t>23260611618173000437550020000077961004982181</t>
  </si>
  <si>
    <t>7797</t>
  </si>
  <si>
    <t>23260611618173000437550020000077971004985501</t>
  </si>
  <si>
    <t>7798</t>
  </si>
  <si>
    <t>23260611618173000437550020000077981004985584</t>
  </si>
  <si>
    <t>7800</t>
  </si>
  <si>
    <t>23260611618173000437550020000078001004987323</t>
  </si>
  <si>
    <t>7801</t>
  </si>
  <si>
    <t>23260611618173000437550020000078011004987959</t>
  </si>
  <si>
    <t>7803</t>
  </si>
  <si>
    <t>23260611618173000437550020000078031004991292</t>
  </si>
  <si>
    <t>7804</t>
  </si>
  <si>
    <t>23260611618173000437550020000078041004993063</t>
  </si>
  <si>
    <t>7805</t>
  </si>
  <si>
    <t>23260611618173000437550020000078051004993230</t>
  </si>
  <si>
    <t>5425</t>
  </si>
  <si>
    <t>23260607873084000389550010000054251004995900</t>
  </si>
  <si>
    <t>7806</t>
  </si>
  <si>
    <t>23260611618173000437550020000078061004996458</t>
  </si>
  <si>
    <t>7807</t>
  </si>
  <si>
    <t>23260611618173000437550020000078071004996560</t>
  </si>
  <si>
    <t>7808</t>
  </si>
  <si>
    <t>23260611618173000437550020000078081004997041</t>
  </si>
  <si>
    <t>7809</t>
  </si>
  <si>
    <t>23260611618173000437550020000078091004997332</t>
  </si>
  <si>
    <t>7810</t>
  </si>
  <si>
    <t>23260611618173000437550020000078101004997465</t>
  </si>
  <si>
    <t>5962</t>
  </si>
  <si>
    <t>23260611618173000437550010000059621005000428</t>
  </si>
  <si>
    <t>79667</t>
  </si>
  <si>
    <t>23260658048925000273550010000796671001997749</t>
  </si>
  <si>
    <t>5964</t>
  </si>
  <si>
    <t>23260611618173000437550010000059641005004983</t>
  </si>
  <si>
    <t>7812</t>
  </si>
  <si>
    <t>23260611618173000437550020000078121005005436</t>
  </si>
  <si>
    <t>7813</t>
  </si>
  <si>
    <t>23260611618173000437550020000078131005005735</t>
  </si>
  <si>
    <t>7814</t>
  </si>
  <si>
    <t>23260611618173000437550020000078141005006070</t>
  </si>
  <si>
    <t>7815</t>
  </si>
  <si>
    <t>23260611618173000437550020000078151005006639</t>
  </si>
  <si>
    <t>7816</t>
  </si>
  <si>
    <t>23260611618173000437550020000078161005008655</t>
  </si>
  <si>
    <t>7817</t>
  </si>
  <si>
    <t>23260611618173000437550020000078171005008865</t>
  </si>
  <si>
    <t>7818</t>
  </si>
  <si>
    <t>23260611618173000437550020000078181005009117</t>
  </si>
  <si>
    <t>8584</t>
  </si>
  <si>
    <t>23260620951181000572550010000085841005009951</t>
  </si>
  <si>
    <t>7819</t>
  </si>
  <si>
    <t>23260611618173000437550020000078191005010031</t>
  </si>
  <si>
    <t>15860</t>
  </si>
  <si>
    <t>23260620951181000220550010000158601005010281</t>
  </si>
  <si>
    <t>7820</t>
  </si>
  <si>
    <t>23260611618173000437550020000078201005011900</t>
  </si>
  <si>
    <t>7821</t>
  </si>
  <si>
    <t>23260611618173000437550020000078211005011974</t>
  </si>
  <si>
    <t>8590</t>
  </si>
  <si>
    <t>23260620951181000572550010000085901005012372</t>
  </si>
  <si>
    <t>7822</t>
  </si>
  <si>
    <t>23260611618173000437550020000078221005013630</t>
  </si>
  <si>
    <t>7823</t>
  </si>
  <si>
    <t>23260611618173000437550020000078231005013688</t>
  </si>
  <si>
    <t>7824</t>
  </si>
  <si>
    <t>23260611618173000437550020000078241005014169</t>
  </si>
  <si>
    <t>20951181000149</t>
  </si>
  <si>
    <t>15784</t>
  </si>
  <si>
    <t>23260620951181000220550010000157841004971020</t>
  </si>
  <si>
    <t>11335</t>
  </si>
  <si>
    <t>23260607873084000117550010000113351004971050</t>
  </si>
  <si>
    <t>310</t>
  </si>
  <si>
    <t>35260667005924000151550010000003101640592208</t>
  </si>
  <si>
    <t>15785</t>
  </si>
  <si>
    <t>23260620951181000220550010000157851004971591</t>
  </si>
  <si>
    <t>26092</t>
  </si>
  <si>
    <t>23260616233389006439550010000260921494067684</t>
  </si>
  <si>
    <t>2589</t>
  </si>
  <si>
    <t>23260611618173000194550020000025891004972732</t>
  </si>
  <si>
    <t>2590</t>
  </si>
  <si>
    <t>23260611618173000194550020000025901004972768</t>
  </si>
  <si>
    <t>2591</t>
  </si>
  <si>
    <t>23260611618173000194550020000025911004972790</t>
  </si>
  <si>
    <t>5158</t>
  </si>
  <si>
    <t>23260623343540000254550010000051581004973649</t>
  </si>
  <si>
    <t>4621</t>
  </si>
  <si>
    <t>43260640738840000170550020000046211800324943</t>
  </si>
  <si>
    <t>5956</t>
  </si>
  <si>
    <t>23260611618173000437550010000059561004974910</t>
  </si>
  <si>
    <t>26410</t>
  </si>
  <si>
    <t>23260620951181000491550010000264101004975826</t>
  </si>
  <si>
    <t>5406</t>
  </si>
  <si>
    <t>23260607873084000389550010000054061004976170</t>
  </si>
  <si>
    <t>8538</t>
  </si>
  <si>
    <t>23260620951181000572550010000085381004976653</t>
  </si>
  <si>
    <t>1048</t>
  </si>
  <si>
    <t>23260623570062000134550030000010481459699603</t>
  </si>
  <si>
    <t>20734</t>
  </si>
  <si>
    <t>23260620951181000300550010000207341004980364</t>
  </si>
  <si>
    <t>26419</t>
  </si>
  <si>
    <t>23260620951181000491550010000264191004980418</t>
  </si>
  <si>
    <t>15810</t>
  </si>
  <si>
    <t>23260620951181000220550010000158101004980447</t>
  </si>
  <si>
    <t>5168</t>
  </si>
  <si>
    <t>23260623343540000254550010000051681004980994</t>
  </si>
  <si>
    <t>11345</t>
  </si>
  <si>
    <t>23260607873084000117550010000113451004981567</t>
  </si>
  <si>
    <t>2160</t>
  </si>
  <si>
    <t>23260620951181000149550010000021601004981585</t>
  </si>
  <si>
    <t>2161</t>
  </si>
  <si>
    <t>23260620951181000149550010000021611004981590</t>
  </si>
  <si>
    <t>135986</t>
  </si>
  <si>
    <t>23260601999180000120550010001359861767784005</t>
  </si>
  <si>
    <t>18022</t>
  </si>
  <si>
    <t>23260620951181000149550030000180221004982120</t>
  </si>
  <si>
    <t>18031</t>
  </si>
  <si>
    <t>23260620951181000149550030000180311004983215</t>
  </si>
  <si>
    <t>18034</t>
  </si>
  <si>
    <t>23260620951181000149550030000180341004984183</t>
  </si>
  <si>
    <t>136040</t>
  </si>
  <si>
    <t>23260601999180000120550010001360401444575150</t>
  </si>
  <si>
    <t>218211</t>
  </si>
  <si>
    <t>23260607272825005335550010002182111002182126</t>
  </si>
  <si>
    <t>50913</t>
  </si>
  <si>
    <t>35260602294045000141550030000509131280864851</t>
  </si>
  <si>
    <t>7802</t>
  </si>
  <si>
    <t>23260611618173000437550020000078021004990850</t>
  </si>
  <si>
    <t>26448</t>
  </si>
  <si>
    <t>23260620951181000491550010000264481004991403</t>
  </si>
  <si>
    <t>33780</t>
  </si>
  <si>
    <t>23260643283811020428550010000337801792786420</t>
  </si>
  <si>
    <t>15975</t>
  </si>
  <si>
    <t>23260613627930000111550020000159751752375895</t>
  </si>
  <si>
    <t>21902</t>
  </si>
  <si>
    <t>31260622565355000160550010000219021075572688</t>
  </si>
  <si>
    <t>26452</t>
  </si>
  <si>
    <t>23260620951181000491550010000264521004992518</t>
  </si>
  <si>
    <t>150182</t>
  </si>
  <si>
    <t>42260609115971000151550020001501821729351161</t>
  </si>
  <si>
    <t>8567</t>
  </si>
  <si>
    <t>23260620951181000572550010000085671004993266</t>
  </si>
  <si>
    <t>26460</t>
  </si>
  <si>
    <t>23260620951181000491550010000264601004994423</t>
  </si>
  <si>
    <t>18053</t>
  </si>
  <si>
    <t>23260620951181000149550030000180531004994443</t>
  </si>
  <si>
    <t>11365</t>
  </si>
  <si>
    <t>23260607873084000117550010000113651004994815</t>
  </si>
  <si>
    <t>136189</t>
  </si>
  <si>
    <t>23260601999180000120550010001361891585523110</t>
  </si>
  <si>
    <t>18062</t>
  </si>
  <si>
    <t>23260620951181000149550030000180621004995821</t>
  </si>
  <si>
    <t>9345</t>
  </si>
  <si>
    <t>23260611370085000116550010000093451510776405</t>
  </si>
  <si>
    <t>5184</t>
  </si>
  <si>
    <t>23260623343540000254550010000051841004997238</t>
  </si>
  <si>
    <t>15836</t>
  </si>
  <si>
    <t>23260620951181000220550010000158361004997249</t>
  </si>
  <si>
    <t>11814</t>
  </si>
  <si>
    <t>23260611618173000194550010000118141004997288</t>
  </si>
  <si>
    <t>7811</t>
  </si>
  <si>
    <t>23260611618173000437550020000078111004997551</t>
  </si>
  <si>
    <t>15837</t>
  </si>
  <si>
    <t>23260620951181000220550010000158371004997750</t>
  </si>
  <si>
    <t>15838</t>
  </si>
  <si>
    <t>23260620951181000220550010000158381004997944</t>
  </si>
  <si>
    <t>5960</t>
  </si>
  <si>
    <t>23260611618173000437550010000059601004998005</t>
  </si>
  <si>
    <t>26469</t>
  </si>
  <si>
    <t>23260620951181000491550010000264691004998408</t>
  </si>
  <si>
    <t>5961</t>
  </si>
  <si>
    <t>23260611618173000437550010000059611004998410</t>
  </si>
  <si>
    <t>15841</t>
  </si>
  <si>
    <t>23260620951181000220550010000158411004999160</t>
  </si>
  <si>
    <t>18079</t>
  </si>
  <si>
    <t>23260620951181000149550030000180791004999409</t>
  </si>
  <si>
    <t>20798</t>
  </si>
  <si>
    <t>23260620951181000300550010000207981005000859</t>
  </si>
  <si>
    <t>23260623343540000173550010000078131005002240</t>
  </si>
  <si>
    <t>136325</t>
  </si>
  <si>
    <t>23260601999180000120550010001363251372858789</t>
  </si>
  <si>
    <t>20805</t>
  </si>
  <si>
    <t>23260620951181000300550010000208051005003153</t>
  </si>
  <si>
    <t>5190</t>
  </si>
  <si>
    <t>23260623343540000254550010000051901005004370</t>
  </si>
  <si>
    <t>23260623343540000173550010000078191005006177</t>
  </si>
  <si>
    <t>5193</t>
  </si>
  <si>
    <t>23260623343540000254550010000051931005006200</t>
  </si>
  <si>
    <t>20812</t>
  </si>
  <si>
    <t>23260620951181000300550010000208121005006254</t>
  </si>
  <si>
    <t>87193</t>
  </si>
  <si>
    <t>35260633551356000172550020000871931820434548</t>
  </si>
  <si>
    <t>1567</t>
  </si>
  <si>
    <t>35260644140385000168550030000015671361215416</t>
  </si>
  <si>
    <t>26495</t>
  </si>
  <si>
    <t>23260620951181000491550010000264951005010465</t>
  </si>
  <si>
    <t>11374</t>
  </si>
  <si>
    <t>23260607873084000117550010000113741005010478</t>
  </si>
  <si>
    <t>2209</t>
  </si>
  <si>
    <t>23260620951181000149550010000022091005010594</t>
  </si>
  <si>
    <t>18094</t>
  </si>
  <si>
    <t>23260620951181000149550030000180941005011616</t>
  </si>
  <si>
    <t>3539</t>
  </si>
  <si>
    <t>23260605058439000199550010000035391000035556</t>
  </si>
  <si>
    <t>2212</t>
  </si>
  <si>
    <t>23260620951181000149550010000022121005012444</t>
  </si>
  <si>
    <t>2213</t>
  </si>
  <si>
    <t>23260620951181000149550010000022131005012492</t>
  </si>
  <si>
    <t>984</t>
  </si>
  <si>
    <t>23260620951181000653550010000009841005012870</t>
  </si>
  <si>
    <t>18097</t>
  </si>
  <si>
    <t>23260620951181000149550030000180971005012932</t>
  </si>
  <si>
    <t>219082</t>
  </si>
  <si>
    <t>23260607272825005335550010002190821002190833</t>
  </si>
  <si>
    <t>20951181000220</t>
  </si>
  <si>
    <t>17995</t>
  </si>
  <si>
    <t>23260620951181000149550030000179951004971049</t>
  </si>
  <si>
    <t>2162</t>
  </si>
  <si>
    <t>23260620951181000149550010000021621004983183</t>
  </si>
  <si>
    <t>26436</t>
  </si>
  <si>
    <t>23260620951181000491550010000264361004988401</t>
  </si>
  <si>
    <t>2171</t>
  </si>
  <si>
    <t>23260620951181000149550010000021711004992440</t>
  </si>
  <si>
    <t>18078</t>
  </si>
  <si>
    <t>23260620951181000149550030000180781004999282</t>
  </si>
  <si>
    <t>2188</t>
  </si>
  <si>
    <t>23260620951181000149550010000021881005001003</t>
  </si>
  <si>
    <t>2204</t>
  </si>
  <si>
    <t>23260620951181000149550010000022041005007066</t>
  </si>
  <si>
    <t>20951181000300</t>
  </si>
  <si>
    <t>20713</t>
  </si>
  <si>
    <t>23260620951181000300550010000207131004971217</t>
  </si>
  <si>
    <t>20716</t>
  </si>
  <si>
    <t>23260620951181000300550010000207161004971766</t>
  </si>
  <si>
    <t>26402</t>
  </si>
  <si>
    <t>23260620951181000491550010000264021004972205</t>
  </si>
  <si>
    <t>20717</t>
  </si>
  <si>
    <t>23260620951181000300550010000207171004972220</t>
  </si>
  <si>
    <t>26403</t>
  </si>
  <si>
    <t>23260620951181000491550010000264031004972385</t>
  </si>
  <si>
    <t>20719</t>
  </si>
  <si>
    <t>23260620951181000300550010000207191004972691</t>
  </si>
  <si>
    <t>20720</t>
  </si>
  <si>
    <t>23260620951181000300550010000207201004973001</t>
  </si>
  <si>
    <t>4618</t>
  </si>
  <si>
    <t>43260640738840000170550020000046181300323330</t>
  </si>
  <si>
    <t>20723</t>
  </si>
  <si>
    <t>23260620951181000300550010000207231004974026</t>
  </si>
  <si>
    <t>20725</t>
  </si>
  <si>
    <t>23260620951181000300550010000207251004974438</t>
  </si>
  <si>
    <t>26406</t>
  </si>
  <si>
    <t>23260620951181000491550010000264061004975033</t>
  </si>
  <si>
    <t>26408</t>
  </si>
  <si>
    <t>23260620951181000491550010000264081004975453</t>
  </si>
  <si>
    <t>26411</t>
  </si>
  <si>
    <t>23260620951181000491550010000264111004976129</t>
  </si>
  <si>
    <t>26412</t>
  </si>
  <si>
    <t>23260620951181000491550010000264121004976169</t>
  </si>
  <si>
    <t>26416</t>
  </si>
  <si>
    <t>23260620951181000491550010000264161004978969</t>
  </si>
  <si>
    <t>20728</t>
  </si>
  <si>
    <t>23260620951181000300550010000207281004978990</t>
  </si>
  <si>
    <t>26417</t>
  </si>
  <si>
    <t>23260620951181000491550010000264171004979024</t>
  </si>
  <si>
    <t>26418</t>
  </si>
  <si>
    <t>23260620951181000491550010000264181004979056</t>
  </si>
  <si>
    <t>15809</t>
  </si>
  <si>
    <t>23260620951181000220550010000158091004979618</t>
  </si>
  <si>
    <t>20733</t>
  </si>
  <si>
    <t>23260620951181000300550010000207331004980120</t>
  </si>
  <si>
    <t>20741</t>
  </si>
  <si>
    <t>23260620951181000300550010000207411004980580</t>
  </si>
  <si>
    <t>20742</t>
  </si>
  <si>
    <t>23260620951181000300550010000207421004980633</t>
  </si>
  <si>
    <t>20743</t>
  </si>
  <si>
    <t>23260620951181000300550010000207431004981157</t>
  </si>
  <si>
    <t>20744</t>
  </si>
  <si>
    <t>23260620951181000300550010000207441004981413</t>
  </si>
  <si>
    <t>20745</t>
  </si>
  <si>
    <t>23260620951181000300550010000207451004981801</t>
  </si>
  <si>
    <t>20746</t>
  </si>
  <si>
    <t>23260620951181000300550010000207461004982422</t>
  </si>
  <si>
    <t>15816</t>
  </si>
  <si>
    <t>23260620951181000220550010000158161004982940</t>
  </si>
  <si>
    <t>26422</t>
  </si>
  <si>
    <t>23260620951181000491550010000264221004983056</t>
  </si>
  <si>
    <t>26423</t>
  </si>
  <si>
    <t>23260620951181000491550010000264231004983193</t>
  </si>
  <si>
    <t>20747</t>
  </si>
  <si>
    <t>23260620951181000300550010000207471004983841</t>
  </si>
  <si>
    <t>20753</t>
  </si>
  <si>
    <t>23260620951181000300550010000207531004986180</t>
  </si>
  <si>
    <t>20756</t>
  </si>
  <si>
    <t>23260620951181000300550010000207561004986858</t>
  </si>
  <si>
    <t>20757</t>
  </si>
  <si>
    <t>23260620951181000300550010000207571004986928</t>
  </si>
  <si>
    <t>20760</t>
  </si>
  <si>
    <t>23260620951181000300550010000207601004987750</t>
  </si>
  <si>
    <t>20762</t>
  </si>
  <si>
    <t>23260620951181000300550010000207621004987894</t>
  </si>
  <si>
    <t>26437</t>
  </si>
  <si>
    <t>23260620951181000491550010000264371004988484</t>
  </si>
  <si>
    <t>26439</t>
  </si>
  <si>
    <t>23260620951181000491550010000264391004989124</t>
  </si>
  <si>
    <t>20767</t>
  </si>
  <si>
    <t>23260620951181000300550010000207671004989214</t>
  </si>
  <si>
    <t>26441</t>
  </si>
  <si>
    <t>23260620951181000491550010000264411004989475</t>
  </si>
  <si>
    <t>26442</t>
  </si>
  <si>
    <t>23260620951181000491550010000264421004989669</t>
  </si>
  <si>
    <t>26443</t>
  </si>
  <si>
    <t>23260620951181000491550010000264431004989682</t>
  </si>
  <si>
    <t>8562</t>
  </si>
  <si>
    <t>23260620951181000572550010000085621004989882</t>
  </si>
  <si>
    <t>26446</t>
  </si>
  <si>
    <t>23260620951181000491550010000264461004990208</t>
  </si>
  <si>
    <t>20770</t>
  </si>
  <si>
    <t>23260620951181000300550010000207701004990595</t>
  </si>
  <si>
    <t>20771</t>
  </si>
  <si>
    <t>23260620951181000300550010000207711004990940</t>
  </si>
  <si>
    <t>20773</t>
  </si>
  <si>
    <t>23260620951181000300550010000207731004991763</t>
  </si>
  <si>
    <t>26450</t>
  </si>
  <si>
    <t>23260620951181000491550010000264501004992025</t>
  </si>
  <si>
    <t>26451</t>
  </si>
  <si>
    <t>23260620951181000491550010000264511004992081</t>
  </si>
  <si>
    <t>26453</t>
  </si>
  <si>
    <t>23260620951181000491550010000264531004992566</t>
  </si>
  <si>
    <t>20776</t>
  </si>
  <si>
    <t>23260620951181000300550010000207761004992761</t>
  </si>
  <si>
    <t>20778</t>
  </si>
  <si>
    <t>23260620951181000300550010000207781004993487</t>
  </si>
  <si>
    <t>20781</t>
  </si>
  <si>
    <t>23260620951181000300550010000207811004994373</t>
  </si>
  <si>
    <t>26466</t>
  </si>
  <si>
    <t>23260620951181000491550010000264661004996551</t>
  </si>
  <si>
    <t>20786</t>
  </si>
  <si>
    <t>23260620951181000300550010000207861004996844</t>
  </si>
  <si>
    <t>20787</t>
  </si>
  <si>
    <t>23260620951181000300550010000207871004996965</t>
  </si>
  <si>
    <t>26467</t>
  </si>
  <si>
    <t>23260620951181000491550010000264671004997652</t>
  </si>
  <si>
    <t>20789</t>
  </si>
  <si>
    <t>23260620951181000300550010000207891004997737</t>
  </si>
  <si>
    <t>20791</t>
  </si>
  <si>
    <t>23260620951181000300550010000207911004998324</t>
  </si>
  <si>
    <t>20792</t>
  </si>
  <si>
    <t>23260620951181000300550010000207921004998534</t>
  </si>
  <si>
    <t>15839</t>
  </si>
  <si>
    <t>23260620951181000220550010000158391004998743</t>
  </si>
  <si>
    <t>20793</t>
  </si>
  <si>
    <t>23260620951181000300550010000207931004998876</t>
  </si>
  <si>
    <t>20802</t>
  </si>
  <si>
    <t>23260620951181000300550010000208021005002180</t>
  </si>
  <si>
    <t>20801</t>
  </si>
  <si>
    <t>23260620951181000300550010000208011005001631</t>
  </si>
  <si>
    <t>79655</t>
  </si>
  <si>
    <t>23260658048925000273550010000796551001997624</t>
  </si>
  <si>
    <t>20809</t>
  </si>
  <si>
    <t>23260620951181000300550010000208091005005023</t>
  </si>
  <si>
    <t>20813</t>
  </si>
  <si>
    <t>23260620951181000300550010000208131005006537</t>
  </si>
  <si>
    <t>26481</t>
  </si>
  <si>
    <t>23260620951181000491550010000264811005006802</t>
  </si>
  <si>
    <t>26482</t>
  </si>
  <si>
    <t>23260620951181000491550010000264821005006877</t>
  </si>
  <si>
    <t>20814</t>
  </si>
  <si>
    <t>23260620951181000300550010000208141005007336</t>
  </si>
  <si>
    <t>20815</t>
  </si>
  <si>
    <t>23260620951181000300550010000208151005007830</t>
  </si>
  <si>
    <t>26486</t>
  </si>
  <si>
    <t>23260620951181000491550010000264861005008550</t>
  </si>
  <si>
    <t>20816</t>
  </si>
  <si>
    <t>23260620951181000300550010000208161005008590</t>
  </si>
  <si>
    <t>130904</t>
  </si>
  <si>
    <t>31260604535269000123550030001309041061253337</t>
  </si>
  <si>
    <t>26494</t>
  </si>
  <si>
    <t>23260620951181000491550010000264941005010301</t>
  </si>
  <si>
    <t>20818</t>
  </si>
  <si>
    <t>23260620951181000300550010000208181005010573</t>
  </si>
  <si>
    <t>26498</t>
  </si>
  <si>
    <t>23260620951181000491550010000264981005011196</t>
  </si>
  <si>
    <t>26503</t>
  </si>
  <si>
    <t>23260620951181000491550010000265031005013808</t>
  </si>
  <si>
    <t>20824</t>
  </si>
  <si>
    <t>23260620951181000300550010000208241005014746</t>
  </si>
  <si>
    <t>20951181000491</t>
  </si>
  <si>
    <t>2157</t>
  </si>
  <si>
    <t>23260620951181000149550010000021571004970502</t>
  </si>
  <si>
    <t>26399</t>
  </si>
  <si>
    <t>23260620951181000491550010000263991004971066</t>
  </si>
  <si>
    <t>17996</t>
  </si>
  <si>
    <t>23260620951181000149550030000179961004971089</t>
  </si>
  <si>
    <t>5950</t>
  </si>
  <si>
    <t>23260611618173000437550010000059501004971119</t>
  </si>
  <si>
    <t>26400</t>
  </si>
  <si>
    <t>23260620951181000491550010000264001004971395</t>
  </si>
  <si>
    <t>26401</t>
  </si>
  <si>
    <t>23260620951181000491550010000264011004971686</t>
  </si>
  <si>
    <t>20715</t>
  </si>
  <si>
    <t>23260620951181000300550010000207151004971726</t>
  </si>
  <si>
    <t>5150</t>
  </si>
  <si>
    <t>23260623343540000254550010000051501004971850</t>
  </si>
  <si>
    <t>15788</t>
  </si>
  <si>
    <t>23260620951181000220550010000157881004972271</t>
  </si>
  <si>
    <t>20718</t>
  </si>
  <si>
    <t>23260620951181000300550010000207181004972333</t>
  </si>
  <si>
    <t>8536</t>
  </si>
  <si>
    <t>23260620951181000572550010000085361004973480</t>
  </si>
  <si>
    <t>20721</t>
  </si>
  <si>
    <t>23260620951181000300550010000207211004973599</t>
  </si>
  <si>
    <t>4619</t>
  </si>
  <si>
    <t>43260640738840000170550020000046191100323474</t>
  </si>
  <si>
    <t>26404</t>
  </si>
  <si>
    <t>23260620951181000491550010000264041004973770</t>
  </si>
  <si>
    <t>26405</t>
  </si>
  <si>
    <t>23260620951181000491550010000264051004973858</t>
  </si>
  <si>
    <t>20724</t>
  </si>
  <si>
    <t>23260620951181000300550010000207241004974236</t>
  </si>
  <si>
    <t>20726</t>
  </si>
  <si>
    <t>23260620951181000300550010000207261004974656</t>
  </si>
  <si>
    <t>8537</t>
  </si>
  <si>
    <t>23260620951181000572550010000085371004975200</t>
  </si>
  <si>
    <t>26407</t>
  </si>
  <si>
    <t>23260620951181000491550010000264071004975332</t>
  </si>
  <si>
    <t>26409</t>
  </si>
  <si>
    <t>23260620951181000491550010000264091004975493</t>
  </si>
  <si>
    <t>5161</t>
  </si>
  <si>
    <t>23260623343540000254550010000051611004975728</t>
  </si>
  <si>
    <t>11795</t>
  </si>
  <si>
    <t>23260611618173000194550010000117951004976410</t>
  </si>
  <si>
    <t>15800</t>
  </si>
  <si>
    <t>23260620951181000220550010000158001004976982</t>
  </si>
  <si>
    <t>15801</t>
  </si>
  <si>
    <t>23260620951181000220550010000158011004977005</t>
  </si>
  <si>
    <t>7779</t>
  </si>
  <si>
    <t>23260623343540000173550010000077791004977376</t>
  </si>
  <si>
    <t>26413</t>
  </si>
  <si>
    <t>23260620951181000491550010000264131004977979</t>
  </si>
  <si>
    <t>20727</t>
  </si>
  <si>
    <t>23260620951181000300550010000207271004978462</t>
  </si>
  <si>
    <t>26414</t>
  </si>
  <si>
    <t>23260620951181000491550010000264141004978719</t>
  </si>
  <si>
    <t>26415</t>
  </si>
  <si>
    <t>23260620951181000491550010000264151004978856</t>
  </si>
  <si>
    <t>7781</t>
  </si>
  <si>
    <t>23260623343540000173550010000077811004978915</t>
  </si>
  <si>
    <t>15807</t>
  </si>
  <si>
    <t>23260620951181000220550010000158071004978943</t>
  </si>
  <si>
    <t>20729</t>
  </si>
  <si>
    <t>23260620951181000300550010000207291004979030</t>
  </si>
  <si>
    <t>20730</t>
  </si>
  <si>
    <t>23260620951181000300550010000207301004979510</t>
  </si>
  <si>
    <t>20731</t>
  </si>
  <si>
    <t>23260620951181000300550010000207311004979763</t>
  </si>
  <si>
    <t>20732</t>
  </si>
  <si>
    <t>23260620951181000300550010000207321004979930</t>
  </si>
  <si>
    <t>20735</t>
  </si>
  <si>
    <t>23260620951181000300550010000207351004980400</t>
  </si>
  <si>
    <t>20736</t>
  </si>
  <si>
    <t>23260620951181000300550010000207361004980423</t>
  </si>
  <si>
    <t>20737</t>
  </si>
  <si>
    <t>23260620951181000300550010000207371004980455</t>
  </si>
  <si>
    <t>20738</t>
  </si>
  <si>
    <t>23260620951181000300550010000207381004980533</t>
  </si>
  <si>
    <t>20739</t>
  </si>
  <si>
    <t>23260620951181000300550010000207391004980549</t>
  </si>
  <si>
    <t>20740</t>
  </si>
  <si>
    <t>23260620951181000300550010000207401004980574</t>
  </si>
  <si>
    <t>18018</t>
  </si>
  <si>
    <t>23260620951181000149550030000180181004981385</t>
  </si>
  <si>
    <t>15812</t>
  </si>
  <si>
    <t>23260620951181000220550010000158121004981480</t>
  </si>
  <si>
    <t>26420</t>
  </si>
  <si>
    <t>23260620951181000491550010000264201004981717</t>
  </si>
  <si>
    <t>26421</t>
  </si>
  <si>
    <t>23260620951181000491550010000264211004982460</t>
  </si>
  <si>
    <t>5415</t>
  </si>
  <si>
    <t>23260607873084000389550010000054151004982764</t>
  </si>
  <si>
    <t>8547</t>
  </si>
  <si>
    <t>23260620951181000572550010000085471004983608</t>
  </si>
  <si>
    <t>26424</t>
  </si>
  <si>
    <t>23260620951181000491550010000264241004983751</t>
  </si>
  <si>
    <t>26425</t>
  </si>
  <si>
    <t>23260620951181000491550010000264251004984062</t>
  </si>
  <si>
    <t>20749</t>
  </si>
  <si>
    <t>23260620951181000300550010000207491004984346</t>
  </si>
  <si>
    <t>20750</t>
  </si>
  <si>
    <t>23260620951181000300550010000207501004984525</t>
  </si>
  <si>
    <t>11348</t>
  </si>
  <si>
    <t>23260607873084000117550010000113481004984673</t>
  </si>
  <si>
    <t>11349</t>
  </si>
  <si>
    <t>23260607873084000117550010000113491004984697</t>
  </si>
  <si>
    <t>26426</t>
  </si>
  <si>
    <t>23260620951181000491550010000264261004984841</t>
  </si>
  <si>
    <t>26427</t>
  </si>
  <si>
    <t>23260620951181000491550010000264271004985128</t>
  </si>
  <si>
    <t>5418</t>
  </si>
  <si>
    <t>23260607873084000389550010000054181004985269</t>
  </si>
  <si>
    <t>26428</t>
  </si>
  <si>
    <t>23260620951181000491550010000264281004985427</t>
  </si>
  <si>
    <t>20752</t>
  </si>
  <si>
    <t>23260620951181000300550010000207521004985941</t>
  </si>
  <si>
    <t>26429</t>
  </si>
  <si>
    <t>23260620951181000491550010000264291004986293</t>
  </si>
  <si>
    <t>26430</t>
  </si>
  <si>
    <t>23260620951181000491550010000264301004986316</t>
  </si>
  <si>
    <t>26431</t>
  </si>
  <si>
    <t>23260620951181000491550010000264311004986470</t>
  </si>
  <si>
    <t>20755</t>
  </si>
  <si>
    <t>23260620951181000300550010000207551004986672</t>
  </si>
  <si>
    <t>11800</t>
  </si>
  <si>
    <t>23260611618173000194550010000118001004986795</t>
  </si>
  <si>
    <t>20758</t>
  </si>
  <si>
    <t>23260620951181000300550010000207581004986976</t>
  </si>
  <si>
    <t>26432</t>
  </si>
  <si>
    <t>23260620951181000491550010000264321004987244</t>
  </si>
  <si>
    <t>20761</t>
  </si>
  <si>
    <t>23260620951181000300550010000207611004987773</t>
  </si>
  <si>
    <t>26433</t>
  </si>
  <si>
    <t>23260620951181000491550010000264331004988108</t>
  </si>
  <si>
    <t>26434</t>
  </si>
  <si>
    <t>23260620951181000491550010000264341004988202</t>
  </si>
  <si>
    <t>26435</t>
  </si>
  <si>
    <t>23260620951181000491550010000264351004988323</t>
  </si>
  <si>
    <t>20763</t>
  </si>
  <si>
    <t>23260620951181000300550010000207631004988456</t>
  </si>
  <si>
    <t>20765</t>
  </si>
  <si>
    <t>23260620951181000300550010000207651004988710</t>
  </si>
  <si>
    <t>20766</t>
  </si>
  <si>
    <t>23260620951181000300550010000207661004988873</t>
  </si>
  <si>
    <t>8558</t>
  </si>
  <si>
    <t>23260620951181000572550010000085581004989014</t>
  </si>
  <si>
    <t>26440</t>
  </si>
  <si>
    <t>23260620951181000491550010000264401004989184</t>
  </si>
  <si>
    <t>20768</t>
  </si>
  <si>
    <t>23260620951181000300550010000207681004989459</t>
  </si>
  <si>
    <t>20769</t>
  </si>
  <si>
    <t>23260620951181000300550010000207691004989588</t>
  </si>
  <si>
    <t>26444</t>
  </si>
  <si>
    <t>23260620951181000491550010000264441004989981</t>
  </si>
  <si>
    <t>26445</t>
  </si>
  <si>
    <t>23260620951181000491550010000264451004990014</t>
  </si>
  <si>
    <t>3619</t>
  </si>
  <si>
    <t>23260607873084000460550010000036191004990738</t>
  </si>
  <si>
    <t>26447</t>
  </si>
  <si>
    <t>23260620951181000491550010000264471004991031</t>
  </si>
  <si>
    <t>26449</t>
  </si>
  <si>
    <t>23260620951181000491550010000264491004992008</t>
  </si>
  <si>
    <t>20774</t>
  </si>
  <si>
    <t>23260620951181000300550010000207741004992163</t>
  </si>
  <si>
    <t>20775</t>
  </si>
  <si>
    <t>23260620951181000300550010000207751004992594</t>
  </si>
  <si>
    <t>5180</t>
  </si>
  <si>
    <t>23260623343540000254550010000051801004992776</t>
  </si>
  <si>
    <t>26454</t>
  </si>
  <si>
    <t>23260620951181000491550010000264541004993349</t>
  </si>
  <si>
    <t>20777</t>
  </si>
  <si>
    <t>23260620951181000300550010000207771004993447</t>
  </si>
  <si>
    <t>2172</t>
  </si>
  <si>
    <t>23260620951181000149550010000021721004993681</t>
  </si>
  <si>
    <t>20779</t>
  </si>
  <si>
    <t>23260620951181000300550010000207791004993808</t>
  </si>
  <si>
    <t>26455</t>
  </si>
  <si>
    <t>23260620951181000491550010000264551004993923</t>
  </si>
  <si>
    <t>26456</t>
  </si>
  <si>
    <t>23260620951181000491550010000264561004994129</t>
  </si>
  <si>
    <t>26458</t>
  </si>
  <si>
    <t>23260620951181000491550010000264581004994344</t>
  </si>
  <si>
    <t>11810</t>
  </si>
  <si>
    <t>23260611618173000194550010000118101004994573</t>
  </si>
  <si>
    <t>26461</t>
  </si>
  <si>
    <t>23260620951181000491550010000264611004994650</t>
  </si>
  <si>
    <t>26462</t>
  </si>
  <si>
    <t>23260620951181000491550010000264621004994932</t>
  </si>
  <si>
    <t>20782</t>
  </si>
  <si>
    <t>23260620951181000300550010000207821004995180</t>
  </si>
  <si>
    <t>26463</t>
  </si>
  <si>
    <t>23260620951181000491550010000264631004995251</t>
  </si>
  <si>
    <t>26464</t>
  </si>
  <si>
    <t>23260620951181000491550010000264641004995348</t>
  </si>
  <si>
    <t>20784</t>
  </si>
  <si>
    <t>23260620951181000300550010000207841004995673</t>
  </si>
  <si>
    <t>11812</t>
  </si>
  <si>
    <t>23260611618173000194550010000118121004996422</t>
  </si>
  <si>
    <t>26465</t>
  </si>
  <si>
    <t>23260620951181000491550010000264651004996503</t>
  </si>
  <si>
    <t>23260623343540000173550010000078061004996515</t>
  </si>
  <si>
    <t>20788</t>
  </si>
  <si>
    <t>23260620951181000300550010000207881004997470</t>
  </si>
  <si>
    <t>11815</t>
  </si>
  <si>
    <t>23260611618173000194550010000118151004997811</t>
  </si>
  <si>
    <t>2179</t>
  </si>
  <si>
    <t>23260620951181000149550010000021791004998030</t>
  </si>
  <si>
    <t>26468</t>
  </si>
  <si>
    <t>23260620951181000491550010000264681004998095</t>
  </si>
  <si>
    <t>20790</t>
  </si>
  <si>
    <t>23260620951181000300550010000207901004998114</t>
  </si>
  <si>
    <t>20794</t>
  </si>
  <si>
    <t>23260620951181000300550010000207941004999497</t>
  </si>
  <si>
    <t>20795</t>
  </si>
  <si>
    <t>23260620951181000300550010000207951005000091</t>
  </si>
  <si>
    <t>20796</t>
  </si>
  <si>
    <t>23260620951181000300550010000207961005000510</t>
  </si>
  <si>
    <t>20797</t>
  </si>
  <si>
    <t>23260620951181000300550010000207971005000568</t>
  </si>
  <si>
    <t>23260623343540000173550010000078111005000685</t>
  </si>
  <si>
    <t>23260623343540000173550010000078121005000925</t>
  </si>
  <si>
    <t>26471</t>
  </si>
  <si>
    <t>23260620951181000491550010000264711005001170</t>
  </si>
  <si>
    <t>26472</t>
  </si>
  <si>
    <t>23260620951181000491550010000264721005001801</t>
  </si>
  <si>
    <t>26473</t>
  </si>
  <si>
    <t>23260620951181000491550010000264731005002392</t>
  </si>
  <si>
    <t>20803</t>
  </si>
  <si>
    <t>23260620951181000300550010000208031005002853</t>
  </si>
  <si>
    <t>26474</t>
  </si>
  <si>
    <t>23260620951181000491550010000264741005002942</t>
  </si>
  <si>
    <t>20804</t>
  </si>
  <si>
    <t>23260620951181000300550010000208041005003016</t>
  </si>
  <si>
    <t>26475</t>
  </si>
  <si>
    <t>23260620951181000491550010000264751005003075</t>
  </si>
  <si>
    <t>26476</t>
  </si>
  <si>
    <t>23260620951181000491550010000264761005003145</t>
  </si>
  <si>
    <t>20806</t>
  </si>
  <si>
    <t>23260620951181000300550010000208061005003428</t>
  </si>
  <si>
    <t>20807</t>
  </si>
  <si>
    <t>23260620951181000300550010000208071005004170</t>
  </si>
  <si>
    <t>26477</t>
  </si>
  <si>
    <t>23260620951181000491550010000264771005004688</t>
  </si>
  <si>
    <t>20808</t>
  </si>
  <si>
    <t>23260620951181000300550010000208081005004887</t>
  </si>
  <si>
    <t>20810</t>
  </si>
  <si>
    <t>23260620951181000300550010000208101005005679</t>
  </si>
  <si>
    <t>26478</t>
  </si>
  <si>
    <t>23260620951181000491550010000264781005005789</t>
  </si>
  <si>
    <t>26479</t>
  </si>
  <si>
    <t>23260620951181000491550010000264791005005891</t>
  </si>
  <si>
    <t>20811</t>
  </si>
  <si>
    <t>23260620951181000300550010000208111005005935</t>
  </si>
  <si>
    <t>26480</t>
  </si>
  <si>
    <t>23260620951181000491550010000264801005006481</t>
  </si>
  <si>
    <t>2205</t>
  </si>
  <si>
    <t>23260620951181000149550010000022051005007098</t>
  </si>
  <si>
    <t>26483</t>
  </si>
  <si>
    <t>23260620951181000491550010000264831005007137</t>
  </si>
  <si>
    <t>26484</t>
  </si>
  <si>
    <t>23260620951181000491550010000264841005007479</t>
  </si>
  <si>
    <t>26485</t>
  </si>
  <si>
    <t>23260620951181000491550010000264851005008111</t>
  </si>
  <si>
    <t>26487</t>
  </si>
  <si>
    <t>23260620951181000491550010000264871005008922</t>
  </si>
  <si>
    <t>26488</t>
  </si>
  <si>
    <t>23260620951181000491550010000264881005009080</t>
  </si>
  <si>
    <t>26489</t>
  </si>
  <si>
    <t>23260620951181000491550010000264891005009230</t>
  </si>
  <si>
    <t>26490</t>
  </si>
  <si>
    <t>23260620951181000491550010000264901005009614</t>
  </si>
  <si>
    <t>26491</t>
  </si>
  <si>
    <t>23260620951181000491550010000264911005009646</t>
  </si>
  <si>
    <t>26492</t>
  </si>
  <si>
    <t>23260620951181000491550010000264921005009660</t>
  </si>
  <si>
    <t>130905</t>
  </si>
  <si>
    <t>31260604535269000123550030001309051928093265</t>
  </si>
  <si>
    <t>26493</t>
  </si>
  <si>
    <t>23260620951181000491550010000264931005010231</t>
  </si>
  <si>
    <t>20817</t>
  </si>
  <si>
    <t>23260620951181000300550010000208171005010380</t>
  </si>
  <si>
    <t>26496</t>
  </si>
  <si>
    <t>23260620951181000491550010000264961005010527</t>
  </si>
  <si>
    <t>2208</t>
  </si>
  <si>
    <t>23260620951181000149550010000022081005010589</t>
  </si>
  <si>
    <t>26500</t>
  </si>
  <si>
    <t>23260620951181000491550010000265001005011374</t>
  </si>
  <si>
    <t>26501</t>
  </si>
  <si>
    <t>23260620951181000491550010000265011005011487</t>
  </si>
  <si>
    <t>26502</t>
  </si>
  <si>
    <t>23260620951181000491550010000265021005011646</t>
  </si>
  <si>
    <t>20820</t>
  </si>
  <si>
    <t>23260620951181000300550010000208201005013066</t>
  </si>
  <si>
    <t>26504</t>
  </si>
  <si>
    <t>23260620951181000491550010000265041005014240</t>
  </si>
  <si>
    <t>20822</t>
  </si>
  <si>
    <t>23260620951181000300550010000208221005014261</t>
  </si>
  <si>
    <t>20823</t>
  </si>
  <si>
    <t>23260620951181000300550010000208231005014293</t>
  </si>
  <si>
    <t>26505</t>
  </si>
  <si>
    <t>23260620951181000491550010000265051005014434</t>
  </si>
  <si>
    <t>20951181000653</t>
  </si>
  <si>
    <t>900</t>
  </si>
  <si>
    <t>18054</t>
  </si>
  <si>
    <t>23260620951181000149550030000180541004994629</t>
  </si>
  <si>
    <t>5970</t>
  </si>
  <si>
    <t>23260611618173000437550010000059701005013483</t>
  </si>
  <si>
    <t>42781752000187</t>
  </si>
  <si>
    <t>2908742000579</t>
  </si>
  <si>
    <t>23260602908742000307550020000056571011647373</t>
  </si>
  <si>
    <t>15068</t>
  </si>
  <si>
    <t>23260646325254001152550010000150681254235598</t>
  </si>
  <si>
    <t>7548</t>
  </si>
  <si>
    <t>23260602908742000145550010000075481030957326</t>
  </si>
  <si>
    <t>23260602908742000307550020000056611051115340</t>
  </si>
  <si>
    <t>23260602908742000307550020000056621051115402</t>
  </si>
  <si>
    <t>23260602908742000498550030000056801061059227</t>
  </si>
  <si>
    <t>23260602908742000307550020000056671061108162</t>
  </si>
  <si>
    <t>7559</t>
  </si>
  <si>
    <t>23260602908742000145550010000075591061123439</t>
  </si>
  <si>
    <t>7560</t>
  </si>
  <si>
    <t>23260602908742000145550010000075601061600106</t>
  </si>
  <si>
    <t>23260602908742000498550030000056891061601086</t>
  </si>
  <si>
    <t>23260602908742000307550020000056701061616015</t>
  </si>
  <si>
    <t>23260602908742000307550020000056711061616454</t>
  </si>
  <si>
    <t>23260602908742000307550020000056741081132039</t>
  </si>
  <si>
    <t>5707</t>
  </si>
  <si>
    <t>23260602908742000498550030000057071091125568</t>
  </si>
  <si>
    <t>7569</t>
  </si>
  <si>
    <t>23260602908742000145550010000075691091129580</t>
  </si>
  <si>
    <t>7572</t>
  </si>
  <si>
    <t>23260602908742000145550010000075721091130338</t>
  </si>
  <si>
    <t>5718</t>
  </si>
  <si>
    <t>23260602908742000498550030000057181110954327</t>
  </si>
  <si>
    <t>7581</t>
  </si>
  <si>
    <t>23260602908742000145550010000075811110959010</t>
  </si>
  <si>
    <t>23260602908742000307550020000056831121118006</t>
  </si>
  <si>
    <t>15210</t>
  </si>
  <si>
    <t>23260646325254001152550010000152101428115747</t>
  </si>
  <si>
    <t>5685</t>
  </si>
  <si>
    <t>23260602908742000307550020000056851131122353</t>
  </si>
  <si>
    <t>23260602908742000307550020000056861131122415</t>
  </si>
  <si>
    <t>5737</t>
  </si>
  <si>
    <t>23260602908742000498550030000057371131124230</t>
  </si>
  <si>
    <t>5739</t>
  </si>
  <si>
    <t>23260602908742000498550030000057391131124366</t>
  </si>
  <si>
    <t>7598</t>
  </si>
  <si>
    <t>23260602908742000145550010000075981131126405</t>
  </si>
  <si>
    <t>1112</t>
  </si>
  <si>
    <t>23260602908742000579550010000011121151645316</t>
  </si>
  <si>
    <t>1114</t>
  </si>
  <si>
    <t>23260602908742000579550010000011141161013422</t>
  </si>
  <si>
    <t>147</t>
  </si>
  <si>
    <t>23260638250076000148550010000001471406040625</t>
  </si>
  <si>
    <t>116</t>
  </si>
  <si>
    <t>23260629395575000132550010000001161974806545</t>
  </si>
  <si>
    <t>145193</t>
  </si>
  <si>
    <t>26260603887324000262550040001451931781149542</t>
  </si>
  <si>
    <t>145194</t>
  </si>
  <si>
    <t>26260603887324000262550040001451941895548087</t>
  </si>
  <si>
    <t>33912498000118</t>
  </si>
  <si>
    <t>41923</t>
  </si>
  <si>
    <t>35260686614229000131550010000419231930414515</t>
  </si>
  <si>
    <t>8174</t>
  </si>
  <si>
    <t>29260619568941000154550010000081741697440583</t>
  </si>
  <si>
    <t>7277</t>
  </si>
  <si>
    <t>25260624890867000128550010000072771004551324</t>
  </si>
  <si>
    <t>219540</t>
  </si>
  <si>
    <t>23260606057223022060553000002195401537587062</t>
  </si>
  <si>
    <t>121993</t>
  </si>
  <si>
    <t>23260606604714000276550050001219931021049313</t>
  </si>
  <si>
    <t>3214</t>
  </si>
  <si>
    <t>29260655011509000121550010000032141032222420</t>
  </si>
  <si>
    <t>122032</t>
  </si>
  <si>
    <t>23260606604714000276550050001220321206678490</t>
  </si>
  <si>
    <t>122052</t>
  </si>
  <si>
    <t>23260606604714000276550050001220521687978219</t>
  </si>
  <si>
    <t>122073</t>
  </si>
  <si>
    <t>23260606604714000276550050001220731624322448</t>
  </si>
  <si>
    <t>25260655330530000190550010000158001136340559</t>
  </si>
  <si>
    <t>15819</t>
  </si>
  <si>
    <t>25260655330530000190550010000158191838305674</t>
  </si>
  <si>
    <t>3234</t>
  </si>
  <si>
    <t>29260655011509000121550010000032341871799200</t>
  </si>
  <si>
    <t>42639165000158</t>
  </si>
  <si>
    <t>2169</t>
  </si>
  <si>
    <t>39452463000120</t>
  </si>
  <si>
    <t>1776645</t>
  </si>
  <si>
    <t>23260602748357000188550010017766451560771126</t>
  </si>
  <si>
    <t>4133</t>
  </si>
  <si>
    <t>23260642954210000169550010000041331979000784</t>
  </si>
  <si>
    <t>4134</t>
  </si>
  <si>
    <t>23260642954210000169550010000041341770363209</t>
  </si>
  <si>
    <t>312</t>
  </si>
  <si>
    <t>23260642845367000156550010000003121768383750</t>
  </si>
  <si>
    <t>1133</t>
  </si>
  <si>
    <t>32</t>
  </si>
  <si>
    <t>502</t>
  </si>
  <si>
    <t>514</t>
  </si>
  <si>
    <t>37</t>
  </si>
  <si>
    <t>529</t>
  </si>
  <si>
    <t>530</t>
  </si>
  <si>
    <t>21196487000108</t>
  </si>
  <si>
    <t>5208</t>
  </si>
  <si>
    <t>23260621196487000108550010000052081000043790</t>
  </si>
  <si>
    <t>313789</t>
  </si>
  <si>
    <t>23260623045646000190550000003137891250208338</t>
  </si>
  <si>
    <t>5207</t>
  </si>
  <si>
    <t>23260621196487000108550010000052071000043784</t>
  </si>
  <si>
    <t>5206</t>
  </si>
  <si>
    <t>23260621196487000108550010000052061000043779</t>
  </si>
  <si>
    <t>236907</t>
  </si>
  <si>
    <t>23260602738485000140550010002369071439323324</t>
  </si>
  <si>
    <t>436670</t>
  </si>
  <si>
    <t>23260602793218000176550000004366701293147945</t>
  </si>
  <si>
    <t>315161</t>
  </si>
  <si>
    <t>23260623045646000190550000003151611153178450</t>
  </si>
  <si>
    <t>437423</t>
  </si>
  <si>
    <t>23260602793218000176550000004374231734426895</t>
  </si>
  <si>
    <t>5211</t>
  </si>
  <si>
    <t>23260621196487000108550010000052111000043825</t>
  </si>
  <si>
    <t>5205</t>
  </si>
  <si>
    <t>23260621196487000108550010000052051000043763</t>
  </si>
  <si>
    <t>5204</t>
  </si>
  <si>
    <t>23260621196487000108550010000052041000043758</t>
  </si>
  <si>
    <t>10712266000110</t>
  </si>
  <si>
    <t>4456</t>
  </si>
  <si>
    <t>23260653557846000193550010000044561098677512</t>
  </si>
  <si>
    <t>403131</t>
  </si>
  <si>
    <t>23260628826394002102550010004031311740408030</t>
  </si>
  <si>
    <t>403218</t>
  </si>
  <si>
    <t>23260628826394002102550010004032181740408033</t>
  </si>
  <si>
    <t>1465455</t>
  </si>
  <si>
    <t>23260608038666000140550010014654551471882515</t>
  </si>
  <si>
    <t>2189</t>
  </si>
  <si>
    <t>23260633662355000103550020000021891051655611</t>
  </si>
  <si>
    <t>1391</t>
  </si>
  <si>
    <t>23260610712266000110550040000013911380148239</t>
  </si>
  <si>
    <t>403605</t>
  </si>
  <si>
    <t>23260628826394002102550010004036051740408037</t>
  </si>
  <si>
    <t>1465623</t>
  </si>
  <si>
    <t>23260608038666000140550010014656231863340223</t>
  </si>
  <si>
    <t>403642</t>
  </si>
  <si>
    <t>23260628826394002102550010004036421740408030</t>
  </si>
  <si>
    <t>8278</t>
  </si>
  <si>
    <t>23260629159044000140550010000082781007222122</t>
  </si>
  <si>
    <t>8279</t>
  </si>
  <si>
    <t>23260629159044000140550010000082791012706962</t>
  </si>
  <si>
    <t>1274</t>
  </si>
  <si>
    <t>23260654648659000188550010000012741976699061</t>
  </si>
  <si>
    <t>1392</t>
  </si>
  <si>
    <t>23260610712266000110550040000013921183599766</t>
  </si>
  <si>
    <t>403687</t>
  </si>
  <si>
    <t>23260628826394002102550010004036871740408032</t>
  </si>
  <si>
    <t>403690</t>
  </si>
  <si>
    <t>23260628826394002102550010004036901740408038</t>
  </si>
  <si>
    <t>403696</t>
  </si>
  <si>
    <t>23260628826394002102550010004036961740408031</t>
  </si>
  <si>
    <t>403698</t>
  </si>
  <si>
    <t>23260628826394002102550010004036981740408036</t>
  </si>
  <si>
    <t>7232993</t>
  </si>
  <si>
    <t>33260668571041000171550050072329931299523854</t>
  </si>
  <si>
    <t>403703</t>
  </si>
  <si>
    <t>23260628826394002102550010004037031740408038</t>
  </si>
  <si>
    <t>7233741</t>
  </si>
  <si>
    <t>33260668571041000171550050072337411699478047</t>
  </si>
  <si>
    <t>403941</t>
  </si>
  <si>
    <t>23260628826394002102550010004039411740408030</t>
  </si>
  <si>
    <t>1466002</t>
  </si>
  <si>
    <t>23260608038666000140550010014660021154802383</t>
  </si>
  <si>
    <t>8291</t>
  </si>
  <si>
    <t>23260629159044000140550010000082911371922625</t>
  </si>
  <si>
    <t>404166</t>
  </si>
  <si>
    <t>23260628826394002102550010004041661740408030</t>
  </si>
  <si>
    <t>404224</t>
  </si>
  <si>
    <t>23260628826394002102550010004042241740408035</t>
  </si>
  <si>
    <t>404272</t>
  </si>
  <si>
    <t>23260628826394002102550010004042721740408032</t>
  </si>
  <si>
    <t>404423</t>
  </si>
  <si>
    <t>23260628826394002102550010004044231740408039</t>
  </si>
  <si>
    <t>404632</t>
  </si>
  <si>
    <t>23260628826394002102550010004046321740408039</t>
  </si>
  <si>
    <t>1466723</t>
  </si>
  <si>
    <t>23260608038666000140550010014667231604335037</t>
  </si>
  <si>
    <t>1466724</t>
  </si>
  <si>
    <t>23260608038666000140550010014667241713045223</t>
  </si>
  <si>
    <t>79543</t>
  </si>
  <si>
    <t>23260658048925000273550010000795431001996508</t>
  </si>
  <si>
    <t>1394</t>
  </si>
  <si>
    <t>23260610712266000110550040000013941255793282</t>
  </si>
  <si>
    <t>1395</t>
  </si>
  <si>
    <t>23260610712266000110550040000013951482072362</t>
  </si>
  <si>
    <t>1396</t>
  </si>
  <si>
    <t>23260610712266000110550040000013961141502003</t>
  </si>
  <si>
    <t>1467053</t>
  </si>
  <si>
    <t>23260608038666000140550010014670531697495523</t>
  </si>
  <si>
    <t>404841</t>
  </si>
  <si>
    <t>23260628826394002102550010004048411740408039</t>
  </si>
  <si>
    <t>404894</t>
  </si>
  <si>
    <t>23260628826394002102550010004048941740408032</t>
  </si>
  <si>
    <t>404915</t>
  </si>
  <si>
    <t>23260628826394002102550010004049151740408034</t>
  </si>
  <si>
    <t>404920</t>
  </si>
  <si>
    <t>23260628826394002102550010004049201740408034</t>
  </si>
  <si>
    <t>1397</t>
  </si>
  <si>
    <t>23260610712266000110550040000013971529927398</t>
  </si>
  <si>
    <t>1467215</t>
  </si>
  <si>
    <t>23260608038666000140550010014672151218606150</t>
  </si>
  <si>
    <t>404995</t>
  </si>
  <si>
    <t>23260628826394002102550010004049951740408035</t>
  </si>
  <si>
    <t>22850504000133</t>
  </si>
  <si>
    <t>8265</t>
  </si>
  <si>
    <t>23260629159044000140550010000082651649506580</t>
  </si>
  <si>
    <t>1465416</t>
  </si>
  <si>
    <t>23260608038666000140550010014654161460349391</t>
  </si>
  <si>
    <t>1465417</t>
  </si>
  <si>
    <t>23260608038666000140550010014654171006789567</t>
  </si>
  <si>
    <t>403280</t>
  </si>
  <si>
    <t>23260628826394002102550010004032801740408030</t>
  </si>
  <si>
    <t>8275</t>
  </si>
  <si>
    <t>23260629159044000140550010000082751858796641</t>
  </si>
  <si>
    <t>8285</t>
  </si>
  <si>
    <t>23260629159044000140550010000082851018430214</t>
  </si>
  <si>
    <t>19277</t>
  </si>
  <si>
    <t>23260636684328000111550010000192771681909955</t>
  </si>
  <si>
    <t>8295</t>
  </si>
  <si>
    <t>23260629159044000140550010000082951372495509</t>
  </si>
  <si>
    <t>8299</t>
  </si>
  <si>
    <t>23260629159044000140550010000082991394244540</t>
  </si>
  <si>
    <t>7236288</t>
  </si>
  <si>
    <t>33260668571041000171550050072362881140047868</t>
  </si>
  <si>
    <t>7236633</t>
  </si>
  <si>
    <t>33260668571041000171550050072366331224137802</t>
  </si>
  <si>
    <t>8306</t>
  </si>
  <si>
    <t>23260629159044000140550010000083061487523845</t>
  </si>
  <si>
    <t>8313</t>
  </si>
  <si>
    <t>23260629159044000140550010000083131601093632</t>
  </si>
  <si>
    <t>7241916</t>
  </si>
  <si>
    <t>33260668571041000171550050072419161780728387</t>
  </si>
  <si>
    <t>3362247</t>
  </si>
  <si>
    <t>33260668571041000171550030033622471147427294</t>
  </si>
  <si>
    <t>8316</t>
  </si>
  <si>
    <t>23260629159044000140550010000083161883895580</t>
  </si>
  <si>
    <t>4946</t>
  </si>
  <si>
    <t>23260611805777000140550020000049461921709554</t>
  </si>
  <si>
    <t>405005</t>
  </si>
  <si>
    <t>23260628826394002102550010004050051740408033</t>
  </si>
  <si>
    <t>405010</t>
  </si>
  <si>
    <t>23260628826394002102550010004050101740408033</t>
  </si>
  <si>
    <t>2185</t>
  </si>
  <si>
    <t>10968080000127</t>
  </si>
  <si>
    <t>8264</t>
  </si>
  <si>
    <t>23260629159044000140550010000082641649367698</t>
  </si>
  <si>
    <t>4927</t>
  </si>
  <si>
    <t>23260611805777000140550020000049271690090460</t>
  </si>
  <si>
    <t>403259</t>
  </si>
  <si>
    <t>23260628826394002102550010004032591740408036</t>
  </si>
  <si>
    <t>8274</t>
  </si>
  <si>
    <t>23260629159044000140550010000082741858726034</t>
  </si>
  <si>
    <t>8283</t>
  </si>
  <si>
    <t>23260629159044000140550010000082831017509548</t>
  </si>
  <si>
    <t>1273</t>
  </si>
  <si>
    <t>23260654648659000188550010000012731260753355</t>
  </si>
  <si>
    <t>5426090</t>
  </si>
  <si>
    <t>33260619300038000108550010054260901687856027</t>
  </si>
  <si>
    <t>7234429</t>
  </si>
  <si>
    <t>33260668571041000171550050072344291294223683</t>
  </si>
  <si>
    <t>8294</t>
  </si>
  <si>
    <t>23260629159044000140550010000082941372386770</t>
  </si>
  <si>
    <t>7235287</t>
  </si>
  <si>
    <t>33260668571041000171550050072352871485106646</t>
  </si>
  <si>
    <t>8298</t>
  </si>
  <si>
    <t>23260629159044000140550010000082981394163780</t>
  </si>
  <si>
    <t>3359119</t>
  </si>
  <si>
    <t>33260668571041000171550030033591191948724830</t>
  </si>
  <si>
    <t>1466263</t>
  </si>
  <si>
    <t>23260608038666000140550010014662631140530714</t>
  </si>
  <si>
    <t>8304</t>
  </si>
  <si>
    <t>23260629159044000140550010000083041487126361</t>
  </si>
  <si>
    <t>1974733</t>
  </si>
  <si>
    <t>33260668571041000171550010019747331915415494</t>
  </si>
  <si>
    <t>8311</t>
  </si>
  <si>
    <t>23260629159044000140550010000083111600708620</t>
  </si>
  <si>
    <t>404664</t>
  </si>
  <si>
    <t>23260628826394002102550010004046641740408032</t>
  </si>
  <si>
    <t>3361198</t>
  </si>
  <si>
    <t>33260668571041000171550030033611981587811440</t>
  </si>
  <si>
    <t>7242819</t>
  </si>
  <si>
    <t>33260668571041000171550050072428191453042122</t>
  </si>
  <si>
    <t>1467010</t>
  </si>
  <si>
    <t>23260608038666000140550010014670101033715141</t>
  </si>
  <si>
    <t>404701</t>
  </si>
  <si>
    <t>23260628826394002102550010004047011740408038</t>
  </si>
  <si>
    <t>8315</t>
  </si>
  <si>
    <t>23260629159044000140550010000083151881323603</t>
  </si>
  <si>
    <t>3854920000165</t>
  </si>
  <si>
    <t>2229</t>
  </si>
  <si>
    <t>23260603854920000165550040000022291855384043</t>
  </si>
  <si>
    <t>23260633662355000103550020000021881878203468</t>
  </si>
  <si>
    <t>1465520</t>
  </si>
  <si>
    <t>23260608038666000140550010014655201957667326</t>
  </si>
  <si>
    <t>1465521</t>
  </si>
  <si>
    <t>23260608038666000140550010014655211123754253</t>
  </si>
  <si>
    <t>403497</t>
  </si>
  <si>
    <t>23260628826394002102550010004034971740408038</t>
  </si>
  <si>
    <t>403639</t>
  </si>
  <si>
    <t>23260628826394002102550010004036391740408035</t>
  </si>
  <si>
    <t>2230</t>
  </si>
  <si>
    <t>23260603854920000165550040000022301124339818</t>
  </si>
  <si>
    <t>1465705</t>
  </si>
  <si>
    <t>23260608038666000140550010014657051644457246</t>
  </si>
  <si>
    <t>51261</t>
  </si>
  <si>
    <t>23260622070849000174550010000512611417747314</t>
  </si>
  <si>
    <t>4572</t>
  </si>
  <si>
    <t>23260653557846000193550010000045721786080330</t>
  </si>
  <si>
    <t>404232</t>
  </si>
  <si>
    <t>23260628826394002102550010004042321740408037</t>
  </si>
  <si>
    <t>404261</t>
  </si>
  <si>
    <t>23260628826394002102550010004042611740408039</t>
  </si>
  <si>
    <t>1466387</t>
  </si>
  <si>
    <t>23260608038666000140550010014663871159237750</t>
  </si>
  <si>
    <t>1974730</t>
  </si>
  <si>
    <t>33260668571041000171550010019747301457707441</t>
  </si>
  <si>
    <t>4187</t>
  </si>
  <si>
    <t>23260631341225000640550010000041871025164702</t>
  </si>
  <si>
    <t>1466584</t>
  </si>
  <si>
    <t>23260608038666000140550010014665841556559982</t>
  </si>
  <si>
    <t>404609</t>
  </si>
  <si>
    <t>23260628826394002102550010004046091740408030</t>
  </si>
  <si>
    <t>1466877</t>
  </si>
  <si>
    <t>23260608038666000140550010014668771944952780</t>
  </si>
  <si>
    <t>1466878</t>
  </si>
  <si>
    <t>23260608038666000140550010014668781455768801</t>
  </si>
  <si>
    <t>404667</t>
  </si>
  <si>
    <t>23260628826394002102550010004046671740408034</t>
  </si>
  <si>
    <t>2231</t>
  </si>
  <si>
    <t>23260603854920000165550040000022311897347683</t>
  </si>
  <si>
    <t>404702</t>
  </si>
  <si>
    <t>23260628826394002102550010004047021740408035</t>
  </si>
  <si>
    <t>404715</t>
  </si>
  <si>
    <t>23260628826394002102550010004047151740408033</t>
  </si>
  <si>
    <t>1467123</t>
  </si>
  <si>
    <t>23260608038666000140550010014671231763258071</t>
  </si>
  <si>
    <t>39615700000126</t>
  </si>
  <si>
    <t>8994871000260</t>
  </si>
  <si>
    <t>403624</t>
  </si>
  <si>
    <t>23260628826394002102550010004036241740408032</t>
  </si>
  <si>
    <t>51263</t>
  </si>
  <si>
    <t>23260622070849000174550010000512631061377001</t>
  </si>
  <si>
    <t>404227</t>
  </si>
  <si>
    <t>23260628826394002102550010004042271740408037</t>
  </si>
  <si>
    <t>404717</t>
  </si>
  <si>
    <t>23260628826394002102550010004047171740408038</t>
  </si>
  <si>
    <t>10968080000208</t>
  </si>
  <si>
    <t>8266</t>
  </si>
  <si>
    <t>23260629159044000140550010000082661650054481</t>
  </si>
  <si>
    <t>3354308</t>
  </si>
  <si>
    <t>33260668571041000171550030033543081325719027</t>
  </si>
  <si>
    <t>3355154</t>
  </si>
  <si>
    <t>33260668571041000171550030033551541539326774</t>
  </si>
  <si>
    <t>3355155</t>
  </si>
  <si>
    <t>33260668571041000171550030033551551753943727</t>
  </si>
  <si>
    <t>8271</t>
  </si>
  <si>
    <t>23260629159044000140550010000082711858174900</t>
  </si>
  <si>
    <t>3356180</t>
  </si>
  <si>
    <t>33260668571041000171550030033561801570911181</t>
  </si>
  <si>
    <t>7229234</t>
  </si>
  <si>
    <t>33260668571041000171550050072292341844794872</t>
  </si>
  <si>
    <t>8286</t>
  </si>
  <si>
    <t>23260629159044000140550010000082861018992457</t>
  </si>
  <si>
    <t>7235239</t>
  </si>
  <si>
    <t>33260668571041000171550050072352391826090445</t>
  </si>
  <si>
    <t>8296</t>
  </si>
  <si>
    <t>23260629159044000140550010000082961392820208</t>
  </si>
  <si>
    <t>3359081</t>
  </si>
  <si>
    <t>33260668571041000171550030033590811378717076</t>
  </si>
  <si>
    <t>8305</t>
  </si>
  <si>
    <t>23260629159044000140550010000083051487374494</t>
  </si>
  <si>
    <t>1974734</t>
  </si>
  <si>
    <t>33260668571041000171550010019747341691595700</t>
  </si>
  <si>
    <t>7239820</t>
  </si>
  <si>
    <t>33260668571041000171550050072398201118892887</t>
  </si>
  <si>
    <t>8312</t>
  </si>
  <si>
    <t>23260629159044000140550010000083121600921518</t>
  </si>
  <si>
    <t>3361860</t>
  </si>
  <si>
    <t>33260668571041000171550030033618601998520130</t>
  </si>
  <si>
    <t>7247826</t>
  </si>
  <si>
    <t>33260668571041000171550050072478261210277806</t>
  </si>
  <si>
    <t>41393030000192</t>
  </si>
  <si>
    <t>20244</t>
  </si>
  <si>
    <t>23260617389943000150550010000202441468095929</t>
  </si>
  <si>
    <t>3715</t>
  </si>
  <si>
    <t>23260620938998000187550010000037151201060489</t>
  </si>
  <si>
    <t>1853</t>
  </si>
  <si>
    <t>23260635003093000192550010000018531109769551</t>
  </si>
  <si>
    <t>17608115000166</t>
  </si>
  <si>
    <t>3416</t>
  </si>
  <si>
    <t>23260617608115000247550010000034161000546245</t>
  </si>
  <si>
    <t>31529</t>
  </si>
  <si>
    <t>23260617608115000328550010000315291000546430</t>
  </si>
  <si>
    <t>31528</t>
  </si>
  <si>
    <t>23260617608115000328550010000315281000546386</t>
  </si>
  <si>
    <t>2657602</t>
  </si>
  <si>
    <t>23260663360234000160550010026576021274502778</t>
  </si>
  <si>
    <t>31530</t>
  </si>
  <si>
    <t>23260617608115000328550010000315301000546473</t>
  </si>
  <si>
    <t>31531</t>
  </si>
  <si>
    <t>23260617608115000328550010000315311000546578</t>
  </si>
  <si>
    <t>284338</t>
  </si>
  <si>
    <t>23260623494446000115550010002843381223921351</t>
  </si>
  <si>
    <t>849</t>
  </si>
  <si>
    <t>23260626379686000248550010000008491846324888</t>
  </si>
  <si>
    <t>850</t>
  </si>
  <si>
    <t>23260626379686000248550010000008501847321735</t>
  </si>
  <si>
    <t>738047</t>
  </si>
  <si>
    <t>23260604940750001923550010007380471653975865</t>
  </si>
  <si>
    <t>851</t>
  </si>
  <si>
    <t>23260626379686000248550010000008511848318581</t>
  </si>
  <si>
    <t>35435</t>
  </si>
  <si>
    <t>23260612620329000215550080000354351760205042</t>
  </si>
  <si>
    <t>852</t>
  </si>
  <si>
    <t>23260626379686000248550010000008521849315435</t>
  </si>
  <si>
    <t>332004</t>
  </si>
  <si>
    <t>23260602843131000166550010003320041871809935</t>
  </si>
  <si>
    <t>180751</t>
  </si>
  <si>
    <t>23260603623218000271550030001807511243206903</t>
  </si>
  <si>
    <t>107908</t>
  </si>
  <si>
    <t>23260614451233000115550010001079081921627918</t>
  </si>
  <si>
    <t>23260604027640000146550020000011161000113428</t>
  </si>
  <si>
    <t>1119</t>
  </si>
  <si>
    <t>23260604027640000146550020000011191000113454</t>
  </si>
  <si>
    <t>1122</t>
  </si>
  <si>
    <t>23260604027640000146550020000011221000113484</t>
  </si>
  <si>
    <t>1124</t>
  </si>
  <si>
    <t>23260604027640000146550020000011241000113500</t>
  </si>
  <si>
    <t>435801</t>
  </si>
  <si>
    <t>23260602793218000176550000004358011086319286</t>
  </si>
  <si>
    <t>44978</t>
  </si>
  <si>
    <t>23260647161621000110550010000449781009167000</t>
  </si>
  <si>
    <t>9880</t>
  </si>
  <si>
    <t>23260634996611000315550010000098801001972196</t>
  </si>
  <si>
    <t>289987</t>
  </si>
  <si>
    <t>23260607574718000130550010002899871237267205</t>
  </si>
  <si>
    <t>31541</t>
  </si>
  <si>
    <t>23260617608115000328550010000315411000548119</t>
  </si>
  <si>
    <t>31538</t>
  </si>
  <si>
    <t>23260617608115000328550010000315381000547745</t>
  </si>
  <si>
    <t>320</t>
  </si>
  <si>
    <t>23260658086996000180550010000003201212564640</t>
  </si>
  <si>
    <t>31553</t>
  </si>
  <si>
    <t>23260617608115000328550010000315531000548292</t>
  </si>
  <si>
    <t>31534</t>
  </si>
  <si>
    <t>23260617608115000328550010000315341000547355</t>
  </si>
  <si>
    <t>31545</t>
  </si>
  <si>
    <t>23260617608115000328550010000315451000548215</t>
  </si>
  <si>
    <t>31554</t>
  </si>
  <si>
    <t>23260617608115000328550010000315541000548303</t>
  </si>
  <si>
    <t>170373</t>
  </si>
  <si>
    <t>23260613830626000177550010001703731581071638</t>
  </si>
  <si>
    <t>31547</t>
  </si>
  <si>
    <t>23260617608115000328550010000315471000548236</t>
  </si>
  <si>
    <t>23260663926386000187550010000000371000074208</t>
  </si>
  <si>
    <t>3421</t>
  </si>
  <si>
    <t>23260617608115000247550010000034211000547551</t>
  </si>
  <si>
    <t>31550</t>
  </si>
  <si>
    <t>23260617608115000328550010000315501000548266</t>
  </si>
  <si>
    <t>24966</t>
  </si>
  <si>
    <t>23260603616846000149550020000249661000313626</t>
  </si>
  <si>
    <t>31546</t>
  </si>
  <si>
    <t>23260617608115000328550010000315461000548220</t>
  </si>
  <si>
    <t>3422</t>
  </si>
  <si>
    <t>23260617608115000247550010000034221000548059</t>
  </si>
  <si>
    <t>31548</t>
  </si>
  <si>
    <t>23260617608115000328550010000315481000548241</t>
  </si>
  <si>
    <t>617114</t>
  </si>
  <si>
    <t>23260600187154000134550000006171141651427816</t>
  </si>
  <si>
    <t>31549</t>
  </si>
  <si>
    <t>23260617608115000328550010000315491000548257</t>
  </si>
  <si>
    <t>31543</t>
  </si>
  <si>
    <t>23260617608115000328550010000315431000548180</t>
  </si>
  <si>
    <t>31536</t>
  </si>
  <si>
    <t>23260617608115000328550010000315361000547619</t>
  </si>
  <si>
    <t>3572630</t>
  </si>
  <si>
    <t>23260663310411000101550040035726301756196890</t>
  </si>
  <si>
    <t>284477</t>
  </si>
  <si>
    <t>23260623494446000115550010002844771165253995</t>
  </si>
  <si>
    <t>738138</t>
  </si>
  <si>
    <t>23260604940750001923550010007381381537190012</t>
  </si>
  <si>
    <t>854</t>
  </si>
  <si>
    <t>23260626379686000248550010000008541851309131</t>
  </si>
  <si>
    <t>855</t>
  </si>
  <si>
    <t>23260626379686000248550010000008551852305978</t>
  </si>
  <si>
    <t>1161</t>
  </si>
  <si>
    <t>23260623381419000136550010000011611861064293</t>
  </si>
  <si>
    <t>152244</t>
  </si>
  <si>
    <t>23260601413264000130550010001522441987400007</t>
  </si>
  <si>
    <t>534</t>
  </si>
  <si>
    <t>23260663745747000199550010000005341000003654</t>
  </si>
  <si>
    <t>76951</t>
  </si>
  <si>
    <t>23260631795196000181550010000769511412051927</t>
  </si>
  <si>
    <t>110812</t>
  </si>
  <si>
    <t>23260627814700000176550010001108121109605931</t>
  </si>
  <si>
    <t>323381</t>
  </si>
  <si>
    <t>23260604015225000172550010003233811804816076</t>
  </si>
  <si>
    <t>509341</t>
  </si>
  <si>
    <t>23260609524502000196550100005093411202137766</t>
  </si>
  <si>
    <t>81928</t>
  </si>
  <si>
    <t>23260610972368000175550010000819281835385032</t>
  </si>
  <si>
    <t>2460</t>
  </si>
  <si>
    <t>23260614833349000119550010000024601688130457</t>
  </si>
  <si>
    <t>275473</t>
  </si>
  <si>
    <t>23260609524502000609550100002754731112915774</t>
  </si>
  <si>
    <t>435984</t>
  </si>
  <si>
    <t>23260602793218000176550000004359841578357589</t>
  </si>
  <si>
    <t>23260626379686000248550010000008561853302821</t>
  </si>
  <si>
    <t>857</t>
  </si>
  <si>
    <t>23260626379686000248550010000008571854299678</t>
  </si>
  <si>
    <t>773434</t>
  </si>
  <si>
    <t>23260606314410000193550010007734341794316227</t>
  </si>
  <si>
    <t>280756</t>
  </si>
  <si>
    <t>23260607206816002592550010002807561621665235</t>
  </si>
  <si>
    <t>858</t>
  </si>
  <si>
    <t>23260626379686000248550010000008581855296521</t>
  </si>
  <si>
    <t>523653</t>
  </si>
  <si>
    <t>23260604763524000195550010005236531168691080</t>
  </si>
  <si>
    <t>500731</t>
  </si>
  <si>
    <t>23260603282301001387550010005007311432156302</t>
  </si>
  <si>
    <t>5451855</t>
  </si>
  <si>
    <t>23260603282301000143550010054518551352175187</t>
  </si>
  <si>
    <t>5452508</t>
  </si>
  <si>
    <t>23260603282301000143550010054525081922854549</t>
  </si>
  <si>
    <t>859</t>
  </si>
  <si>
    <t>23260626379686000248550010000008591856293370</t>
  </si>
  <si>
    <t>191864</t>
  </si>
  <si>
    <t>23260606942221000670550010001918641265013909</t>
  </si>
  <si>
    <t>191865</t>
  </si>
  <si>
    <t>23260606942221000670550010001918651212097609</t>
  </si>
  <si>
    <t>191866</t>
  </si>
  <si>
    <t>23260606942221000670550010001918661126929135</t>
  </si>
  <si>
    <t>509585</t>
  </si>
  <si>
    <t>23260609524502000196550100005095851534002778</t>
  </si>
  <si>
    <t>839166</t>
  </si>
  <si>
    <t>23260656228356007306550350008391661845456856</t>
  </si>
  <si>
    <t>839165</t>
  </si>
  <si>
    <t>23260656228356007306550350008391651756273422</t>
  </si>
  <si>
    <t>1948</t>
  </si>
  <si>
    <t>23260659795061000135550010000019481109878877</t>
  </si>
  <si>
    <t>1674915</t>
  </si>
  <si>
    <t>23260607634785000101550010016749151242866618</t>
  </si>
  <si>
    <t>861</t>
  </si>
  <si>
    <t>23260626379686000248550010000008611858287073</t>
  </si>
  <si>
    <t>2849824</t>
  </si>
  <si>
    <t>23260641221516000224550010028498241191113376</t>
  </si>
  <si>
    <t>328955</t>
  </si>
  <si>
    <t>23260641221516001034550010003289551338650652</t>
  </si>
  <si>
    <t>290161</t>
  </si>
  <si>
    <t>23260607574718000130550010002901611536890713</t>
  </si>
  <si>
    <t>723810</t>
  </si>
  <si>
    <t>23260635229640000152550010007238101255286460</t>
  </si>
  <si>
    <t>5174877</t>
  </si>
  <si>
    <t>23260623577851000105550010051748771146472380</t>
  </si>
  <si>
    <t>5174878</t>
  </si>
  <si>
    <t>23260623577851000105550010051748781742241551</t>
  </si>
  <si>
    <t>31557</t>
  </si>
  <si>
    <t>23260617608115000328550010000315571000548410</t>
  </si>
  <si>
    <t>31560</t>
  </si>
  <si>
    <t>23260617608115000328550010000315601000549161</t>
  </si>
  <si>
    <t>7892</t>
  </si>
  <si>
    <t>23260639871409000119550010000078921305578342</t>
  </si>
  <si>
    <t>31566</t>
  </si>
  <si>
    <t>23260617608115000328550010000315661000549521</t>
  </si>
  <si>
    <t>31565</t>
  </si>
  <si>
    <t>23260617608115000328550010000315651000549460</t>
  </si>
  <si>
    <t>31559</t>
  </si>
  <si>
    <t>23260617608115000328550010000315591000549047</t>
  </si>
  <si>
    <t>1143</t>
  </si>
  <si>
    <t>3424</t>
  </si>
  <si>
    <t>23260617608115000247550010000034241000548606</t>
  </si>
  <si>
    <t>31571</t>
  </si>
  <si>
    <t>23260617608115000328550010000315711000549688</t>
  </si>
  <si>
    <t>1436357</t>
  </si>
  <si>
    <t>23260609662119000102550020014363571014967164</t>
  </si>
  <si>
    <t>31562</t>
  </si>
  <si>
    <t>23260617608115000328550010000315621000549344</t>
  </si>
  <si>
    <t>31568</t>
  </si>
  <si>
    <t>23260617608115000328550010000315681000549542</t>
  </si>
  <si>
    <t>31561</t>
  </si>
  <si>
    <t>23260617608115000328550010000315611000549266</t>
  </si>
  <si>
    <t>250159</t>
  </si>
  <si>
    <t>23260608811226001580550010002501591056246868</t>
  </si>
  <si>
    <t>4493773</t>
  </si>
  <si>
    <t>23260601838723025707550010044937731860027099</t>
  </si>
  <si>
    <t>993661</t>
  </si>
  <si>
    <t>23260660409075048783550010009936611248627985</t>
  </si>
  <si>
    <t>962853</t>
  </si>
  <si>
    <t>23260667620377005426550010009628531009871356</t>
  </si>
  <si>
    <t>284618</t>
  </si>
  <si>
    <t>23260623494446000115550010002846181653985618</t>
  </si>
  <si>
    <t>1046304</t>
  </si>
  <si>
    <t>23260683044016007306550010010463041766108622</t>
  </si>
  <si>
    <t>1046303</t>
  </si>
  <si>
    <t>23260683044016007306550010010463031943153601</t>
  </si>
  <si>
    <t>862</t>
  </si>
  <si>
    <t>23260626379686000248550010000008621859283923</t>
  </si>
  <si>
    <t>7940</t>
  </si>
  <si>
    <t>23260646395687003985550300000079401794050409</t>
  </si>
  <si>
    <t>89978</t>
  </si>
  <si>
    <t>23260609035933000199550010000899781378826316</t>
  </si>
  <si>
    <t>23260604027640000146550020000011431000113697</t>
  </si>
  <si>
    <t>1145</t>
  </si>
  <si>
    <t>23260604027640000146550020000011451000113713</t>
  </si>
  <si>
    <t>25223</t>
  </si>
  <si>
    <t>23260621593282000158550010000252231000255839</t>
  </si>
  <si>
    <t>91144</t>
  </si>
  <si>
    <t>23260605974177000293550010000911441911448760</t>
  </si>
  <si>
    <t>4112</t>
  </si>
  <si>
    <t>23260633926514000121550010000041121858964314</t>
  </si>
  <si>
    <t>4433</t>
  </si>
  <si>
    <t>23260626379686000167550010000044331441903207</t>
  </si>
  <si>
    <t>4434</t>
  </si>
  <si>
    <t>23260626379686000167550010000044341442002898</t>
  </si>
  <si>
    <t>14916</t>
  </si>
  <si>
    <t>23260612832318000118550010000149161935950764</t>
  </si>
  <si>
    <t>60752</t>
  </si>
  <si>
    <t>23260600217775000113550010000607521836088675</t>
  </si>
  <si>
    <t>10993</t>
  </si>
  <si>
    <t>23260631315814000149550010000109931000103884</t>
  </si>
  <si>
    <t>10994</t>
  </si>
  <si>
    <t>23260631315814000149550010000109941000103890</t>
  </si>
  <si>
    <t>14546</t>
  </si>
  <si>
    <t>23260603995515030155550020000145461104162900</t>
  </si>
  <si>
    <t>14547</t>
  </si>
  <si>
    <t>23260603995515030155550020000145471104161529</t>
  </si>
  <si>
    <t>421040</t>
  </si>
  <si>
    <t>23260620436891000130550000004210401035731143</t>
  </si>
  <si>
    <t>863</t>
  </si>
  <si>
    <t>23260626379686000248550010000008631860280778</t>
  </si>
  <si>
    <t>62015</t>
  </si>
  <si>
    <t>23260610757187000630550010000620151281833323</t>
  </si>
  <si>
    <t>62014</t>
  </si>
  <si>
    <t>23260610757187000630550010000620141256642792</t>
  </si>
  <si>
    <t>656284</t>
  </si>
  <si>
    <t>23260609497934000155550010006562841023246045</t>
  </si>
  <si>
    <t>864</t>
  </si>
  <si>
    <t>23260626379686000248550010000008641861277620</t>
  </si>
  <si>
    <t>1153</t>
  </si>
  <si>
    <t>23260604027640000146550020000011531000113790</t>
  </si>
  <si>
    <t>1157</t>
  </si>
  <si>
    <t>23260604027640000146550020000011571000113838</t>
  </si>
  <si>
    <t>568292</t>
  </si>
  <si>
    <t>23260604981622000107550010005682921115104660</t>
  </si>
  <si>
    <t>568293</t>
  </si>
  <si>
    <t>23260604981622000107550010005682931203821190</t>
  </si>
  <si>
    <t>865</t>
  </si>
  <si>
    <t>23260626379686000248550010000008651862274478</t>
  </si>
  <si>
    <t>436167</t>
  </si>
  <si>
    <t>23260602793218000176550000004361671766204026</t>
  </si>
  <si>
    <t>90671</t>
  </si>
  <si>
    <t>26260610928726000142550010000906711186888443</t>
  </si>
  <si>
    <t>1165</t>
  </si>
  <si>
    <t>23260604027640000146550020000011651000113910</t>
  </si>
  <si>
    <t>1359</t>
  </si>
  <si>
    <t>23260604027102000232550010000013591190557161</t>
  </si>
  <si>
    <t>29482</t>
  </si>
  <si>
    <t>23260641550666000281550010000294821012608287</t>
  </si>
  <si>
    <t>866</t>
  </si>
  <si>
    <t>23260626379686000248550010000008661863271313</t>
  </si>
  <si>
    <t>1108134</t>
  </si>
  <si>
    <t>23260610538296000152550030011081341438528118</t>
  </si>
  <si>
    <t>426625</t>
  </si>
  <si>
    <t>23260607196579000159550070004266251001082400</t>
  </si>
  <si>
    <t>509175</t>
  </si>
  <si>
    <t>23260607576952000440550010005091751556921658</t>
  </si>
  <si>
    <t>112796</t>
  </si>
  <si>
    <t>23260603954356000314550030001127961005673036</t>
  </si>
  <si>
    <t>738510</t>
  </si>
  <si>
    <t>23260604940750001923550010007385101657487498</t>
  </si>
  <si>
    <t>194664</t>
  </si>
  <si>
    <t>23260645141688000168550010001946641234230369</t>
  </si>
  <si>
    <t>35594</t>
  </si>
  <si>
    <t>23260612620329000215550080000355941427316893</t>
  </si>
  <si>
    <t>867</t>
  </si>
  <si>
    <t>23260626379686000248550010000008671864268160</t>
  </si>
  <si>
    <t>42776403000177</t>
  </si>
  <si>
    <t>13210</t>
  </si>
  <si>
    <t>27260629535459000171550020000132101001490373</t>
  </si>
  <si>
    <t>2184</t>
  </si>
  <si>
    <t>23260621069481000161550010000021841217711844</t>
  </si>
  <si>
    <t>23260621069481000161550010000021851217811528</t>
  </si>
  <si>
    <t>23260621069481000161550010000021861217911210</t>
  </si>
  <si>
    <t>633819</t>
  </si>
  <si>
    <t>23260607557333000750550010006338191743107787</t>
  </si>
  <si>
    <t>633834</t>
  </si>
  <si>
    <t>23260607557333000750550010006338341009913427</t>
  </si>
  <si>
    <t>15488</t>
  </si>
  <si>
    <t>35260604094484000136550010000154881716085784</t>
  </si>
  <si>
    <t>2202</t>
  </si>
  <si>
    <t>23260621069481000161550010000022021219506172</t>
  </si>
  <si>
    <t>22500</t>
  </si>
  <si>
    <t>23260632257382000120550010000225001682055274</t>
  </si>
  <si>
    <t>56376</t>
  </si>
  <si>
    <t>35260662147178000117550010000563761000577596</t>
  </si>
  <si>
    <t>2235</t>
  </si>
  <si>
    <t>23260621069481000161550010000022351222795776</t>
  </si>
  <si>
    <t>5562</t>
  </si>
  <si>
    <t>35260605727523000158550010000055621020490920</t>
  </si>
  <si>
    <t>1194046</t>
  </si>
  <si>
    <t>23260600990842000138550010011940461508865669</t>
  </si>
  <si>
    <t>2299</t>
  </si>
  <si>
    <t>23260621069481000161550010000022991229175606</t>
  </si>
  <si>
    <t>1425</t>
  </si>
  <si>
    <t>28260654515737000761550030000014251183225128</t>
  </si>
  <si>
    <t>17541</t>
  </si>
  <si>
    <t>42260600341857000175550030000175411629856092</t>
  </si>
  <si>
    <t>59332</t>
  </si>
  <si>
    <t>23260640432544016140554010000593321573014172</t>
  </si>
  <si>
    <t>2427</t>
  </si>
  <si>
    <t>23260621069481000161550010000024271241935277</t>
  </si>
  <si>
    <t>166190</t>
  </si>
  <si>
    <t>23260605588797000375550010001661901004878378</t>
  </si>
  <si>
    <t>16</t>
  </si>
  <si>
    <t>41260664110376000131550010000000161355205697</t>
  </si>
  <si>
    <t>182585</t>
  </si>
  <si>
    <t>35260665670424000109550010001825851937581586</t>
  </si>
  <si>
    <t>1427</t>
  </si>
  <si>
    <t>35260624659181000120550010000014271207600067</t>
  </si>
  <si>
    <t>50709</t>
  </si>
  <si>
    <t>23260606061127000105550010000507091210765807</t>
  </si>
  <si>
    <t>2469</t>
  </si>
  <si>
    <t>23260621069481000161550010000024691246122045</t>
  </si>
  <si>
    <t>22705</t>
  </si>
  <si>
    <t>23260632257382000120550010000227051499187792</t>
  </si>
  <si>
    <t>15525</t>
  </si>
  <si>
    <t>35260604094484000136550010000155251704711303</t>
  </si>
  <si>
    <t>15526</t>
  </si>
  <si>
    <t>35260604094484000136550010000155261656395831</t>
  </si>
  <si>
    <t>50802</t>
  </si>
  <si>
    <t>23260606061127000105550010000508021229959407</t>
  </si>
  <si>
    <t>1300</t>
  </si>
  <si>
    <t>35260658415992000106550010000013001183762221</t>
  </si>
  <si>
    <t>56496</t>
  </si>
  <si>
    <t>35260662147178000117550010000564961000578892</t>
  </si>
  <si>
    <t>7502</t>
  </si>
  <si>
    <t>35260603630963000167550010000075021017490654</t>
  </si>
  <si>
    <t>233</t>
  </si>
  <si>
    <t>35260655673572000123550010000002331171597940</t>
  </si>
  <si>
    <t>50864</t>
  </si>
  <si>
    <t>23260606061127000105550010000508641115143346</t>
  </si>
  <si>
    <t>50889</t>
  </si>
  <si>
    <t>23260606061127000105550010000508891753384460</t>
  </si>
  <si>
    <t>17</t>
  </si>
  <si>
    <t>41260664110376000131550010000000171702837286</t>
  </si>
  <si>
    <t>2579</t>
  </si>
  <si>
    <t>23260621069481000161550010000025791257087388</t>
  </si>
  <si>
    <t>50962</t>
  </si>
  <si>
    <t>23260606061127000105550010000509621753491072</t>
  </si>
  <si>
    <t>1196653</t>
  </si>
  <si>
    <t>23260600990842000138550010011966531757563344</t>
  </si>
  <si>
    <t>1196654</t>
  </si>
  <si>
    <t>23260600990842000138550010011966541792900618</t>
  </si>
  <si>
    <t>1196706</t>
  </si>
  <si>
    <t>23260600990842000138550010011967061608590094</t>
  </si>
  <si>
    <t>1196709</t>
  </si>
  <si>
    <t>23260600990842000138550010011967091630105464</t>
  </si>
  <si>
    <t>28941256000112</t>
  </si>
  <si>
    <t>41550666000109</t>
  </si>
  <si>
    <t>3560</t>
  </si>
  <si>
    <t>23260617499134000100550010000035601000034701</t>
  </si>
  <si>
    <t>494</t>
  </si>
  <si>
    <t>23260661659196000115550010000004941891429044</t>
  </si>
  <si>
    <t>1755724</t>
  </si>
  <si>
    <t>23260607954597000152558900017557241666637217</t>
  </si>
  <si>
    <t>52492</t>
  </si>
  <si>
    <t>23260603493377000118550000000524921000454717</t>
  </si>
  <si>
    <t>37834</t>
  </si>
  <si>
    <t>23260601588098000102550080000378341617980734</t>
  </si>
  <si>
    <t>14679</t>
  </si>
  <si>
    <t>23260601605349000209550000000146791002152668</t>
  </si>
  <si>
    <t>2930</t>
  </si>
  <si>
    <t>23260651428831000108550010000029301940500000</t>
  </si>
  <si>
    <t>29317</t>
  </si>
  <si>
    <t>23260641550666000281550010000293171984157926</t>
  </si>
  <si>
    <t>29318</t>
  </si>
  <si>
    <t>23260641550666000281550010000293181314649028</t>
  </si>
  <si>
    <t>23656</t>
  </si>
  <si>
    <t>23260603941821001001550010000236561200499205</t>
  </si>
  <si>
    <t>29329</t>
  </si>
  <si>
    <t>23260641550666000281550010000293291292163300</t>
  </si>
  <si>
    <t>22815</t>
  </si>
  <si>
    <t>23260618381386000194550010000228151000166573</t>
  </si>
  <si>
    <t>17947</t>
  </si>
  <si>
    <t>23260607202674000380550010000179471599000163</t>
  </si>
  <si>
    <t>636</t>
  </si>
  <si>
    <t>23260655131396000106550010000006361449722548</t>
  </si>
  <si>
    <t>20306</t>
  </si>
  <si>
    <t>23260626941553000132550010000203061136155408</t>
  </si>
  <si>
    <t>638</t>
  </si>
  <si>
    <t>23260655131396000106550010000006381821146943</t>
  </si>
  <si>
    <t>639</t>
  </si>
  <si>
    <t>23260655131396000106550010000006391421466859</t>
  </si>
  <si>
    <t>332910</t>
  </si>
  <si>
    <t>23260628059980000117550040003329101374550788</t>
  </si>
  <si>
    <t>332911</t>
  </si>
  <si>
    <t>23260628059980000117550040003329111404278590</t>
  </si>
  <si>
    <t>332912</t>
  </si>
  <si>
    <t>23260628059980000117550040003329121457788654</t>
  </si>
  <si>
    <t>332909</t>
  </si>
  <si>
    <t>23260628059980000117550040003329091350768537</t>
  </si>
  <si>
    <t>332913</t>
  </si>
  <si>
    <t>23260628059980000117550040003329131487516463</t>
  </si>
  <si>
    <t>291084</t>
  </si>
  <si>
    <t>23260666471517002200550550002910841457309070</t>
  </si>
  <si>
    <t>2341663</t>
  </si>
  <si>
    <t>23260601588098000102550000023416631977722565</t>
  </si>
  <si>
    <t>479064</t>
  </si>
  <si>
    <t>23260601588099000157550000004790641716538013</t>
  </si>
  <si>
    <t>498</t>
  </si>
  <si>
    <t>23260661659196000115550010000004981290080488</t>
  </si>
  <si>
    <t>23260644012895000150550010000011021000402072</t>
  </si>
  <si>
    <t>1357</t>
  </si>
  <si>
    <t>23260640383122000129550010000013571856574412</t>
  </si>
  <si>
    <t>1106</t>
  </si>
  <si>
    <t>23260644012895000150550010000011061603610792</t>
  </si>
  <si>
    <t>29348</t>
  </si>
  <si>
    <t>23260641550666000281550010000293481835088040</t>
  </si>
  <si>
    <t>54062</t>
  </si>
  <si>
    <t>23260607216054000561553040000540621555341067</t>
  </si>
  <si>
    <t>1</t>
  </si>
  <si>
    <t>23260666917223000126550010000000011251449673</t>
  </si>
  <si>
    <t>3406936</t>
  </si>
  <si>
    <t>23260606850713000120550010034069361371693115</t>
  </si>
  <si>
    <t>3406937</t>
  </si>
  <si>
    <t>23260606850713000120550010034069371192226951</t>
  </si>
  <si>
    <t>61841</t>
  </si>
  <si>
    <t>23260610757187000630550010000618411823392433</t>
  </si>
  <si>
    <t>61840</t>
  </si>
  <si>
    <t>23260610757187000630550010000618401531897163</t>
  </si>
  <si>
    <t>61842</t>
  </si>
  <si>
    <t>23260610757187000630550010000618421469122846</t>
  </si>
  <si>
    <t>61843</t>
  </si>
  <si>
    <t>23260610757187000630550010000618431283040707</t>
  </si>
  <si>
    <t>3561434</t>
  </si>
  <si>
    <t>23260601914851000102550030035614341003103750</t>
  </si>
  <si>
    <t>3561435</t>
  </si>
  <si>
    <t>23260601914851000102550030035614351003103758</t>
  </si>
  <si>
    <t>3561436</t>
  </si>
  <si>
    <t>23260601914851000102550030035614361003103755</t>
  </si>
  <si>
    <t>3561437</t>
  </si>
  <si>
    <t>23260601914851000102550030035614371003103752</t>
  </si>
  <si>
    <t>3561438</t>
  </si>
  <si>
    <t>23260601914851000102550030035614381003103750</t>
  </si>
  <si>
    <t>1703665</t>
  </si>
  <si>
    <t>23260607216054000642550070017036651483942907</t>
  </si>
  <si>
    <t>55</t>
  </si>
  <si>
    <t>23260623577851000520550030000000551108208258</t>
  </si>
  <si>
    <t>849868</t>
  </si>
  <si>
    <t>23260683310441006905550010008498681542383978</t>
  </si>
  <si>
    <t>8423</t>
  </si>
  <si>
    <t>23260602352544000148550020000084231134126484</t>
  </si>
  <si>
    <t>1017880</t>
  </si>
  <si>
    <t>23260625757840006327550010010178801140384260</t>
  </si>
  <si>
    <t>23166</t>
  </si>
  <si>
    <t>23260613376552000140550010000231661000105641</t>
  </si>
  <si>
    <t>499</t>
  </si>
  <si>
    <t>23260661659196000115550010000004991908504100</t>
  </si>
  <si>
    <t>1045515</t>
  </si>
  <si>
    <t>23260683044016007306550010010455151558619520</t>
  </si>
  <si>
    <t>5420080</t>
  </si>
  <si>
    <t>23260673909566000104550010054200801161156583</t>
  </si>
  <si>
    <t>5420081</t>
  </si>
  <si>
    <t>23260673909566000104550010054200811112629411</t>
  </si>
  <si>
    <t>30693</t>
  </si>
  <si>
    <t>23260628286126000193550110000306931592607182</t>
  </si>
  <si>
    <t>29421</t>
  </si>
  <si>
    <t>23260641550666000281550010000294211472761610</t>
  </si>
  <si>
    <t>29429</t>
  </si>
  <si>
    <t>23260641550666000281550010000294291127899600</t>
  </si>
  <si>
    <t>3747</t>
  </si>
  <si>
    <t>23260631570832000177550010000037471022009075</t>
  </si>
  <si>
    <t>29430</t>
  </si>
  <si>
    <t>23260641550666000281550010000294301260667015</t>
  </si>
  <si>
    <t>29431</t>
  </si>
  <si>
    <t>23260641550666000281550010000294311445632010</t>
  </si>
  <si>
    <t>40568</t>
  </si>
  <si>
    <t>23260607527737000297550010000405681010464848</t>
  </si>
  <si>
    <t>28716</t>
  </si>
  <si>
    <t>23260630922123000221550010000287161287168764</t>
  </si>
  <si>
    <t>248510</t>
  </si>
  <si>
    <t>23260607216054000561550060002485101850368213</t>
  </si>
  <si>
    <t>248513</t>
  </si>
  <si>
    <t>23260607216054000561550060002485131944570590</t>
  </si>
  <si>
    <t>74844</t>
  </si>
  <si>
    <t>23260641221516002006550010000748441492295490</t>
  </si>
  <si>
    <t>22368</t>
  </si>
  <si>
    <t>23260623723760000122550010000223681278363312</t>
  </si>
  <si>
    <t>510082</t>
  </si>
  <si>
    <t>23260609524502000196550100005100821863865621</t>
  </si>
  <si>
    <t>29447</t>
  </si>
  <si>
    <t>23260641550666000281550010000294471781667118</t>
  </si>
  <si>
    <t>501460</t>
  </si>
  <si>
    <t>23260603282301001387550010005014601917498892</t>
  </si>
  <si>
    <t>5453029</t>
  </si>
  <si>
    <t>23260603282301000143550010054530291592973490</t>
  </si>
  <si>
    <t>501560</t>
  </si>
  <si>
    <t>23260603282301001387550010005015601944989538</t>
  </si>
  <si>
    <t>5453253</t>
  </si>
  <si>
    <t>23260603282301000143550010054532531740195373</t>
  </si>
  <si>
    <t>29453</t>
  </si>
  <si>
    <t>23260641550666000281550010000294531354065110</t>
  </si>
  <si>
    <t>93972</t>
  </si>
  <si>
    <t>23260600087009000181550010000939721189337327</t>
  </si>
  <si>
    <t>93973</t>
  </si>
  <si>
    <t>23260600087009000181550010000939731663760768</t>
  </si>
  <si>
    <t>2410</t>
  </si>
  <si>
    <t>23260613257466000119550030000024101921000604</t>
  </si>
  <si>
    <t>2412</t>
  </si>
  <si>
    <t>23260613257466000119550030000024121909440939</t>
  </si>
  <si>
    <t>426404</t>
  </si>
  <si>
    <t>23260607196579000159550070004264041000179654</t>
  </si>
  <si>
    <t>426405</t>
  </si>
  <si>
    <t>23260607196579000159550070004264051000179651</t>
  </si>
  <si>
    <t>7154942</t>
  </si>
  <si>
    <t>23260607965809000520550010071549421744840440</t>
  </si>
  <si>
    <t>7155080</t>
  </si>
  <si>
    <t>23260607965809000520550010071550801161090378</t>
  </si>
  <si>
    <t>2654545</t>
  </si>
  <si>
    <t>23260615099833000129550010026545451130324779</t>
  </si>
  <si>
    <t>355041</t>
  </si>
  <si>
    <t>23260614998371002405550000003550411667526543</t>
  </si>
  <si>
    <t>216</t>
  </si>
  <si>
    <t>23260635411561000168550010000002161090016842</t>
  </si>
  <si>
    <t>10060187</t>
  </si>
  <si>
    <t>23260610483444000260550010100601871300225187</t>
  </si>
  <si>
    <t>10060188</t>
  </si>
  <si>
    <t>23260610483444000260550010100601881454658420</t>
  </si>
  <si>
    <t>382</t>
  </si>
  <si>
    <t>23260653010535000100550010000003821168509459</t>
  </si>
  <si>
    <t>152403</t>
  </si>
  <si>
    <t>23260601413264000130550010001524031735400000</t>
  </si>
  <si>
    <t>119463</t>
  </si>
  <si>
    <t>23260605554484000134550010001194631790273144</t>
  </si>
  <si>
    <t>1705391</t>
  </si>
  <si>
    <t>23260607216054000642550070017053911281198495</t>
  </si>
  <si>
    <t>1705390</t>
  </si>
  <si>
    <t>23260607216054000642550070017053901606150049</t>
  </si>
  <si>
    <t>250316</t>
  </si>
  <si>
    <t>23260608811226001580550010002503161056267044</t>
  </si>
  <si>
    <t>371155</t>
  </si>
  <si>
    <t>23260662166848001114550100003711551754046011</t>
  </si>
  <si>
    <t>371156</t>
  </si>
  <si>
    <t>23260662166848001114550100003711561446884048</t>
  </si>
  <si>
    <t>724481</t>
  </si>
  <si>
    <t>23260635229640000152550010007244811989598187</t>
  </si>
  <si>
    <t>152415</t>
  </si>
  <si>
    <t>23260601413264000130550010001524151442900000</t>
  </si>
  <si>
    <t>62433</t>
  </si>
  <si>
    <t>23260605270731000685550020000624331775683241</t>
  </si>
  <si>
    <t>66845</t>
  </si>
  <si>
    <t>23260628257733000125550010000668451504900003</t>
  </si>
  <si>
    <t>617</t>
  </si>
  <si>
    <t>23260643999048000168550010000006171000200087</t>
  </si>
  <si>
    <t>87289</t>
  </si>
  <si>
    <t>23260622984794000108550020000872891389707585</t>
  </si>
  <si>
    <t>656431</t>
  </si>
  <si>
    <t>23260609497934000155550010006564311059510238</t>
  </si>
  <si>
    <t>7155961</t>
  </si>
  <si>
    <t>23260607965809000520550010071559611791777090</t>
  </si>
  <si>
    <t>336471</t>
  </si>
  <si>
    <t>23260643648971005114550010003364711288662696</t>
  </si>
  <si>
    <t>484833</t>
  </si>
  <si>
    <t>23260607327166000166550010004848331908089235</t>
  </si>
  <si>
    <t>7156329</t>
  </si>
  <si>
    <t>23260607965809000520550010071563291503782438</t>
  </si>
  <si>
    <t>58951</t>
  </si>
  <si>
    <t>23260607801078000669550010000589511000602024</t>
  </si>
  <si>
    <t>73659</t>
  </si>
  <si>
    <t>23260607965809003970550010000736591081327720</t>
  </si>
  <si>
    <t>29596</t>
  </si>
  <si>
    <t>23260641550666000281550010000295961663741644</t>
  </si>
  <si>
    <t>62314</t>
  </si>
  <si>
    <t>23260610757187000630550010000623141648179721</t>
  </si>
  <si>
    <t>102031276</t>
  </si>
  <si>
    <t>23260663483408000181550001020312761162128187</t>
  </si>
  <si>
    <t>102031275</t>
  </si>
  <si>
    <t>23260663483408000181550001020312751136782285</t>
  </si>
  <si>
    <t>1739321</t>
  </si>
  <si>
    <t>23260675315333011062550010017393211752338344</t>
  </si>
  <si>
    <t>7156767</t>
  </si>
  <si>
    <t>23260607965809000520550010071567671957835637</t>
  </si>
  <si>
    <t>589657</t>
  </si>
  <si>
    <t>23260623439441005582550020005896571104105322</t>
  </si>
  <si>
    <t>544001</t>
  </si>
  <si>
    <t>23260607400437000242550000005440011129791590</t>
  </si>
  <si>
    <t>3576238</t>
  </si>
  <si>
    <t>23260663310411000101550040035762381361545144</t>
  </si>
  <si>
    <t>500</t>
  </si>
  <si>
    <t>23260661659196000115550010000005001452945772</t>
  </si>
  <si>
    <t>102430</t>
  </si>
  <si>
    <t>23260626507379000114550010001024301818557161</t>
  </si>
  <si>
    <t>3373722</t>
  </si>
  <si>
    <t>23260660409075015931550010033737221106023420</t>
  </si>
  <si>
    <t>3373720</t>
  </si>
  <si>
    <t>23260660409075015931550010033737201785071632</t>
  </si>
  <si>
    <t>3373878</t>
  </si>
  <si>
    <t>23260660409075015931550010033738781454770172</t>
  </si>
  <si>
    <t>3373883</t>
  </si>
  <si>
    <t>23260660409075015931550010033738831252532793</t>
  </si>
  <si>
    <t>3373881</t>
  </si>
  <si>
    <t>23260660409075015931550010033738811487440797</t>
  </si>
  <si>
    <t>28274</t>
  </si>
  <si>
    <t>23260603995515027600550020000282741104192031</t>
  </si>
  <si>
    <t>511261</t>
  </si>
  <si>
    <t>23260609524502000196550100005112611249240932</t>
  </si>
  <si>
    <t>276358</t>
  </si>
  <si>
    <t>23260609524502000609550100002763581100447900</t>
  </si>
  <si>
    <t>2438</t>
  </si>
  <si>
    <t>23260630430948000148550010000024381358400007</t>
  </si>
  <si>
    <t>337177</t>
  </si>
  <si>
    <t>23260628059980000117550040003371771691460175</t>
  </si>
  <si>
    <t>834494</t>
  </si>
  <si>
    <t>23260608718921000287550010008344941549215873</t>
  </si>
  <si>
    <t>29640</t>
  </si>
  <si>
    <t>23260641550666000281550010000296401835381608</t>
  </si>
  <si>
    <t>10064349</t>
  </si>
  <si>
    <t>23260610483444000260550010100643491546931434</t>
  </si>
  <si>
    <t>10732</t>
  </si>
  <si>
    <t>23260653698660000154550010000107321743667111</t>
  </si>
  <si>
    <t>4498499</t>
  </si>
  <si>
    <t>23260601838723025707550010044984991652074708</t>
  </si>
  <si>
    <t>894</t>
  </si>
  <si>
    <t>23260651579279000140550030000008941935130350</t>
  </si>
  <si>
    <t>52654</t>
  </si>
  <si>
    <t>23260603493377000118550000000526541000456205</t>
  </si>
  <si>
    <t>14716</t>
  </si>
  <si>
    <t>23260601605349000209550000000147161002158955</t>
  </si>
  <si>
    <t>37951</t>
  </si>
  <si>
    <t>23260601588098000102550080000379511917100809</t>
  </si>
  <si>
    <t>1759775</t>
  </si>
  <si>
    <t>23260607954597000152558900017597751868700626</t>
  </si>
  <si>
    <t>1047904</t>
  </si>
  <si>
    <t>23260683044016007306550010010479041158124068</t>
  </si>
  <si>
    <t>964009</t>
  </si>
  <si>
    <t>23260667620377005426550010009640091009883297</t>
  </si>
  <si>
    <t>29641</t>
  </si>
  <si>
    <t>23260641550666000281550010000296411288886310</t>
  </si>
  <si>
    <t>29256</t>
  </si>
  <si>
    <t>23260631834934000152550010000292561447255100</t>
  </si>
  <si>
    <t>59012</t>
  </si>
  <si>
    <t>23260607316197000626550010000590121039697440</t>
  </si>
  <si>
    <t>29257</t>
  </si>
  <si>
    <t>23260631834934000152550010000292571174230858</t>
  </si>
  <si>
    <t>29652</t>
  </si>
  <si>
    <t>23260641550666000281550010000296521783355173</t>
  </si>
  <si>
    <t>391</t>
  </si>
  <si>
    <t>23260653010535000100550010000003911930924991</t>
  </si>
  <si>
    <t>279693</t>
  </si>
  <si>
    <t>23260621487946000102550010002796931212262008</t>
  </si>
  <si>
    <t>4483</t>
  </si>
  <si>
    <t>23260609374787000126550010000044831090000110</t>
  </si>
  <si>
    <t>3175564000153</t>
  </si>
  <si>
    <t>879985</t>
  </si>
  <si>
    <t>35260600808396000521550010008799851174347195</t>
  </si>
  <si>
    <t>394621</t>
  </si>
  <si>
    <t>35260604024914000143550030003946211333795516</t>
  </si>
  <si>
    <t>823407</t>
  </si>
  <si>
    <t>42260679416459000120550010008234071554558220</t>
  </si>
  <si>
    <t>629898</t>
  </si>
  <si>
    <t>27260611907140000164550010006298981578273997</t>
  </si>
  <si>
    <t>362478</t>
  </si>
  <si>
    <t>23260601397886000111550010003624781739752452</t>
  </si>
  <si>
    <t>628437</t>
  </si>
  <si>
    <t>41260605855974000170550010006284371990628434</t>
  </si>
  <si>
    <t>63040</t>
  </si>
  <si>
    <t>25260608116954000338550010000630401513977772</t>
  </si>
  <si>
    <t>299757</t>
  </si>
  <si>
    <t>23260607358761021328550010002997571658748779</t>
  </si>
  <si>
    <t>316794</t>
  </si>
  <si>
    <t>35260605373141000335550010003167941105709393</t>
  </si>
  <si>
    <t>632097</t>
  </si>
  <si>
    <t>27260611907140000164550010006320971605133667</t>
  </si>
  <si>
    <t>13673</t>
  </si>
  <si>
    <t>25260608039115000100550010000136731971710295</t>
  </si>
  <si>
    <t>54511</t>
  </si>
  <si>
    <t>25260607779581000150550010000545111066028096</t>
  </si>
  <si>
    <t>632635</t>
  </si>
  <si>
    <t>27260611907140000164550010006326351514426220</t>
  </si>
  <si>
    <t>8198069000183</t>
  </si>
  <si>
    <t>142071</t>
  </si>
  <si>
    <t>35260607141537000110550010001420711011788037</t>
  </si>
  <si>
    <t>13339</t>
  </si>
  <si>
    <t>24260612245179000126550010000133391598451910</t>
  </si>
  <si>
    <t>142229</t>
  </si>
  <si>
    <t>35260607141537000110550010001422291011789812</t>
  </si>
  <si>
    <t>36965599000145</t>
  </si>
  <si>
    <t>566691</t>
  </si>
  <si>
    <t>23260663400543000116550010005666911079360552</t>
  </si>
  <si>
    <t>4716536</t>
  </si>
  <si>
    <t>23260601206820003201550010047165361936681675</t>
  </si>
  <si>
    <t>4716539</t>
  </si>
  <si>
    <t>23260601206820003201550010047165391612752811</t>
  </si>
  <si>
    <t>4716544</t>
  </si>
  <si>
    <t>23260601206820003201550010047165441936697336</t>
  </si>
  <si>
    <t>4716546</t>
  </si>
  <si>
    <t>23260601206820003201550010047165461667341656</t>
  </si>
  <si>
    <t>4722587</t>
  </si>
  <si>
    <t>23260601206820003201550010047225871397356212</t>
  </si>
  <si>
    <t>2612203</t>
  </si>
  <si>
    <t>23260604522065000158550010026122031928018471</t>
  </si>
  <si>
    <t>5277468</t>
  </si>
  <si>
    <t>23260607224991000135550010052774681052622200</t>
  </si>
  <si>
    <t>5277873</t>
  </si>
  <si>
    <t>23260607224991000135550010052778731052668830</t>
  </si>
  <si>
    <t>4731208</t>
  </si>
  <si>
    <t>23260601206820003201550010047312081190596191</t>
  </si>
  <si>
    <t>4731209</t>
  </si>
  <si>
    <t>23260601206820003201550010047312091190627531</t>
  </si>
  <si>
    <t>724801</t>
  </si>
  <si>
    <t>23260635229640000152550010007248011625845960</t>
  </si>
  <si>
    <t>336399</t>
  </si>
  <si>
    <t>23260605457203000125550020003363991002225196</t>
  </si>
  <si>
    <t>339320</t>
  </si>
  <si>
    <t>23260610521559000110550010003393201417091809</t>
  </si>
  <si>
    <t>4743555</t>
  </si>
  <si>
    <t>23260601206820003201550010047435551602986772</t>
  </si>
  <si>
    <t>4742509</t>
  </si>
  <si>
    <t>23260601206820003201550010047425091287025360</t>
  </si>
  <si>
    <t>4743553</t>
  </si>
  <si>
    <t>23260601206820003201550010047435531326497429</t>
  </si>
  <si>
    <t>4744767</t>
  </si>
  <si>
    <t>23260601206820003201550010047447671040081493</t>
  </si>
  <si>
    <t>8804999</t>
  </si>
  <si>
    <t>23260607216054000219550030088049991952981320</t>
  </si>
  <si>
    <t>4753112</t>
  </si>
  <si>
    <t>23260601206820003201550010047531121383604580</t>
  </si>
  <si>
    <t>8808341</t>
  </si>
  <si>
    <t>23260607216054000219550030088083411570625261</t>
  </si>
  <si>
    <t>278856</t>
  </si>
  <si>
    <t>23260602090238000180550010002788561326386072</t>
  </si>
  <si>
    <t>292750</t>
  </si>
  <si>
    <t>23260610854165000346550010002927501466231109</t>
  </si>
  <si>
    <t>4761074</t>
  </si>
  <si>
    <t>23260601206820003201550010047610741065238060</t>
  </si>
  <si>
    <t>1754682</t>
  </si>
  <si>
    <t>23260620524304000165550010017546821242360148</t>
  </si>
  <si>
    <t>4761808</t>
  </si>
  <si>
    <t>23260601206820003201550010047618081730888417</t>
  </si>
  <si>
    <t>165856</t>
  </si>
  <si>
    <t>23260616632133000110550010001658561385338160</t>
  </si>
  <si>
    <t>165858</t>
  </si>
  <si>
    <t>23260616632133000110550010001658581869285336</t>
  </si>
  <si>
    <t>4764274</t>
  </si>
  <si>
    <t>23260601206820003201550010047642741986602829</t>
  </si>
  <si>
    <t>5288403</t>
  </si>
  <si>
    <t>23260607224991000135550010052884031053875769</t>
  </si>
  <si>
    <t>177047</t>
  </si>
  <si>
    <t>23260616619378002232550200001770471628195423</t>
  </si>
  <si>
    <t>4776156</t>
  </si>
  <si>
    <t>23260601206820003201550010047761561631000499</t>
  </si>
  <si>
    <t>4776850</t>
  </si>
  <si>
    <t>23260601206820003201550010047768501654505109</t>
  </si>
  <si>
    <t>743903</t>
  </si>
  <si>
    <t>23260663401665000127550000007439031736960563</t>
  </si>
  <si>
    <t>4787226</t>
  </si>
  <si>
    <t>23260601206820003201550010047872261540704595</t>
  </si>
  <si>
    <t>4787228</t>
  </si>
  <si>
    <t>23260601206820003201550010047872281959629663</t>
  </si>
  <si>
    <t>cnpj</t>
  </si>
  <si>
    <t>cgf</t>
  </si>
  <si>
    <t>razaoSocial</t>
  </si>
  <si>
    <t>regime</t>
  </si>
  <si>
    <t>cadastro_dominio</t>
  </si>
  <si>
    <t>NORMAL</t>
  </si>
  <si>
    <t>FORTVISION COMERCIO DE PRODUTOS OPTICOS LTDA</t>
  </si>
  <si>
    <t>MICROEMPRESA</t>
  </si>
  <si>
    <t>J. L. E. DE OLIVEIRA SR PANDINHA</t>
  </si>
  <si>
    <t>ADE COMERCIO DE CALCADOS LTDA</t>
  </si>
  <si>
    <t>OUTROS</t>
  </si>
  <si>
    <t>MASTER CAIXAS EMBALAGENS LTDA</t>
  </si>
  <si>
    <t>OCULART OTICA LTDA</t>
  </si>
  <si>
    <t>EPP</t>
  </si>
  <si>
    <t>CARIRI COMÃ‰RCIO DE ARTIGOS OPTICOS LTDA. - ME</t>
  </si>
  <si>
    <t>32343397000100</t>
  </si>
  <si>
    <t>LIBERTY JEANS LTDA</t>
  </si>
  <si>
    <t>UAU CAFETERIA LTDA</t>
  </si>
  <si>
    <t>20373830000171</t>
  </si>
  <si>
    <t>OBA FESTAS LTDA</t>
  </si>
  <si>
    <t>03854920000165</t>
  </si>
  <si>
    <t>S &amp; A COMERCIO DE ARTIGOS OPTICOS LTDA ME</t>
  </si>
  <si>
    <t>HIDRAULICA CEARENSE SERVICO E MANUTENCAO LTDA</t>
  </si>
  <si>
    <t>RMG-CE COMERCIO DE CALCADOS LTDA</t>
  </si>
  <si>
    <t>COOPERATIVA AGROPECUARIA E DE SERVICOS NOSSA SENHORA APARECI</t>
  </si>
  <si>
    <t>ESTALEIRO BEBIDAS LTDA</t>
  </si>
  <si>
    <t>03175564000153</t>
  </si>
  <si>
    <t>F J MELO MATERIAL DE CONSTRUCAO LTDA</t>
  </si>
  <si>
    <t>38295532000176</t>
  </si>
  <si>
    <t>STRONG ENERGY LTDA - ME</t>
  </si>
  <si>
    <t>G MENDES BASTOS COMESTICOS LTDA</t>
  </si>
  <si>
    <t>A &amp; S COMERCIO DE ARTIGOS OPTICOS LTDA ME</t>
  </si>
  <si>
    <t>ARANORD ARAMADOS NORDESTE SERVICOS E COMERCIO LTDA - EPP</t>
  </si>
  <si>
    <t>00091966000181</t>
  </si>
  <si>
    <t>DOMANI INTERMEDIACOES LTDA</t>
  </si>
  <si>
    <t>05646748001070</t>
  </si>
  <si>
    <t>UCHOA COMERCIO DE GAS LTDA</t>
  </si>
  <si>
    <t>39426970000199</t>
  </si>
  <si>
    <t>MARINE COMERCIO DE PEIXES E CORAIS LTDA</t>
  </si>
  <si>
    <t>E &amp; E COMERCIO DE ARTIGOS OPTICOS LTDA</t>
  </si>
  <si>
    <t>MARQUES PET SHOP LTDA</t>
  </si>
  <si>
    <t>COMERCIO COLCHOES DOS SONHOS LTDA</t>
  </si>
  <si>
    <t>05646748000856</t>
  </si>
  <si>
    <t>40018474000185</t>
  </si>
  <si>
    <t>FILE PRIME RESTAURANTE LTDA</t>
  </si>
  <si>
    <t>EMPACOTADORA DE ALIMENTOS VO MANNY LTDA</t>
  </si>
  <si>
    <t>HOLANDA MAIA COMERCIO DE MEDICAMENTOS LTDA</t>
  </si>
  <si>
    <t>PARANGABA VISION COMERCIO DE PRODUTOS OPTICOS LTDA</t>
  </si>
  <si>
    <t>S B C INDUSTRIA E COMERCIO DE CONFECCOES E EQUIPAMENTOS LTDA</t>
  </si>
  <si>
    <t>08994871000260</t>
  </si>
  <si>
    <t>BESERRA e SILVA COMERCIO DE OCULOS LTDA</t>
  </si>
  <si>
    <t>02908742000579</t>
  </si>
  <si>
    <t>NUTRICAO COMERCIO E SERVICOS LTDA</t>
  </si>
  <si>
    <t>05646748000694</t>
  </si>
  <si>
    <t>08427279000104</t>
  </si>
  <si>
    <t>E V X COMERCIO DE ARTIGOS OPTICOS LTDA</t>
  </si>
  <si>
    <t>08393493000189</t>
  </si>
  <si>
    <t>MARACANAU VISION COMERCIO DE ARTIGOS OPTICOS LTDA-ME</t>
  </si>
  <si>
    <t>SHIRLLEY MARA BESSA PEREIRA - ME</t>
  </si>
  <si>
    <t>08198069000183</t>
  </si>
  <si>
    <t>D C MATERIAL DE CONSTRUCAO LTDA</t>
  </si>
  <si>
    <t>DEL PASEO OPTIC COMERCIO DE ARTIGOS OPTICOS LTDA-ME</t>
  </si>
  <si>
    <t>35057801000178</t>
  </si>
  <si>
    <t>J R LIMA SOUSA COMERCIO DE ALIMENTOS LTDA</t>
  </si>
  <si>
    <t>MA DE ALMEIDA COMERCIO DE ALIMENTOS IDEAL LTDA</t>
  </si>
  <si>
    <t>MERCANTIL SUPER CUMBUCO LTDA</t>
  </si>
  <si>
    <t>COMERCIAL PRAIA E MAR LTDA</t>
  </si>
  <si>
    <t>02908742000145</t>
  </si>
  <si>
    <t>00224205000150</t>
  </si>
  <si>
    <t>CBV BEBIDAS LTDA</t>
  </si>
  <si>
    <t>ANTONIA DAS GRACAS DA SILVA PAIXAO</t>
  </si>
  <si>
    <t>LRX COM.DE EQUIP.DE COMBATE A INCENDIO E SEGURANÃ‡A LTDA ME</t>
  </si>
  <si>
    <t>28859335000189</t>
  </si>
  <si>
    <t>NORDESTE DISTRIBUIDORA DE GLP, AGUA E SERVICOS UNIPESSOAL LTDA</t>
  </si>
  <si>
    <t>13254185000102</t>
  </si>
  <si>
    <t>RVR TURISMO E EVENTOS LTDA ME</t>
  </si>
  <si>
    <t>02174437000177</t>
  </si>
  <si>
    <t>PLANETA FERROVIA COMÃ‰RCIO DE PRODUTOS OPTICOS LTDA EPP</t>
  </si>
  <si>
    <t>INARIO INDUSTRIA E COMERCIO DE PERSIANAS E CORTINAS LTDA</t>
  </si>
  <si>
    <t>28429030000218</t>
  </si>
  <si>
    <t>A L S MENDES MOVEIS</t>
  </si>
  <si>
    <t>26958105000141</t>
  </si>
  <si>
    <t>CSM FUTEBOL CLUBE LTDA</t>
  </si>
  <si>
    <t>J P SILVA COMERCIO DE PRODUTOS FARMACEUTICOS</t>
  </si>
  <si>
    <t>37096002000136</t>
  </si>
  <si>
    <t>PIZZARIA SANTA MARGHERITA LTDA</t>
  </si>
  <si>
    <t>F M DA SILVA HOLANDA COMERCIO DE PRODUTOS FARMACEUTICOS</t>
  </si>
  <si>
    <t>JC MOTA DO AMARAL OFICINA DE MOTOS LTDA</t>
  </si>
  <si>
    <t>24736676000106</t>
  </si>
  <si>
    <t>JULIANA DE FREITAS CASTRO RABELO ATIVIDADES DE ESTETICA</t>
  </si>
  <si>
    <t>24689061000176</t>
  </si>
  <si>
    <t>J C DA S MESQUITA COMPUTADORES ME</t>
  </si>
  <si>
    <t>JAS SAMPAIO COMERCIAL DE ALIMENTOS LTDA</t>
  </si>
  <si>
    <t>43111831000143</t>
  </si>
  <si>
    <t>LUISIANA GIRAO LTDA</t>
  </si>
  <si>
    <t>23996720000154</t>
  </si>
  <si>
    <t>EUSEBIO VISION COMERCIO DE ARTIGOS OPTICOS LTDA ME</t>
  </si>
  <si>
    <t>00057733000162</t>
  </si>
  <si>
    <t>M B GUIMARAES NETO &amp; CIA LTDA</t>
  </si>
  <si>
    <t>44195954000172</t>
  </si>
  <si>
    <t>JAV AMBIENTACOES, FABRICACAO E COMERCIO LTDA</t>
  </si>
  <si>
    <t>23343540000254</t>
  </si>
  <si>
    <t>BRN COMERCIO DE CALCADOS LTDA</t>
  </si>
  <si>
    <t>42641227000166</t>
  </si>
  <si>
    <t>TAPEBA COMERCIO DE ARTIGOS OPTICOS LTDA</t>
  </si>
  <si>
    <t>11075280000113</t>
  </si>
  <si>
    <t>FRANCISCO XAVIER NETO ME</t>
  </si>
  <si>
    <t>42299117000168</t>
  </si>
  <si>
    <t>NORDESTE DISTRIBUIDORA DE GLP, AGUA , MATERIAIS ELETRICOS E</t>
  </si>
  <si>
    <t>21977156000105</t>
  </si>
  <si>
    <t>EXTINFOGO COMERCIO E MANUTENCAO DE MATERIAIS CONTRA INCENDIO</t>
  </si>
  <si>
    <t>03175564000234</t>
  </si>
  <si>
    <t>21961710000158</t>
  </si>
  <si>
    <t>COLEGIO SONHO MEU LTDA</t>
  </si>
  <si>
    <t>50623645000230</t>
  </si>
  <si>
    <t>JOLIE-CE COMECIO DE CALCADOS LTDA</t>
  </si>
  <si>
    <t>44788518000107</t>
  </si>
  <si>
    <t>LOUCA DAS UNHAS COMERCIO VAREJISTA DE COSMETICO LTDA</t>
  </si>
  <si>
    <t>41550666000362</t>
  </si>
  <si>
    <t>21687680000133</t>
  </si>
  <si>
    <t>MERCADINHO NAIARA XIMENES COMERCIAL LTDA</t>
  </si>
  <si>
    <t>41119997000180</t>
  </si>
  <si>
    <t>CARIOCA INFOCELL LTDA</t>
  </si>
  <si>
    <t>21271872000164</t>
  </si>
  <si>
    <t>R M COMERCIO DE ARTIGOS OPTICOS LTDA ME</t>
  </si>
  <si>
    <t>10793168000155</t>
  </si>
  <si>
    <t>ABC DOS EXTINTORES COMÃ‰RCIO E MANUTENÃ‡ÃƒO DE MATERIAIS CONTRA</t>
  </si>
  <si>
    <t>39746199000137</t>
  </si>
  <si>
    <t>CLAUDIANA T. SILVA</t>
  </si>
  <si>
    <t>38462358000109</t>
  </si>
  <si>
    <t>CARLOS H. M. SOUSA</t>
  </si>
  <si>
    <t>20934708000127</t>
  </si>
  <si>
    <t>ARVOREDO VISION COMÃ‰RCIO DE ARTIGOS Ã“PTICOS LTDA. - ME</t>
  </si>
  <si>
    <t>20934644000164</t>
  </si>
  <si>
    <t>RIO MAR VISION COMÃ‰RCIO DE ARTIGOS OPTICOS LTDA.- ME</t>
  </si>
  <si>
    <t>10460692000104</t>
  </si>
  <si>
    <t>M S COMERCIO DE ARTIGOS OPTICOS LTDA ME</t>
  </si>
  <si>
    <t>37823312000105</t>
  </si>
  <si>
    <t>O F BRASIL NETO ARTESANAIS LTDA</t>
  </si>
  <si>
    <t>37780974000145</t>
  </si>
  <si>
    <t>TPX INDUSTRIA DE CADEIRAS E MOVEIS PARA ESCRITORIO LTDA</t>
  </si>
  <si>
    <t>37619014000106</t>
  </si>
  <si>
    <t>MR GREGO COMERCIO DE ALIMENTOS LTDA</t>
  </si>
  <si>
    <t>08571105000102</t>
  </si>
  <si>
    <t>HENRIQUE SOUSA CAETANO LTDA</t>
  </si>
  <si>
    <t>01639337000106</t>
  </si>
  <si>
    <t>SABOR DOCES e SALGADOS LTDA</t>
  </si>
  <si>
    <t>02908742000307</t>
  </si>
  <si>
    <t>20951181000572</t>
  </si>
  <si>
    <t>23486871000162</t>
  </si>
  <si>
    <t>FRANCISCO EVANILDO LIMA DA SILVA ME</t>
  </si>
  <si>
    <t>02301602000104</t>
  </si>
  <si>
    <t>NATAN DISTRIBUIDORA LTDA-ME</t>
  </si>
  <si>
    <t>12981026000309</t>
  </si>
  <si>
    <t>10418062000171</t>
  </si>
  <si>
    <t>TA BONITO DISTRIBUIDORA DE FEIJAO VERDE LTDA</t>
  </si>
  <si>
    <t>09541349000105</t>
  </si>
  <si>
    <t>A.S. BESERRA COMERCIO DE ARTIGOS Ã“PTICOS LTDA EPP</t>
  </si>
  <si>
    <t>06538544000198</t>
  </si>
  <si>
    <t>JIMMY CARLOS N DE SOUSA ME</t>
  </si>
  <si>
    <t>37404301000190</t>
  </si>
  <si>
    <t>ReM FABRICACAO E COMERCIO DE COOKIES LTDA</t>
  </si>
  <si>
    <t>36884241000198</t>
  </si>
  <si>
    <t>J A DE SOUSA FILHO SERVICOS AUTOMOTIVOS</t>
  </si>
  <si>
    <t>09237792000197</t>
  </si>
  <si>
    <t>COMERCIAL DE MEDICAMENTO ITAPERY LTDA</t>
  </si>
  <si>
    <t>08994871000180</t>
  </si>
  <si>
    <t>BESERRA &amp; SILVA COMERCIO DE OCULOS LTDA</t>
  </si>
  <si>
    <t>VILA ACAI BM LTDA</t>
  </si>
  <si>
    <t>34292467000174</t>
  </si>
  <si>
    <t>33819548000117</t>
  </si>
  <si>
    <t>CAMILA DOCE IDEIA LTDA</t>
  </si>
  <si>
    <t>17305484000180</t>
  </si>
  <si>
    <t>C E J MODA PRAIA LTDA</t>
  </si>
  <si>
    <t>16981259000109</t>
  </si>
  <si>
    <t>FINOCELL MARA LTDA</t>
  </si>
  <si>
    <t>01855109000173</t>
  </si>
  <si>
    <t>MARIA GONCALVES DA SILVA MACIEIRA - ME</t>
  </si>
  <si>
    <t>16610437000187</t>
  </si>
  <si>
    <t>CAUCAIAVISION COMERCIO DE ARTIGOS OPTICOS LTDA. - ME</t>
  </si>
  <si>
    <t>33327582000174</t>
  </si>
  <si>
    <t>AHAZZI ACESSORIOS E BIJUTERIAS LTDA</t>
  </si>
  <si>
    <t>16563693000160</t>
  </si>
  <si>
    <t>TIANGUA COMERCIO E MANUTENCAO DE MATERIAIS CONTRA INCENDIOS</t>
  </si>
  <si>
    <t>32836396000106</t>
  </si>
  <si>
    <t>A SILVA LOCACAO, SERVICOS E COMERCIO DE PECAS MOTOCICLETAS L</t>
  </si>
  <si>
    <t>MEI</t>
  </si>
  <si>
    <t>15024264000152</t>
  </si>
  <si>
    <t>ITALO J B BARROS</t>
  </si>
  <si>
    <t>32486238000165</t>
  </si>
  <si>
    <t>32.486.238 ANA CAROLINA GONCALVES BARROS</t>
  </si>
  <si>
    <t>32262716000153</t>
  </si>
  <si>
    <t>C. M. DA COSTA ARTIGOS PARA BEBE</t>
  </si>
  <si>
    <t>32202914000121</t>
  </si>
  <si>
    <t>KRONUS VARIEDADES LTDA</t>
  </si>
  <si>
    <t>32176867000199</t>
  </si>
  <si>
    <t>FINOCELL COMERCIO DE ELETRONICOS IMPORTADOS LTDA</t>
  </si>
  <si>
    <t>32081521000107</t>
  </si>
  <si>
    <t>INDUSTRIA DE AGUA BOM JESUS LTDA</t>
  </si>
  <si>
    <t>14140817000170</t>
  </si>
  <si>
    <t>C GOMES DA SILVA MOVEIS</t>
  </si>
  <si>
    <t>31503175000145</t>
  </si>
  <si>
    <t>FRANCISCO SAMUEL DO NASCIMENTO PINTO</t>
  </si>
  <si>
    <t>31296366000183</t>
  </si>
  <si>
    <t>F M BEVILAQUA ARTE E CULTURA</t>
  </si>
  <si>
    <t>31037960000150</t>
  </si>
  <si>
    <t>FM REPRESENTACOES E CONSULTORIA LTDA</t>
  </si>
  <si>
    <t>08266225000104</t>
  </si>
  <si>
    <t>F R V COMERCIO DE ARTIGOS OPTICOS LTDA</t>
  </si>
  <si>
    <t>50112998000194</t>
  </si>
  <si>
    <t>NOVA EMPORIO EN LTDA</t>
  </si>
  <si>
    <t>49867539000131</t>
  </si>
  <si>
    <t>P E BRILHANTE RESTAURANTE LTDA - ME</t>
  </si>
  <si>
    <t>29159044000140</t>
  </si>
  <si>
    <t>DA TERRA INDUSTRIA DE PRODUTOS OPTICOS LTDA - EPP</t>
  </si>
  <si>
    <t>49818635000190</t>
  </si>
  <si>
    <t>IDEAL TRANSPORTADORA LTDA - ME</t>
  </si>
  <si>
    <t>49711846000129</t>
  </si>
  <si>
    <t>M. A. SILVA BARBOSA</t>
  </si>
  <si>
    <t>50551718000144</t>
  </si>
  <si>
    <t>HV ARAUJO DISTRIBUIDORA LTDA - ME</t>
  </si>
  <si>
    <t>50581444000136</t>
  </si>
  <si>
    <t>NOVA EMPORIO INDT LTDA - ME</t>
  </si>
  <si>
    <t>49385622000174</t>
  </si>
  <si>
    <t>ACO ESTRUTURAL LTDA - ME</t>
  </si>
  <si>
    <t>49287663000128</t>
  </si>
  <si>
    <t>L R CARVALHO E CIA LTDA - EPP</t>
  </si>
  <si>
    <t>48990719000143</t>
  </si>
  <si>
    <t>LUIS C DO NASCIMENTO SERVICOS EM MOVEIS</t>
  </si>
  <si>
    <t>48964174000109</t>
  </si>
  <si>
    <t>A C PRODUTOS DE LIMPEZA E DESCARTAVEIS LTDA</t>
  </si>
  <si>
    <t>28775766000167</t>
  </si>
  <si>
    <t>CDI PRODUTOS FARMACEUTICOS LTDA</t>
  </si>
  <si>
    <t>08242533000191</t>
  </si>
  <si>
    <t>REALIZA CONSTRUCOES E SERVICOS LTDA</t>
  </si>
  <si>
    <t>05132687000132</t>
  </si>
  <si>
    <t>P E BRILHANTE DE MENEZES ME</t>
  </si>
  <si>
    <t>48929267000194</t>
  </si>
  <si>
    <t>CEARA GOURMET SERVICOS DE ALIMENTACAO LTDA</t>
  </si>
  <si>
    <t>48472308000166</t>
  </si>
  <si>
    <t>JUNIOR CAR MECANICA ESPECIALIZADA LTDA</t>
  </si>
  <si>
    <t>12981026000228</t>
  </si>
  <si>
    <t>48465634000146</t>
  </si>
  <si>
    <t>CARIOCA VARIEDADES LTDA - ME</t>
  </si>
  <si>
    <t>51899757000108</t>
  </si>
  <si>
    <t>RAIMUNDA RAULINO DO NASCIMENTO SILVA BEBIDAS E MERCEARIA</t>
  </si>
  <si>
    <t>48198686000101</t>
  </si>
  <si>
    <t>C M COMERCIO E VESTUARIO LTDA</t>
  </si>
  <si>
    <t>27040637000249</t>
  </si>
  <si>
    <t>VILA ACAI LTDA ME</t>
  </si>
  <si>
    <t>27040637000168</t>
  </si>
  <si>
    <t>07873084000117</t>
  </si>
  <si>
    <t>A L B COMERCIO DE CALCADOS LTDA</t>
  </si>
  <si>
    <t>47497381000120</t>
  </si>
  <si>
    <t>M E DE SOUSA SERVICOS DE CONSULTORIA</t>
  </si>
  <si>
    <t>47241407000174</t>
  </si>
  <si>
    <t>DROGARIA FARMA CEZAR LTDA</t>
  </si>
  <si>
    <t>26628707000130</t>
  </si>
  <si>
    <t>ENGMAN SERVICOS DE ENGENHARIA E MANUTENCAO LTDA</t>
  </si>
  <si>
    <t>07873084000460</t>
  </si>
  <si>
    <t>47241407000255</t>
  </si>
  <si>
    <t>26321825000100</t>
  </si>
  <si>
    <t>CS EMBALAGENS LTDA</t>
  </si>
  <si>
    <t>12346125000157</t>
  </si>
  <si>
    <t>MADEARTS MDF LTDA</t>
  </si>
  <si>
    <t>45413982000181</t>
  </si>
  <si>
    <t>A K G MORAES LTDA - ME</t>
  </si>
  <si>
    <t>11805777000140</t>
  </si>
  <si>
    <t>INBRASOL INDUSTRIA DE PRODUTOS OPTICOS LTDA - EPP</t>
  </si>
  <si>
    <t>17608115000247</t>
  </si>
  <si>
    <t>20207994000129</t>
  </si>
  <si>
    <t>L W INDUSTRIA E COMERCIO DE GONDOLAS E CHECK OUTS LTDA</t>
  </si>
  <si>
    <t>12395763000168</t>
  </si>
  <si>
    <t>J. P. COMERCIO DE ALIMENTOS LTDA</t>
  </si>
  <si>
    <t>56703129000110</t>
  </si>
  <si>
    <t>EFATA TRANPORTES DE VEICULOS PARA TODO O BRASIL GUINCHOS E CEGONHA LTDA - ME</t>
  </si>
  <si>
    <t>45283110000146</t>
  </si>
  <si>
    <t>ANNA B. H. CHAVES</t>
  </si>
  <si>
    <t>56991842000107</t>
  </si>
  <si>
    <t>GN SUBLIMAIS INDUSTRIA e COMERCIO DE CONFECCOES LTDA</t>
  </si>
  <si>
    <t>44520218000142</t>
  </si>
  <si>
    <t>ANTONIO MAURO DE SOUZA UCHOA LTDA</t>
  </si>
  <si>
    <t>24736676000297</t>
  </si>
  <si>
    <t>07873084000389</t>
  </si>
  <si>
    <t>07516056000142</t>
  </si>
  <si>
    <t>FRANCISCO DAS CHAGAS DE ALMEIDA BARROSO</t>
  </si>
  <si>
    <t>44222302000180</t>
  </si>
  <si>
    <t>G M M NOGUEIRA COMERCIO VAREJISTA DE MATERIAIS DE CONSTRUCAO</t>
  </si>
  <si>
    <t>43564705000144</t>
  </si>
  <si>
    <t>JOSE NILSON MAIA JUNIOR</t>
  </si>
  <si>
    <t>23549213000172</t>
  </si>
  <si>
    <t>M E NOBRE DE LIMA BRILHANTE ME</t>
  </si>
  <si>
    <t>60170181000126</t>
  </si>
  <si>
    <t>AR MERCADINHO LTDA</t>
  </si>
  <si>
    <t>11192199000113</t>
  </si>
  <si>
    <t>FABRICIO RODRIGUES ALVES</t>
  </si>
  <si>
    <t>60696867000155</t>
  </si>
  <si>
    <t>2E ECOM COMERCIO DE ROUPAS LTDA</t>
  </si>
  <si>
    <t>07373712000103</t>
  </si>
  <si>
    <t>S N K COMERCIO DE ARTIGOS OPTICOS LTDA ME</t>
  </si>
  <si>
    <t>22627192000101</t>
  </si>
  <si>
    <t>BARAO VISION COMERCIO DE ARTIGOS OPTICOS LTDA ME</t>
  </si>
  <si>
    <t>42639165000239</t>
  </si>
  <si>
    <t>F M DA SILVA HOLANDA COMERCIO DE PRODUTOS FARMACEUTICOS - EP</t>
  </si>
  <si>
    <t>22479806000147</t>
  </si>
  <si>
    <t>AH DE FREITAS COSTA ME</t>
  </si>
  <si>
    <t>62387045000118</t>
  </si>
  <si>
    <t>DI OTTICA INDUSTRIA E COMERCIO DE PRODUTOS OPTICOS LTDA</t>
  </si>
  <si>
    <t>10863681000175</t>
  </si>
  <si>
    <t>O C M MACHADO NETO LTDA</t>
  </si>
  <si>
    <t>07302128000159</t>
  </si>
  <si>
    <t>FARMACIA SAMPAIO LTDA</t>
  </si>
  <si>
    <t>02174437000410</t>
  </si>
  <si>
    <t>41550666000281</t>
  </si>
  <si>
    <t>44322282000119</t>
  </si>
  <si>
    <t>ML DE SOUSA FARMACIAS LTDA - ME</t>
  </si>
  <si>
    <t>02908742000498</t>
  </si>
  <si>
    <t>10421036000100</t>
  </si>
  <si>
    <t>JFF SERVICOS ADMINISTRATIVOS LTDA</t>
  </si>
  <si>
    <t>08874086000193</t>
  </si>
  <si>
    <t>CURA CERTA COMERCIO VAREJISTA DE PRODUTOS FARMACEUTIVOS LTDA</t>
  </si>
  <si>
    <t>17389943000150</t>
  </si>
  <si>
    <t>COMERCIAL DE ALIMENTOS NETO LTDA</t>
  </si>
  <si>
    <t>00973755000172</t>
  </si>
  <si>
    <t>COMERCIAL ESTIVAS DE ALIMENTOS LTDA</t>
  </si>
  <si>
    <t>31649378000144</t>
  </si>
  <si>
    <t>NARCICIO A MENDES</t>
  </si>
  <si>
    <t>23343540000173</t>
  </si>
  <si>
    <t>13258237000119</t>
  </si>
  <si>
    <t>NIPAN MASSAS CONGELADAS LTDA</t>
  </si>
  <si>
    <t>28429030000137</t>
  </si>
  <si>
    <t>39710449000189</t>
  </si>
  <si>
    <t>A SUZILANE DA SILVA LTDA</t>
  </si>
  <si>
    <t>07121465000140</t>
  </si>
  <si>
    <t>I M PEREIRA</t>
  </si>
  <si>
    <t>05646748000341</t>
  </si>
  <si>
    <t>05646748000260</t>
  </si>
  <si>
    <t>09156818000172</t>
  </si>
  <si>
    <t>MAGILA HELLEN PEREIRA ME</t>
  </si>
  <si>
    <t>05646748000180</t>
  </si>
  <si>
    <t>05646748001151</t>
  </si>
  <si>
    <t>05646748000422</t>
  </si>
  <si>
    <t>Código da Empresa</t>
  </si>
  <si>
    <t>36.181.497/0001-39</t>
  </si>
  <si>
    <t>22.479.806/0001-47</t>
  </si>
  <si>
    <t>42.077.510/0001-07</t>
  </si>
  <si>
    <t>13.258.237/0001-19</t>
  </si>
  <si>
    <t>07.516.056/0001-42</t>
  </si>
  <si>
    <t>00.169.175/0001-27</t>
  </si>
  <si>
    <t>36.410.673/0001-67</t>
  </si>
  <si>
    <t>23.486.871/0001-62</t>
  </si>
  <si>
    <t>20.743.516/0001-33</t>
  </si>
  <si>
    <t>18.452.941/0001-21</t>
  </si>
  <si>
    <t>73.796.088/0001-73</t>
  </si>
  <si>
    <t>10.463.419/0001-33</t>
  </si>
  <si>
    <t>28.429.030/0001-37</t>
  </si>
  <si>
    <t>28.429.030/0002-18</t>
  </si>
  <si>
    <t>09.237.792/0001-97</t>
  </si>
  <si>
    <t>01.639.337/0001-06</t>
  </si>
  <si>
    <t>27.040.637/0001-68</t>
  </si>
  <si>
    <t>27.040.637/0002-49</t>
  </si>
  <si>
    <t>34.292.467/0001-74</t>
  </si>
  <si>
    <t>43.570.576/0001-05</t>
  </si>
  <si>
    <t>06.538.544/0001-98</t>
  </si>
  <si>
    <t>42.781.752/0001-87</t>
  </si>
  <si>
    <t>08.874.086/0001-93</t>
  </si>
  <si>
    <t>35.939.664/0001-03</t>
  </si>
  <si>
    <t>42.639.165/0001-58</t>
  </si>
  <si>
    <t>17.305.484/0001-80</t>
  </si>
  <si>
    <t>15.395.792/0001-18</t>
  </si>
  <si>
    <t>43.458.475/0001-39</t>
  </si>
  <si>
    <t>24.689.061/0001-76</t>
  </si>
  <si>
    <t>15.024.264/0001-52</t>
  </si>
  <si>
    <t>43.421.948/0001-23</t>
  </si>
  <si>
    <t>43.836.199/0001-03</t>
  </si>
  <si>
    <t>26.244.766/0001-05</t>
  </si>
  <si>
    <t>42.078.843/0001-50</t>
  </si>
  <si>
    <t>43.667.407/0001-80</t>
  </si>
  <si>
    <t>23.492.582/0001-76</t>
  </si>
  <si>
    <t>44.168.654/0001-02</t>
  </si>
  <si>
    <t>44.929.871/0001-60</t>
  </si>
  <si>
    <t>45.038.547/0001-14</t>
  </si>
  <si>
    <t>29.860.549/0001-38</t>
  </si>
  <si>
    <t>14.140.817/0001-70</t>
  </si>
  <si>
    <t>45.030.050/0001-50</t>
  </si>
  <si>
    <t>45.059.658/0001-07</t>
  </si>
  <si>
    <t>41.589.408/0001-28</t>
  </si>
  <si>
    <t>00.002.462/1983-18</t>
  </si>
  <si>
    <t>46.738.798/0001-74</t>
  </si>
  <si>
    <t>28.775.766/0001-67</t>
  </si>
  <si>
    <t>38.348.478/0001-80</t>
  </si>
  <si>
    <t>32.486.238/0001-65</t>
  </si>
  <si>
    <t>12.346.125/0001-57</t>
  </si>
  <si>
    <t>38.295.532/0001-76</t>
  </si>
  <si>
    <t>47.233.185/0001-48</t>
  </si>
  <si>
    <t>47.330.178/0001-64</t>
  </si>
  <si>
    <t>44.195.954/0001-72</t>
  </si>
  <si>
    <t>02.301.602/0001-04</t>
  </si>
  <si>
    <t>10.418.062/0001-71</t>
  </si>
  <si>
    <t>41.119.997/0001-80</t>
  </si>
  <si>
    <t>36.278.079/0001-64</t>
  </si>
  <si>
    <t>32.343.397/0001-00</t>
  </si>
  <si>
    <t>43.148.601/0001-59</t>
  </si>
  <si>
    <t>48.003.523/0001-18</t>
  </si>
  <si>
    <t>13.254.185/0001-02</t>
  </si>
  <si>
    <t>12.981.026/0001-47</t>
  </si>
  <si>
    <t>20.216.194/0001-74</t>
  </si>
  <si>
    <t>12.981.026/0002-28</t>
  </si>
  <si>
    <t>12.981.026/0003-09</t>
  </si>
  <si>
    <t>45.413.982/0001-81</t>
  </si>
  <si>
    <t>33.863.206/0001-02</t>
  </si>
  <si>
    <t>27.699.575/0001-09</t>
  </si>
  <si>
    <t>00.973.755/0001-72</t>
  </si>
  <si>
    <t>10.863.681/0001-75</t>
  </si>
  <si>
    <t>48.352.530/0001-25</t>
  </si>
  <si>
    <t>41.326.017/0001-10</t>
  </si>
  <si>
    <t>48.465.634/0001-46</t>
  </si>
  <si>
    <t>44.054.657/0001-07</t>
  </si>
  <si>
    <t>05.132.687/0001-32</t>
  </si>
  <si>
    <t>23.549.213/0001-72</t>
  </si>
  <si>
    <t>27.849.121/0001-69</t>
  </si>
  <si>
    <t>48.996.444/0001-55</t>
  </si>
  <si>
    <t>48.990.719/0001-43</t>
  </si>
  <si>
    <t>36.884.241/0001-98</t>
  </si>
  <si>
    <t>47.232.048/0001-99</t>
  </si>
  <si>
    <t>48.098.490/0001-37</t>
  </si>
  <si>
    <t>49.385.622/0001-74</t>
  </si>
  <si>
    <t>49.461.923/0001-30</t>
  </si>
  <si>
    <t>43.418.910/0001-00</t>
  </si>
  <si>
    <t>48.213.752/0001-67</t>
  </si>
  <si>
    <t>33.384.059/0001-80</t>
  </si>
  <si>
    <t>36.756.409/0001-80</t>
  </si>
  <si>
    <t>33.327.582/0001-74</t>
  </si>
  <si>
    <t>49.867.539/0001-31</t>
  </si>
  <si>
    <t>50.179.544/0001-30</t>
  </si>
  <si>
    <t>42.639.165/0002-39</t>
  </si>
  <si>
    <t>37.823.312/0001-05</t>
  </si>
  <si>
    <t>41.343.361/0001-18</t>
  </si>
  <si>
    <t>50.359.141/0001-73</t>
  </si>
  <si>
    <t>50.377.074/0001-10</t>
  </si>
  <si>
    <t>50.513.223/0001-20</t>
  </si>
  <si>
    <t>50.551.718/0001-44</t>
  </si>
  <si>
    <t>39.746.199/0001-37</t>
  </si>
  <si>
    <t>50.581.444/0001-36</t>
  </si>
  <si>
    <t>50.657.035/0001-76</t>
  </si>
  <si>
    <t>50.657.081/0001-75</t>
  </si>
  <si>
    <t>50.112.998/0001-94</t>
  </si>
  <si>
    <t>46.569.986/0001-16</t>
  </si>
  <si>
    <t>36.220.012/0001-79</t>
  </si>
  <si>
    <t>50.726.053/0001-62</t>
  </si>
  <si>
    <t>07.633.475/0001-64</t>
  </si>
  <si>
    <t>50.994.718/0001-19</t>
  </si>
  <si>
    <t>51.014.425/0001-90</t>
  </si>
  <si>
    <t>48.472.308/0001-66</t>
  </si>
  <si>
    <t>51.063.292/0001-42</t>
  </si>
  <si>
    <t>26.321.825/0001-00</t>
  </si>
  <si>
    <t>36.010.066/0001-00</t>
  </si>
  <si>
    <t>18.914.734/0001-41</t>
  </si>
  <si>
    <t>09.541.349/0001-05</t>
  </si>
  <si>
    <t>20.934.644/0001-64</t>
  </si>
  <si>
    <t>07.373.712/0001-03</t>
  </si>
  <si>
    <t>22.627.192/0001-01</t>
  </si>
  <si>
    <t>15.122.739/0001-43</t>
  </si>
  <si>
    <t>23.996.720/0001-54</t>
  </si>
  <si>
    <t>16.610.437/0001-87</t>
  </si>
  <si>
    <t>08.266.225/0001-04</t>
  </si>
  <si>
    <t>08.393.493/0001-89</t>
  </si>
  <si>
    <t>20.934.708/0001-27</t>
  </si>
  <si>
    <t>28.942.796/0001-10</t>
  </si>
  <si>
    <t>08.427.279/0001-04</t>
  </si>
  <si>
    <t>42.641.227/0001-66</t>
  </si>
  <si>
    <t>36.142.836/0001-78</t>
  </si>
  <si>
    <t>49.287.663/0001-28</t>
  </si>
  <si>
    <t>51.201.530/0001-39</t>
  </si>
  <si>
    <t>51.388.096/0001-48</t>
  </si>
  <si>
    <t>08.571.105/0001-02</t>
  </si>
  <si>
    <t>20.589.507/0001-30</t>
  </si>
  <si>
    <t>51.645.768/0001-53</t>
  </si>
  <si>
    <t>51.803.514/0001-16</t>
  </si>
  <si>
    <t>05.646.748/0001-80</t>
  </si>
  <si>
    <t>44.520.218/0001-42</t>
  </si>
  <si>
    <t>05.646.748/0002-60</t>
  </si>
  <si>
    <t>05.646.748/0003-41</t>
  </si>
  <si>
    <t>05.646.748/0004-22</t>
  </si>
  <si>
    <t>05.646.748/0006-94</t>
  </si>
  <si>
    <t>05.646.748/0008-56</t>
  </si>
  <si>
    <t>05.646.748/0010-70</t>
  </si>
  <si>
    <t>05.646.748/0011-51</t>
  </si>
  <si>
    <t>51.975.362/0001-39</t>
  </si>
  <si>
    <t>30.994.028/0001-52</t>
  </si>
  <si>
    <t>37.619.014/0001-06</t>
  </si>
  <si>
    <t>52.014.416/0001-62</t>
  </si>
  <si>
    <t>52.023.829/0001-03</t>
  </si>
  <si>
    <t>52.197.110/0001-99</t>
  </si>
  <si>
    <t>36.377.545/0001-69</t>
  </si>
  <si>
    <t>40.066.919/0001-00</t>
  </si>
  <si>
    <t>11.075.280/0001-13</t>
  </si>
  <si>
    <t>38.080.863/0001-99</t>
  </si>
  <si>
    <t>41.301.292/0001-80</t>
  </si>
  <si>
    <t>45.215.147/0001-37</t>
  </si>
  <si>
    <t>45.215.147/0002-18</t>
  </si>
  <si>
    <t>39.426.970/0001-99</t>
  </si>
  <si>
    <t>23.502.766/0001-70</t>
  </si>
  <si>
    <t>02.908.742/0001-45</t>
  </si>
  <si>
    <t>02.908.742/0003-07</t>
  </si>
  <si>
    <t>02.908.742/0004-98</t>
  </si>
  <si>
    <t>37.404.301/0001-90</t>
  </si>
  <si>
    <t>45.373.267/0001-62</t>
  </si>
  <si>
    <t>09.154.432/0001-21</t>
  </si>
  <si>
    <t>49.796.140/0001-07</t>
  </si>
  <si>
    <t>03.591.742/0001-27</t>
  </si>
  <si>
    <t>48.059.243/0001-21</t>
  </si>
  <si>
    <t>49.425.230/0001-91</t>
  </si>
  <si>
    <t>49.067.190/0001-53</t>
  </si>
  <si>
    <t>36.326.266/0001-76</t>
  </si>
  <si>
    <t>52.417.196/0001-18</t>
  </si>
  <si>
    <t>01.855.109/0001-73</t>
  </si>
  <si>
    <t>21.961.710/0001-58</t>
  </si>
  <si>
    <t>29.285.218/0001-11</t>
  </si>
  <si>
    <t>00.057.733/0001-62</t>
  </si>
  <si>
    <t>52.442.248/0001-06</t>
  </si>
  <si>
    <t>52.645.597/0001-25</t>
  </si>
  <si>
    <t>50.540.884/0001-45</t>
  </si>
  <si>
    <t>52.716.528/0001-65</t>
  </si>
  <si>
    <t>52.739.305/0001-13</t>
  </si>
  <si>
    <t>43.179.859/0001-12</t>
  </si>
  <si>
    <t>45.154.280/0001-20</t>
  </si>
  <si>
    <t>35.057.801/0001-78</t>
  </si>
  <si>
    <t>26.958.105/0001-41</t>
  </si>
  <si>
    <t>52.645.873/0001-55</t>
  </si>
  <si>
    <t>33.819.548/0001-17</t>
  </si>
  <si>
    <t>47.241.407/0001-74</t>
  </si>
  <si>
    <t>36.377.545/0002-40</t>
  </si>
  <si>
    <t>53.273.387/0001-16</t>
  </si>
  <si>
    <t>53.273.489/0001-31</t>
  </si>
  <si>
    <t>53.282.367/0001-01</t>
  </si>
  <si>
    <t>53.308.783/0001-31</t>
  </si>
  <si>
    <t>53.435.321/0001-85</t>
  </si>
  <si>
    <t>47.569.716/0001-78</t>
  </si>
  <si>
    <t>39.755.367/0001-50</t>
  </si>
  <si>
    <t>45.202.755/0001-07</t>
  </si>
  <si>
    <t>40.670.871/0001-37</t>
  </si>
  <si>
    <t>63.497.101/0001-30</t>
  </si>
  <si>
    <t>63.497.101/0002-10</t>
  </si>
  <si>
    <t>42.084.015/0001-25</t>
  </si>
  <si>
    <t>53.816.839/0001-69</t>
  </si>
  <si>
    <t>53.933.309/0001-09</t>
  </si>
  <si>
    <t>53.961.576/0001-81</t>
  </si>
  <si>
    <t>54.004.441/0001-90</t>
  </si>
  <si>
    <t>54.029.854/0001-20</t>
  </si>
  <si>
    <t>54.142.297/0001-59</t>
  </si>
  <si>
    <t>49.387.538/0001-90</t>
  </si>
  <si>
    <t>54.243.187/0001-83</t>
  </si>
  <si>
    <t>49.711.846/0001-29</t>
  </si>
  <si>
    <t>31.037.960/0001-50</t>
  </si>
  <si>
    <t>54.244.319/0001-91</t>
  </si>
  <si>
    <t>54.648.659/0001-88</t>
  </si>
  <si>
    <t>22.749.300/0001-00</t>
  </si>
  <si>
    <t>44.788.518/0001-07</t>
  </si>
  <si>
    <t>39.710.449/0001-89</t>
  </si>
  <si>
    <t>32.084.111/0001-10</t>
  </si>
  <si>
    <t>54.910.402/0001-52</t>
  </si>
  <si>
    <t>54.973.312/0001-00</t>
  </si>
  <si>
    <t>54.992.741/0001-25</t>
  </si>
  <si>
    <t>55.027.400/0001-82</t>
  </si>
  <si>
    <t>55.027.518/0001-00</t>
  </si>
  <si>
    <t>55.027.790/0001-90</t>
  </si>
  <si>
    <t>55.043.986/0001-79</t>
  </si>
  <si>
    <t>31.205.430/0001-73</t>
  </si>
  <si>
    <t>20.373.830/0001-71</t>
  </si>
  <si>
    <t>55.215.613/0001-38</t>
  </si>
  <si>
    <t>55.215.646/0001-88</t>
  </si>
  <si>
    <t>55.215.718/0001-97</t>
  </si>
  <si>
    <t>55.215.744/0001-15</t>
  </si>
  <si>
    <t>32.872.858/0001-32</t>
  </si>
  <si>
    <t>55.372.881/0001-63</t>
  </si>
  <si>
    <t>40.775.996/0001-21</t>
  </si>
  <si>
    <t>34.830.528/0001-00</t>
  </si>
  <si>
    <t>54.807.958/0001-18</t>
  </si>
  <si>
    <t>24.937.274/0001-70</t>
  </si>
  <si>
    <t>55.519.812/0001-30</t>
  </si>
  <si>
    <t>51.580.589/0001-85</t>
  </si>
  <si>
    <t>39.154.766/0001-66</t>
  </si>
  <si>
    <t>55.577.125/0001-70</t>
  </si>
  <si>
    <t>50.623.645/0002-30</t>
  </si>
  <si>
    <t>50.623.645/0001-59</t>
  </si>
  <si>
    <t>42.354.237/0001-10</t>
  </si>
  <si>
    <t>11.618.173/0001-94</t>
  </si>
  <si>
    <t>11.618.173/0004-37</t>
  </si>
  <si>
    <t>42.554.647/0001-05</t>
  </si>
  <si>
    <t>10.837.635/0001-00</t>
  </si>
  <si>
    <t>50.093.323/0003-07</t>
  </si>
  <si>
    <t>50.093.323/0001-45</t>
  </si>
  <si>
    <t>07.873.084/0001-17</t>
  </si>
  <si>
    <t>07.873.084/0003-89</t>
  </si>
  <si>
    <t>07.873.084/0004-60</t>
  </si>
  <si>
    <t>20.951.181/0001-49</t>
  </si>
  <si>
    <t>20.951.181/0002-20</t>
  </si>
  <si>
    <t>20.951.181/0003-00</t>
  </si>
  <si>
    <t>20.951.181/0004-91</t>
  </si>
  <si>
    <t>20.951.181/0005-72</t>
  </si>
  <si>
    <t>20.951.181/0006-53</t>
  </si>
  <si>
    <t>23.343.540/0001-73</t>
  </si>
  <si>
    <t>23.343.540/0002-54</t>
  </si>
  <si>
    <t>50.623.645/0003-10</t>
  </si>
  <si>
    <t>52.582.507/0001-02</t>
  </si>
  <si>
    <t>55.825.118/0001-40</t>
  </si>
  <si>
    <t>55.844.842/0001-11</t>
  </si>
  <si>
    <t>28.429.030/0003-07</t>
  </si>
  <si>
    <t>51.760.230/0001-90</t>
  </si>
  <si>
    <t>55.353.799/0001-91</t>
  </si>
  <si>
    <t>55.520.278/0001-81</t>
  </si>
  <si>
    <t>56.031.895/0001-86</t>
  </si>
  <si>
    <t>56.053.205/0001-90</t>
  </si>
  <si>
    <t>56.068.873/0001-90</t>
  </si>
  <si>
    <t>56.703.129/0001-10</t>
  </si>
  <si>
    <t>40.453.943/0001-94</t>
  </si>
  <si>
    <t>12.395.763/0001-68</t>
  </si>
  <si>
    <t>56.246.305/0001-32</t>
  </si>
  <si>
    <t>49.854.503/0001-13</t>
  </si>
  <si>
    <t>02.908.742/0005-79</t>
  </si>
  <si>
    <t>56.525.525/0001-03</t>
  </si>
  <si>
    <t>31.056.639/0001-12</t>
  </si>
  <si>
    <t>33.912.498/0001-18</t>
  </si>
  <si>
    <t>54.344.813/0001-28</t>
  </si>
  <si>
    <t>47.241.407/0002-55</t>
  </si>
  <si>
    <t>39.842.680/0001-26</t>
  </si>
  <si>
    <t>32.836.396/0001-06</t>
  </si>
  <si>
    <t>55.365.194/0001-10</t>
  </si>
  <si>
    <t>37.780.974/0001-45</t>
  </si>
  <si>
    <t>57.332.067/0001-40</t>
  </si>
  <si>
    <t>57.362.450/0001-41</t>
  </si>
  <si>
    <t>57.395.002/0001-44</t>
  </si>
  <si>
    <t>32.976.891/0001-02</t>
  </si>
  <si>
    <t>47.025.971/0001-50</t>
  </si>
  <si>
    <t>49.616.657/0001-77</t>
  </si>
  <si>
    <t>52.163.811/0001-07</t>
  </si>
  <si>
    <t>55.907.806/0001-50</t>
  </si>
  <si>
    <t>58.580.055/0001-06</t>
  </si>
  <si>
    <t>58.574.606/0001-10</t>
  </si>
  <si>
    <t>57.426.495/0001-32</t>
  </si>
  <si>
    <t>37.136.628/0001-29</t>
  </si>
  <si>
    <t>50.623.645/0005-82</t>
  </si>
  <si>
    <t>50.623.645/0004-00</t>
  </si>
  <si>
    <t>39.452.463/0001-20</t>
  </si>
  <si>
    <t>57.620.277/0001-34</t>
  </si>
  <si>
    <t>38.462.358/0001-09</t>
  </si>
  <si>
    <t>16.971.736/0001-47</t>
  </si>
  <si>
    <t>53.768.620/0001-31</t>
  </si>
  <si>
    <t>11.192.199/0001-13</t>
  </si>
  <si>
    <t>48.556.076/0001-24</t>
  </si>
  <si>
    <t>45.095.779/0001-04</t>
  </si>
  <si>
    <t>43.111.831/0001-43</t>
  </si>
  <si>
    <t>00.224.205/0001-50</t>
  </si>
  <si>
    <t>46.972.192/0001-07</t>
  </si>
  <si>
    <t>08.242.533/0001-91</t>
  </si>
  <si>
    <t>42.299.117/0001-68</t>
  </si>
  <si>
    <t>21.196.487/0001-08</t>
  </si>
  <si>
    <t>33.537.132/0001-06</t>
  </si>
  <si>
    <t>28.859.335/0001-89</t>
  </si>
  <si>
    <t>40.987.616/0001-12</t>
  </si>
  <si>
    <t>57.848.842/0001-15</t>
  </si>
  <si>
    <t>51.899.757/0001-08</t>
  </si>
  <si>
    <t>58.130.704/0001-69</t>
  </si>
  <si>
    <t>58.181.104/0001-20</t>
  </si>
  <si>
    <t>56.386.646/0001-03</t>
  </si>
  <si>
    <t>57.880.895/0001-13</t>
  </si>
  <si>
    <t>58.593.895/0001-03</t>
  </si>
  <si>
    <t>32.262.716/0001-53</t>
  </si>
  <si>
    <t>58.659.231/0001-91</t>
  </si>
  <si>
    <t>57.192.638/0001-99</t>
  </si>
  <si>
    <t>37.599.533/0001-41</t>
  </si>
  <si>
    <t>58.816.151/0001-00</t>
  </si>
  <si>
    <t>58.864.354/0001-64</t>
  </si>
  <si>
    <t>58.920.995/0001-99</t>
  </si>
  <si>
    <t>58.946.410/0001-00</t>
  </si>
  <si>
    <t>58.976.278/0001-89</t>
  </si>
  <si>
    <t>45.283.110/0001-46</t>
  </si>
  <si>
    <t>59.002.604/0001-10</t>
  </si>
  <si>
    <t>36.405.115/0001-03</t>
  </si>
  <si>
    <t>20.207.994/0001-29</t>
  </si>
  <si>
    <t>59.066.147/0001-27</t>
  </si>
  <si>
    <t>59.011.922/0001-47</t>
  </si>
  <si>
    <t>59.199.280/0001-51</t>
  </si>
  <si>
    <t>11.805.777/0001-40</t>
  </si>
  <si>
    <t>08.994.871/0001-80</t>
  </si>
  <si>
    <t>10.712.266/0001-10</t>
  </si>
  <si>
    <t>22.850.504/0001-33</t>
  </si>
  <si>
    <t>02.174.437/0001-77</t>
  </si>
  <si>
    <t>00.091.966/0001-81</t>
  </si>
  <si>
    <t>29.159.044/0001-40</t>
  </si>
  <si>
    <t>10.968.080/0001-27</t>
  </si>
  <si>
    <t>10.460.692/0001-04</t>
  </si>
  <si>
    <t>03.854.920/0001-65</t>
  </si>
  <si>
    <t>10.490.017/0001-28</t>
  </si>
  <si>
    <t>21.271.872/0001-64</t>
  </si>
  <si>
    <t>59.255.838/0001-79</t>
  </si>
  <si>
    <t>59.327.641/0001-06</t>
  </si>
  <si>
    <t>39.615.700/0001-26</t>
  </si>
  <si>
    <t>59.357.738/0001-53</t>
  </si>
  <si>
    <t>59.398.998/0001-77</t>
  </si>
  <si>
    <t>02.174.437/0004-10</t>
  </si>
  <si>
    <t>59.428.585/0001-98</t>
  </si>
  <si>
    <t>43.029.490/0001-61</t>
  </si>
  <si>
    <t>08.994.871/0002-60</t>
  </si>
  <si>
    <t>10.968.080/0002-08</t>
  </si>
  <si>
    <t>52.350.971/0001-65</t>
  </si>
  <si>
    <t>37.096.002/0001-36</t>
  </si>
  <si>
    <t>48.198.686/0001-01</t>
  </si>
  <si>
    <t>59.530.557/0001-87</t>
  </si>
  <si>
    <t>58.672.444/0001-53</t>
  </si>
  <si>
    <t>11.153.274/0001-37</t>
  </si>
  <si>
    <t>51.496.679/0001-92</t>
  </si>
  <si>
    <t>31.503.175/0001-45</t>
  </si>
  <si>
    <t>59.579.418/0001-48</t>
  </si>
  <si>
    <t>59.637.586/0001-42</t>
  </si>
  <si>
    <t>54.527.271/0001-29</t>
  </si>
  <si>
    <t>59.704.622/0001-43</t>
  </si>
  <si>
    <t>53.804.172/0001-84</t>
  </si>
  <si>
    <t>51.640.200/0001-40</t>
  </si>
  <si>
    <t>59.790.955/0001-32</t>
  </si>
  <si>
    <t>45.768.013/0001-43</t>
  </si>
  <si>
    <t>10.448.032/0001-08</t>
  </si>
  <si>
    <t>32.081.521/0001-07</t>
  </si>
  <si>
    <t>24.736.676/0001-06</t>
  </si>
  <si>
    <t>59.876.406/0001-85</t>
  </si>
  <si>
    <t>59.926.904/0001-95</t>
  </si>
  <si>
    <t>24.111.139/0001-70</t>
  </si>
  <si>
    <t>58.482.767/0001-84</t>
  </si>
  <si>
    <t>60.021.978/0001-61</t>
  </si>
  <si>
    <t>60.018.792/0001-53</t>
  </si>
  <si>
    <t>60.014.747/0001-20</t>
  </si>
  <si>
    <t>57.069.753/0001-70</t>
  </si>
  <si>
    <t>59.575.170/0001-47</t>
  </si>
  <si>
    <t>47.497.381/0001-20</t>
  </si>
  <si>
    <t>60.148.197/0001-32</t>
  </si>
  <si>
    <t>60.170.181/0001-26</t>
  </si>
  <si>
    <t>60.169.250/0001-81</t>
  </si>
  <si>
    <t>60.169.308/0001-97</t>
  </si>
  <si>
    <t>41.393.030/0001-92</t>
  </si>
  <si>
    <t>17.389.943/0001-50</t>
  </si>
  <si>
    <t>10.421.036/0001-00</t>
  </si>
  <si>
    <t>27.614.305/0001-40</t>
  </si>
  <si>
    <t>60.411.138/0001-05</t>
  </si>
  <si>
    <t>60.449.234/0001-42</t>
  </si>
  <si>
    <t>60.448.228/0001-70</t>
  </si>
  <si>
    <t>60.451.983/0001-04</t>
  </si>
  <si>
    <t>38.029.957/0001-33</t>
  </si>
  <si>
    <t>58.586.725/0001-93</t>
  </si>
  <si>
    <t>50.623.645/0007-44</t>
  </si>
  <si>
    <t>60.593.342/0001-94</t>
  </si>
  <si>
    <t>60.593.549/0001-69</t>
  </si>
  <si>
    <t>60.585.518/0001-66</t>
  </si>
  <si>
    <t>60.537.084/0001-29</t>
  </si>
  <si>
    <t>43.564.705/0001-44</t>
  </si>
  <si>
    <t>60.664.657/0001-85</t>
  </si>
  <si>
    <t>60.570.708/0001-00</t>
  </si>
  <si>
    <t>60.696.867/0001-55</t>
  </si>
  <si>
    <t>60.708.240/0001-77</t>
  </si>
  <si>
    <t>60.783.951/0001-06</t>
  </si>
  <si>
    <t>60.010.459/0001-06</t>
  </si>
  <si>
    <t>60.847.838/0001-47</t>
  </si>
  <si>
    <t>16.981.259/0001-09</t>
  </si>
  <si>
    <t>54.619.092/0001-11</t>
  </si>
  <si>
    <t>32.176.867/0001-99</t>
  </si>
  <si>
    <t>32.202.914/0001-21</t>
  </si>
  <si>
    <t>60.872.237/0001-94</t>
  </si>
  <si>
    <t>60.879.472/0001-98</t>
  </si>
  <si>
    <t>00.005.291/5523-01</t>
  </si>
  <si>
    <t>60.913.223/0001-71</t>
  </si>
  <si>
    <t>44.322.282/0001-19</t>
  </si>
  <si>
    <t>17.608.115/0002-47</t>
  </si>
  <si>
    <t>17.608.115/0003-28</t>
  </si>
  <si>
    <t>19.189.251/0001-94</t>
  </si>
  <si>
    <t>17.608.115/0001-66</t>
  </si>
  <si>
    <t>06.028.708/0001-37</t>
  </si>
  <si>
    <t>46.793.514/0001-42</t>
  </si>
  <si>
    <t>47.415.615/0001-42</t>
  </si>
  <si>
    <t>47.912.801/0001-97</t>
  </si>
  <si>
    <t>08.822.285/0001-58</t>
  </si>
  <si>
    <t>47.912.672/0001-37</t>
  </si>
  <si>
    <t>26.288.252/0001-51</t>
  </si>
  <si>
    <t>60.979.719/0001-48</t>
  </si>
  <si>
    <t>61.016.576/0001-31</t>
  </si>
  <si>
    <t>61.163.669/0001-99</t>
  </si>
  <si>
    <t>59.007.303/0001-89</t>
  </si>
  <si>
    <t>21.687.680/0001-33</t>
  </si>
  <si>
    <t>61.387.466/0001-86</t>
  </si>
  <si>
    <t>61.154.994/0001-95</t>
  </si>
  <si>
    <t>42.776.403/0001-77</t>
  </si>
  <si>
    <t>44.137.157/0001-39</t>
  </si>
  <si>
    <t>61.462.348/0001-95</t>
  </si>
  <si>
    <t>31.296.366/0001-83</t>
  </si>
  <si>
    <t>41.244.968/0001-40</t>
  </si>
  <si>
    <t>61.523.567/0001-37</t>
  </si>
  <si>
    <t>61.543.087/0001-38</t>
  </si>
  <si>
    <t>61.559.355/0001-00</t>
  </si>
  <si>
    <t>11.994.430/0001-92</t>
  </si>
  <si>
    <t>61.616.513/0001-16</t>
  </si>
  <si>
    <t>48.929.267/0001-94</t>
  </si>
  <si>
    <t>61.706.705/0001-13</t>
  </si>
  <si>
    <t>55.973.695/0001-80</t>
  </si>
  <si>
    <t>61.799.099/0001-28</t>
  </si>
  <si>
    <t>51.907.369/0001-13</t>
  </si>
  <si>
    <t>47.237.447/0001-42</t>
  </si>
  <si>
    <t>56.991.842/0001-07</t>
  </si>
  <si>
    <t>62.020.322/0001-50</t>
  </si>
  <si>
    <t>60.773.913/0001-72</t>
  </si>
  <si>
    <t>09.156.818/0001-72</t>
  </si>
  <si>
    <t>28.941.256/0001-12</t>
  </si>
  <si>
    <t>16.563.693/0001-60</t>
  </si>
  <si>
    <t>21.977.156/0001-05</t>
  </si>
  <si>
    <t>62.071.560/0001-94</t>
  </si>
  <si>
    <t>62.074.320/0001-43</t>
  </si>
  <si>
    <t>62.118.403/0001-97</t>
  </si>
  <si>
    <t>41.550.666/0001-09</t>
  </si>
  <si>
    <t>41.550.666/0002-81</t>
  </si>
  <si>
    <t>58.646.521/0001-09</t>
  </si>
  <si>
    <t>10.793.168/0001-55</t>
  </si>
  <si>
    <t>62.299.084/0001-63</t>
  </si>
  <si>
    <t>62.302.127/0001-12</t>
  </si>
  <si>
    <t>62.350.943/0001-00</t>
  </si>
  <si>
    <t>62.387.045/0001-18</t>
  </si>
  <si>
    <t>24.736.676/0002-97</t>
  </si>
  <si>
    <t>62.351.072/0001-30</t>
  </si>
  <si>
    <t>43.457.629/0001-78</t>
  </si>
  <si>
    <t>61.512.041/0001-51</t>
  </si>
  <si>
    <t>62.657.686/0001-45</t>
  </si>
  <si>
    <t>49.818.635/0001-90</t>
  </si>
  <si>
    <t>07.302.128/0001-59</t>
  </si>
  <si>
    <t>61.195.452/0001-60</t>
  </si>
  <si>
    <t>62.714.113/0001-06</t>
  </si>
  <si>
    <t>62.787.168/0001-46</t>
  </si>
  <si>
    <t>40.018.474/0001-85</t>
  </si>
  <si>
    <t>52.587.564/0001-76</t>
  </si>
  <si>
    <t>51.481.359/0001-69</t>
  </si>
  <si>
    <t>62.870.391/0001-52</t>
  </si>
  <si>
    <t>63.051.679/0001-68</t>
  </si>
  <si>
    <t>63.114.906/0001-57</t>
  </si>
  <si>
    <t>63.206.383/0001-79</t>
  </si>
  <si>
    <t>44.222.302/0001-80</t>
  </si>
  <si>
    <t>60.424.838/0001-34</t>
  </si>
  <si>
    <t>63.274.736/0001-78</t>
  </si>
  <si>
    <t>03.580.716/0001-01</t>
  </si>
  <si>
    <t>63.409.728/0001-91</t>
  </si>
  <si>
    <t>63.415.973/0001-01</t>
  </si>
  <si>
    <t>63.426.674/0001-72</t>
  </si>
  <si>
    <t>63.488.917/0001-05</t>
  </si>
  <si>
    <t>52.474.336/0001-90</t>
  </si>
  <si>
    <t>55.756.503/0001-83</t>
  </si>
  <si>
    <t>60.220.774/0001-50</t>
  </si>
  <si>
    <t>63.547.514/0001-81</t>
  </si>
  <si>
    <t>07.121.465/0001-40</t>
  </si>
  <si>
    <t>18.631.323/0001-49</t>
  </si>
  <si>
    <t>40.453.230/0001-20</t>
  </si>
  <si>
    <t>63.983.172/0001-42</t>
  </si>
  <si>
    <t>31.649.378/0001-44</t>
  </si>
  <si>
    <t>49.295.831/0001-27</t>
  </si>
  <si>
    <t>64.020.784/0001-00</t>
  </si>
  <si>
    <t>03.175.564/0001-53</t>
  </si>
  <si>
    <t>08.198.069/0001-83</t>
  </si>
  <si>
    <t>40.698.871/0001-45</t>
  </si>
  <si>
    <t>57.209.857/0001-33</t>
  </si>
  <si>
    <t>64.036.399/0001-43</t>
  </si>
  <si>
    <t>64.070.776/0001-60</t>
  </si>
  <si>
    <t>64.283.304/0001-96</t>
  </si>
  <si>
    <t>64.375.792/0001-61</t>
  </si>
  <si>
    <t>64.407.523/0001-30</t>
  </si>
  <si>
    <t>15.839.645/0001-90</t>
  </si>
  <si>
    <t>58.876.738/0001-05</t>
  </si>
  <si>
    <t>64.497.678/0001-04</t>
  </si>
  <si>
    <t>64.530.378/0001-80</t>
  </si>
  <si>
    <t>36.965.599/0001-45</t>
  </si>
  <si>
    <t>50.326.947/0001-65</t>
  </si>
  <si>
    <t>03.175.564/0002-34</t>
  </si>
  <si>
    <t>64.980.680/0001-30</t>
  </si>
  <si>
    <t>65.017.267/0001-37</t>
  </si>
  <si>
    <t>65.038.336/0001-99</t>
  </si>
  <si>
    <t>65.079.225/0001-20</t>
  </si>
  <si>
    <t>65.116.744/0001-11</t>
  </si>
  <si>
    <t>26.628.707/0001-30</t>
  </si>
  <si>
    <t>31.414.257/0001-13</t>
  </si>
  <si>
    <t>65.185.127/0001-78</t>
  </si>
  <si>
    <t>65.172.465/0001-75</t>
  </si>
  <si>
    <t>54.307.857/0001-88</t>
  </si>
  <si>
    <t>65.289.235/0001-90</t>
  </si>
  <si>
    <t>65.313.195/0001-75</t>
  </si>
  <si>
    <t>65.349.768/0001-10</t>
  </si>
  <si>
    <t>65.379.360/0001-91</t>
  </si>
  <si>
    <t>65.580.713/0001-17</t>
  </si>
  <si>
    <t>62.525.911/0001-90</t>
  </si>
  <si>
    <t>65.950.145/0001-07</t>
  </si>
  <si>
    <t>48.964.174/0001-09</t>
  </si>
  <si>
    <t>41.329.903/0001-06</t>
  </si>
  <si>
    <t>66.031.091/0001-30</t>
  </si>
  <si>
    <t>40.625.724/0001-45</t>
  </si>
  <si>
    <t>66.133.616/0001-49</t>
  </si>
  <si>
    <t>52.644.975/0001-56</t>
  </si>
  <si>
    <t>41.550.666/0003-62</t>
  </si>
  <si>
    <t>66.194.324/0001-16</t>
  </si>
  <si>
    <t>37.203.431/0001-65</t>
  </si>
  <si>
    <t>66.259.406/0001-00</t>
  </si>
  <si>
    <t>66.297.087/0001-19</t>
  </si>
  <si>
    <t>32.067.940/0001-94</t>
  </si>
  <si>
    <t>48.098.431/0001-69</t>
  </si>
  <si>
    <t>65.635.974/0001-97</t>
  </si>
  <si>
    <t>37.033.193/0001-97</t>
  </si>
  <si>
    <t>09.520.008/0001-53</t>
  </si>
  <si>
    <t>62.109.993/0001-91</t>
  </si>
  <si>
    <t>61.700.773/0001-75</t>
  </si>
  <si>
    <t>41.945.960/0001-01</t>
  </si>
  <si>
    <t>66.775.300/0001-50</t>
  </si>
  <si>
    <t>66.836.481/0001-88</t>
  </si>
  <si>
    <t>66.841.076/0001-58</t>
  </si>
  <si>
    <t>59.416.707/0001-26</t>
  </si>
  <si>
    <t>66.905.376/0001-53</t>
  </si>
  <si>
    <t>63.661.795/0001-07</t>
  </si>
  <si>
    <t>30.210.986/0001-95</t>
  </si>
  <si>
    <t>67.014.294/0001-81</t>
  </si>
  <si>
    <t>57.352.581/0001-48</t>
  </si>
  <si>
    <t>66.917.223/0001-26</t>
  </si>
  <si>
    <t>31.367.585/0001-06</t>
  </si>
  <si>
    <t>50.307.372/0001-33</t>
  </si>
  <si>
    <t>67.253.311/0001-33</t>
  </si>
  <si>
    <t>67.267.313/0001-81</t>
  </si>
  <si>
    <t>67.498.459/0001-38</t>
  </si>
  <si>
    <t>31.270.458/0001-94</t>
  </si>
  <si>
    <t>67.498.749/0001-81</t>
  </si>
  <si>
    <t>67.564.528/0001-64</t>
  </si>
  <si>
    <t>Razão Social</t>
  </si>
  <si>
    <t>A.H. DE FREITAS COSTA</t>
  </si>
  <si>
    <t>DEBITT CONTABILIDADE DIGITAL LTDA</t>
  </si>
  <si>
    <t>NIPAN MASSAS CONGELADAS LTDA - ME.</t>
  </si>
  <si>
    <t>MARIA AURILENE DE SOUZA CAMURÇA ME</t>
  </si>
  <si>
    <t>HOLANDA MAIA COMERCIO DE MEDICAMENTOS LTDA EPP</t>
  </si>
  <si>
    <t>S B C INDUSTRIA E COMERCIO DE CONFECCOES E EQUIPAMENTOS LTDA.</t>
  </si>
  <si>
    <t>REDE AMBIENTAL COMERCIO E SERVIÇOS LTDA</t>
  </si>
  <si>
    <t>A L S MENDES-MOVEIS</t>
  </si>
  <si>
    <t>SABOR DOCES &amp; SALGADOS LTDA</t>
  </si>
  <si>
    <t>VILA ACAI LTDA</t>
  </si>
  <si>
    <t>A C M SERVICOS DE NUTRICAO GERIATRICA LTDA</t>
  </si>
  <si>
    <t>JIMMY CARLOS N DE SOUSA</t>
  </si>
  <si>
    <t>CURACERTA COMERCIO VAREJISTA DE PRODUTOS FARMACEUTICOS LTDA</t>
  </si>
  <si>
    <t>R C MAIA ASSESSORIA</t>
  </si>
  <si>
    <t>A M BARBOSA</t>
  </si>
  <si>
    <t>LAB ONE PRODUTOS E SERVICOS OPTICOS LTDA</t>
  </si>
  <si>
    <t>J C DA S MESQUITA COMPUTADORES</t>
  </si>
  <si>
    <t>J P F DA SILVA SERVICOS ELETRICOS</t>
  </si>
  <si>
    <t>GUILHERME VIEIRA DE MORAES</t>
  </si>
  <si>
    <t>BRENO AUGUSTO CARDOSO BARROSO</t>
  </si>
  <si>
    <t>GETULIO VIEIRA DE MORAES.</t>
  </si>
  <si>
    <t>QUIMERA CONSTRUCOES E SERVICOS LTDA</t>
  </si>
  <si>
    <t>UNICON SERVICOS E EVENTOS LTDA</t>
  </si>
  <si>
    <t>IRACEMA COMERCIO DE PRODUTOS FARMACEUTICOS LTDA</t>
  </si>
  <si>
    <t>AUGUSTO LAIO SOCIEDADE INDIVIDUAL DE ADVOCACIA</t>
  </si>
  <si>
    <t>TOTEM COWORKING LTDA</t>
  </si>
  <si>
    <t>4 PATAS PET HOTEL LTDA</t>
  </si>
  <si>
    <t>R. ALVES MARQUES ATENDIMENTOS MEDICOS</t>
  </si>
  <si>
    <t>WILLIAN CARVALHO SOCIEDADE INDIVIDUAL DE ADVOCACIA</t>
  </si>
  <si>
    <t>HOSPITAL VETERINARIO DE EQUINOS DRA JOILDE GADELHA LTDA</t>
  </si>
  <si>
    <t>DIEGO FELIPE SILVEIRA ESSES</t>
  </si>
  <si>
    <t>IACO REPRESENTACOES LTDA</t>
  </si>
  <si>
    <t>BRAZIL OPPORTUNITY LTDA</t>
  </si>
  <si>
    <t>STRONG ENERGY LTDA.</t>
  </si>
  <si>
    <t>J FLAVIO SERVICOS DE INTERMEDIACOES LTDA</t>
  </si>
  <si>
    <t>GALETERIA MARANHAO LTDA</t>
  </si>
  <si>
    <t>NATAN DISTRIBUIDORA LTDA</t>
  </si>
  <si>
    <t>TA BONITO SERVICOS ADMINISTRATIVOS LTDA</t>
  </si>
  <si>
    <t>3 A HOLDING PATRIMONIAL LTDA</t>
  </si>
  <si>
    <t>MOVELARIA CANTO DOS MOVEIS LTDA</t>
  </si>
  <si>
    <t>DEB SERVICOS DE LEGALIZACAO LTDA</t>
  </si>
  <si>
    <t>RVR TURISMO E EVENTOS LTDA</t>
  </si>
  <si>
    <t>J. A. GARCIA MORAES</t>
  </si>
  <si>
    <t>A K G MORAES LTDA</t>
  </si>
  <si>
    <t>W &amp; A EMPREENDIMENTOS LTDA</t>
  </si>
  <si>
    <t>EDILEUDA S LIMA</t>
  </si>
  <si>
    <t>M&amp;L CONSTRUCOES LTDA</t>
  </si>
  <si>
    <t>MR DOCTORS LTDA</t>
  </si>
  <si>
    <t>CARIOCA VARIEDADES LTDA</t>
  </si>
  <si>
    <t>LUCIANO LIBORIO PUBLICIDADE LTDA</t>
  </si>
  <si>
    <t>P E BRILHANTE DE MENEZES</t>
  </si>
  <si>
    <t>M E NOBRE DE LIMA BRILHANTE</t>
  </si>
  <si>
    <t>JANIELLE LIMA CONCEITO LTDA</t>
  </si>
  <si>
    <t>IRON JUNGLE ACADEMIA DE MUSCULACAO LTDA</t>
  </si>
  <si>
    <t>I M S SILVA CASTRO</t>
  </si>
  <si>
    <t>IGOR ROCHA GADELHA LTDA</t>
  </si>
  <si>
    <t>ACO ESTRUTURAL LTDA</t>
  </si>
  <si>
    <t>DEDETIZADORA MAGALHAES LTDA</t>
  </si>
  <si>
    <t>ACO CEARA INDUSTRIA E COMERCIO LTDA</t>
  </si>
  <si>
    <t>AV CONSULTORIA LTDA</t>
  </si>
  <si>
    <t>IVAELCELULARES LTDA</t>
  </si>
  <si>
    <t>P E BRILHANTE RESTAURANTE LTDA</t>
  </si>
  <si>
    <t>RX ASSESSORIA E CONSULTORIA IMOBILIARIA</t>
  </si>
  <si>
    <t>O F BRASIL NETO ARTESANAIS</t>
  </si>
  <si>
    <t>WORKEASY SOLUCOES EM TI LTDA</t>
  </si>
  <si>
    <t>FANTASTIC FESTAS E VARIEDADES LTDA</t>
  </si>
  <si>
    <t>ICONE CONSULTORIA E EDUCACAO LTDA</t>
  </si>
  <si>
    <t>FACANHA RODRIGUES CONSULTORIA EMPRESARIA</t>
  </si>
  <si>
    <t>HV ARAUJO DISTRIBUIDORA LTDA</t>
  </si>
  <si>
    <t>NOVA EMPORIO INDT LTDA</t>
  </si>
  <si>
    <t>NOVA EMPORIO ARCP LTDA</t>
  </si>
  <si>
    <t>NOVA EMPORIO ES LTDA</t>
  </si>
  <si>
    <t>WS CAFE LTDA</t>
  </si>
  <si>
    <t>ISABEL OLIVEIRA DOS SANTOS SOCIEDADE INDIVIDUAL DE ADVOCACIA</t>
  </si>
  <si>
    <t>ANTONIA MARTINS GOMES</t>
  </si>
  <si>
    <t>MIX CONFEITARIA E CONSULTORIA LTDA</t>
  </si>
  <si>
    <t>NOVA EMPORIO MS LTDA</t>
  </si>
  <si>
    <t>PATIO CAFE LTDA</t>
  </si>
  <si>
    <t>LOLA INDUSTRIA E COMERCIO DE ALIMENTOS LTDA</t>
  </si>
  <si>
    <t>PARANGABA VISION COMERCIO DE PRODUTOS OP</t>
  </si>
  <si>
    <t>A. S. BESERRA COMERCIO DE ARTIGOS OPTICOS LTDA</t>
  </si>
  <si>
    <t>VISION TREINAMENTOS LTDA</t>
  </si>
  <si>
    <t>S N K COMERCIO DE ARTIGOS OPTICOS LTDA</t>
  </si>
  <si>
    <t>BARAO VISION COMERCIO DE ARTIGOS OPTICOS LTDA.</t>
  </si>
  <si>
    <t>EUSEBIO VISION COMERCIO DE ARTIGOS OPTICOS LTDA.</t>
  </si>
  <si>
    <t>CAUCAIAVISION COMERCIO DE ARTIGOS OPTICOS LTDA</t>
  </si>
  <si>
    <t>MARACANAU VISION COMERCIO DE ARTIGOS OPTICOS LTDA</t>
  </si>
  <si>
    <t>ARVOREDO VISION COMERCIO DE ARTIGOS OPTICOS LTDA.</t>
  </si>
  <si>
    <t>DEL PASEO OPTIC COMERCIO DE ARTIGOS OPTICOS LTDA</t>
  </si>
  <si>
    <t>J L DE SOUSA ARRUDA SERVIÇOS LTDA</t>
  </si>
  <si>
    <t>L R CARVALHO E CIA LTDA</t>
  </si>
  <si>
    <t>DS OPTICA LTDA</t>
  </si>
  <si>
    <t>M B COMPRA E VENDA DE CAMINHOES LTDA</t>
  </si>
  <si>
    <t>FUSION CABELEIREIROS LTDA</t>
  </si>
  <si>
    <t>QUEIROS AZEVEDO SERVICOS MEDICOS LTDA</t>
  </si>
  <si>
    <t>BRUNO VEICULOS LTDA</t>
  </si>
  <si>
    <t>EMANUEL INTERMEDIACOES LTDA</t>
  </si>
  <si>
    <t>FIESTAS BUFFET LTDA</t>
  </si>
  <si>
    <t>CHRISTOPH DOLL CONSULTING LTDA</t>
  </si>
  <si>
    <t>BRASIL INVESTIMENTOS EM NEGOCIOS IMOBILIARIOS LTDA</t>
  </si>
  <si>
    <t>TANGO INTERMEDIACOES LTDA</t>
  </si>
  <si>
    <t>APORTE ADMINISTRACAO DE FUNDOS LTDA</t>
  </si>
  <si>
    <t>ATIVOS REABILITACAO LTDA</t>
  </si>
  <si>
    <t>FRANCISCO XAVIER NETO</t>
  </si>
  <si>
    <t>CAPITALIZE GESTAO EMPRESARIAL LTDA</t>
  </si>
  <si>
    <t>4D INDUSTRIA DE MALHAS LTDA.</t>
  </si>
  <si>
    <t>FINANZA ADMINISTRACAO DE FUNDOS LTDA</t>
  </si>
  <si>
    <t>SERPET - LOCACAO ESPECIALIZADA DE MAO DE OBRA LTDA</t>
  </si>
  <si>
    <t>R&amp;M FABRICACAO E COMERCIO DE COOKIES LTDA</t>
  </si>
  <si>
    <t>TALITA AMORIM SILVA GOMES 02358897337</t>
  </si>
  <si>
    <t>DIELLY QUEIROZ SAMPAIO</t>
  </si>
  <si>
    <t>49.796.140 LETICIA AMORIM GOMES</t>
  </si>
  <si>
    <t>03.591.742 MARIA VICENCIA FREITAS BARBOSA DE LIMA</t>
  </si>
  <si>
    <t>ASLONEM LTDA</t>
  </si>
  <si>
    <t>APORTE CAPITAL E INVESTIMENTOS LTDA</t>
  </si>
  <si>
    <t>IF CAPITAL E INVESTIMENTOS LTDA</t>
  </si>
  <si>
    <t>MARAYSE ISMARIA PAULA FERNANDES DA SILVA 05496113393</t>
  </si>
  <si>
    <t>STORE INTERMEDIACOES LTDA</t>
  </si>
  <si>
    <t>MARIA GONCALVES DA SILVA MACIEIRA</t>
  </si>
  <si>
    <t>IMPULSO ENGENHARIA LTDA</t>
  </si>
  <si>
    <t>BEIRA MAR CAFE LTDA</t>
  </si>
  <si>
    <t>DN GOMES LTDA</t>
  </si>
  <si>
    <t>UP GESTAO DE SERVICOS LTDA</t>
  </si>
  <si>
    <t>C.T. TRAINING LTDA</t>
  </si>
  <si>
    <t>TS SILK EMBALAGENS LTDA</t>
  </si>
  <si>
    <t>MILENIUM FRETAMENTO E TURISMO LTDA</t>
  </si>
  <si>
    <t>LL MOREIRA SERVICOS AUTOMOTORES LTDA</t>
  </si>
  <si>
    <t>L S SEGURANCA LTDA</t>
  </si>
  <si>
    <t>RVM DESENVOLVIMENTO DE SOFTWARE LTDA</t>
  </si>
  <si>
    <t>COLB ENGENHARIA LTDA</t>
  </si>
  <si>
    <t>M A COMERCIO DE CEREAIS LTDA</t>
  </si>
  <si>
    <t>MCA SAUDE ATENDIMENTO MEDICO LTDA</t>
  </si>
  <si>
    <t>ALINE BRITO ACADEMY LTDA</t>
  </si>
  <si>
    <t>P S ACESSORIOS TATICOS LTDA</t>
  </si>
  <si>
    <t>RSTECH CONSULT LTDA</t>
  </si>
  <si>
    <t>DAVI C BEZERRA</t>
  </si>
  <si>
    <t>A. J. V. CORREIA FARMACIA</t>
  </si>
  <si>
    <t>42.084.015 ROMARIO ALENCAR MENDONCA</t>
  </si>
  <si>
    <t>AJV CORREIA SERVICOS E TREINAMENTOS LTDA</t>
  </si>
  <si>
    <t>HOLDING MORAES IMOVEIS LTDA</t>
  </si>
  <si>
    <t>RXA ASSESSORIA E CONSULTORIA IMOBILIARIA LTDA</t>
  </si>
  <si>
    <t>MUSH DESIGN LTDA</t>
  </si>
  <si>
    <t>ASLONEM BEBIDAS LTDA</t>
  </si>
  <si>
    <t>RXV ASSESSORIA E CONSULTORIA IMOBILIARIA LTDA</t>
  </si>
  <si>
    <t>LRM SERVICOS ADMINISTRATIVOS LTDA</t>
  </si>
  <si>
    <t>54.243.187 ALEX ANDERSON LINS DE LIMA</t>
  </si>
  <si>
    <t>N D COMERCIO VAREJISTA DE PRODUTOS ALIMENTICIOS LTDA</t>
  </si>
  <si>
    <t>ONE VIEW PRODUTOS E SERVICOS OPTICOS LTDA</t>
  </si>
  <si>
    <t>BEIRA MAR COWORKING E NEGOCIOS LTDA</t>
  </si>
  <si>
    <t>QUEIROZ FRANCO CONSULTORIA LTDA</t>
  </si>
  <si>
    <t>S &amp; M COMERCIO DE VESTUARIOS LTDA</t>
  </si>
  <si>
    <t>J.A. MARKETING E APOIO ADMINISTRATIVO LTDA</t>
  </si>
  <si>
    <t>J &amp; A SERVICOS DE ENTREGA E APOIO ADMINISTRATIVO LTDA</t>
  </si>
  <si>
    <t>J. A. SERVICOS DE MONITORAMENTO LTDA</t>
  </si>
  <si>
    <t>SALAO CACHEADAS FORTALEZA CENTRO DE BELEZA NATURAL LTDA</t>
  </si>
  <si>
    <t>A NOVA MEDICINA CONTEUDOS DIGITAIS E TREINAMENTOS LTDA</t>
  </si>
  <si>
    <t>IGNICAO MEDICA LTDA</t>
  </si>
  <si>
    <t>IMED LTDA</t>
  </si>
  <si>
    <t>MEDTRACK SERVICOS LTDA</t>
  </si>
  <si>
    <t>MEDHEALTH SERVICOS LTDA</t>
  </si>
  <si>
    <t>MARQUES ARRUDA SERVICOS VETERINARIOS LTDA</t>
  </si>
  <si>
    <t>LF FERREIRA GOMES SERVICOS MEDICOS LTDA</t>
  </si>
  <si>
    <t>CLINICA BE FORTALEZA LTDA</t>
  </si>
  <si>
    <t>S. H. RODRIGUES NOBRE</t>
  </si>
  <si>
    <t>S. E. SILVA DE LIMA</t>
  </si>
  <si>
    <t>WL CONSULTORIA E PLANTAO MEDICO LTDA</t>
  </si>
  <si>
    <t>G B SERVICOS ODONTOLOGICOS LTDA</t>
  </si>
  <si>
    <t>VIA SUL IMPLANTES LTDA</t>
  </si>
  <si>
    <t>LEONARDO UNIAS TREINAMENTO DE ESPORTES</t>
  </si>
  <si>
    <t>JOLIE-CE COMERCIO DE CALCADOS LTDA.</t>
  </si>
  <si>
    <t>LB ADMINISTRACAO PATRIMONIAL LTDA</t>
  </si>
  <si>
    <t>NEW PASEO ADMINISTRACAO DE IMOVEIS LTDA</t>
  </si>
  <si>
    <t>START PARTICIPACOES LTDA</t>
  </si>
  <si>
    <t>USACE COMERCIO DE CALCADOS LTDA.</t>
  </si>
  <si>
    <t>A L B COMERCIO DE CALCADOS LTDA.</t>
  </si>
  <si>
    <t>ADE COMERCIO DE CALCADOS LTDA.</t>
  </si>
  <si>
    <t>BRN COMERCIO DE CALCADOS LTDA.</t>
  </si>
  <si>
    <t>D.E VEICULOS LTDA</t>
  </si>
  <si>
    <t>I M ROCHA SERVICOS MEDICOS LTDA</t>
  </si>
  <si>
    <t>DELICADA JOJU MODAS &amp; CIA LTDA</t>
  </si>
  <si>
    <t>R R LOCACAO DE MOTOS LTDA</t>
  </si>
  <si>
    <t>IS COMERCIO, SERVICOS E PRODUCOES LTDA</t>
  </si>
  <si>
    <t>A J V COMERCIO VAREJISTA DE PRODUTOS FARMACEUTICOS LTDA</t>
  </si>
  <si>
    <t>PRESTIGIO TREINAMENTOS LTDA</t>
  </si>
  <si>
    <t>MX REFORMAS E CONSTRUCOES LTDA</t>
  </si>
  <si>
    <t>OTICA SOLARIS LTDA</t>
  </si>
  <si>
    <t>EFATA TRANPORTES DE VEICULOS PARA TODO O BRASIL GUINCHOS E CEGONHA LTDA</t>
  </si>
  <si>
    <t>PERSONAL GERONTO LTDA</t>
  </si>
  <si>
    <t>RF CONSTRUCOES LTDA</t>
  </si>
  <si>
    <t>K. V. LOPES MAQUIAGENS</t>
  </si>
  <si>
    <t>REVAYAH COMERCIO DE PRODUTOS E BEBIDAS LTDA</t>
  </si>
  <si>
    <t>31.056.639 ANNA BEATRIZ LIMA D AVILA</t>
  </si>
  <si>
    <t>MASTER CAIXAS SERVICOS LTDA</t>
  </si>
  <si>
    <t>COMPLEXO DE SAUDE E ENSINO A SIL LTDA</t>
  </si>
  <si>
    <t>A SILVA LOCACAO, SERVICOS E COMERCIO DE PECAS DE MOTOCICLETAS LTDA</t>
  </si>
  <si>
    <t>KAPILER, INDUSTRIA E COMERCIO LTDA</t>
  </si>
  <si>
    <t>J.P CONSULTORIA E SERVICOS LTDA</t>
  </si>
  <si>
    <t>OAS SERVICOS DE SAUDE LTDA</t>
  </si>
  <si>
    <t>E SIL SAUDE E ESTETICA LTDA</t>
  </si>
  <si>
    <t>A. M. DE MESQUITA</t>
  </si>
  <si>
    <t>LANN CONSULT E FINANCAS LTDA</t>
  </si>
  <si>
    <t>L&amp;L CONSULTORIA E GESTAO FINANCEIRA LTDA</t>
  </si>
  <si>
    <t>EATECH SOLUCOES LTDA</t>
  </si>
  <si>
    <t>HOLANDA CONSTRUCOES E ENGENHARIA LTDA</t>
  </si>
  <si>
    <t>ASB SOFTWARE LTDA</t>
  </si>
  <si>
    <t>START GESTAO LTDA</t>
  </si>
  <si>
    <t>A SIL CURSOS E EVENTOS LTDA</t>
  </si>
  <si>
    <t>D. RAMOS DE ARAUJO COMERCIO DE ALIMENTOS LTDA</t>
  </si>
  <si>
    <t>JOLIE-CE COMERCIO DE CALCADOS LTDA</t>
  </si>
  <si>
    <t>INFINITY TECH SERVIÇOS E COMERCIO LTDA</t>
  </si>
  <si>
    <t>TPX OFFICE SERVICOS ADMINISTRATIVOS LTDA</t>
  </si>
  <si>
    <t>MULTIMEDIA TECNOLOGIA LTDA</t>
  </si>
  <si>
    <t>E. F. MENEZES TREINAMENTOS</t>
  </si>
  <si>
    <t>TOSHIBA GOURMET RESTAURANTE LTDA</t>
  </si>
  <si>
    <t>HENRIQUE ARTUR CORDEIRO GOMES</t>
  </si>
  <si>
    <t>NORDESTE DISTRIBUIDORA DE GLP, AGUA , MATERIAIS ELETRICOS E DE INFORMATICA LTDA</t>
  </si>
  <si>
    <t>COOPERATIVA AGROPECUARIA E DE SERVICOS NOSSA SENHORA APARECIDA COOPAAGRO</t>
  </si>
  <si>
    <t>COOPERATIVA AGROECOLOGICA E DE SERVICOS SAO JOAO BATISTA COOPAEJO</t>
  </si>
  <si>
    <t>RR PIZZARIA E MASSAS LTDA</t>
  </si>
  <si>
    <t>57.848.842 MARIANA CARDOSO DE SENNA</t>
  </si>
  <si>
    <t>OCULART OTICA MESSEJANA LTDA</t>
  </si>
  <si>
    <t>NOVA EMPORIO RS LTDA</t>
  </si>
  <si>
    <t>I. M. DE SOUSA ALIMENTOS</t>
  </si>
  <si>
    <t>J F S DO NASCIMENTO SERVICOS</t>
  </si>
  <si>
    <t>COMPLEXO ATIVOS LTDA</t>
  </si>
  <si>
    <t>SUNSET KIDS LTDA</t>
  </si>
  <si>
    <t>INDUSTRIA DE ALIMENTOS MULTIGRAOS LTDA</t>
  </si>
  <si>
    <t>GABRIEL B. SOUZA</t>
  </si>
  <si>
    <t>BESSA IMOVEIS &amp; GESTAO S.A.</t>
  </si>
  <si>
    <t>SEREIA BLUEE MODA PRAIA LTDA</t>
  </si>
  <si>
    <t>RST SOLUCOES EM PRODUTOS LTDA</t>
  </si>
  <si>
    <t>VITTA RESIDENCIAL SENIOR LTDA</t>
  </si>
  <si>
    <t>ADR SPORTS LTDA</t>
  </si>
  <si>
    <t>CLINICA STETYCOS SAUDE E PERFOMANCE LTDA</t>
  </si>
  <si>
    <t>PET &amp; GROOMER LTDA</t>
  </si>
  <si>
    <t>CENTER CAR SOLUCOES AUTOMOTIVAS LTDA</t>
  </si>
  <si>
    <t>AGENCIA BARRETO DE INTELIGENCIA PRIVADA LTDA</t>
  </si>
  <si>
    <t>U S F ENERGIA LTDA</t>
  </si>
  <si>
    <t>INBRASOL INDUSTRIA DE PRODUTOS OPTICOS LTDA.</t>
  </si>
  <si>
    <t>CARIRI COMERCIO DE ARTIGOS OPTICOS LTDA</t>
  </si>
  <si>
    <t>PLANETA FERROVIA COMERCIO DE PRODUTOS OPTICOS LTDA</t>
  </si>
  <si>
    <t>DA TERRA INDUSTRIA DE PRODUTOS OPTICOS LTDA</t>
  </si>
  <si>
    <t>A &amp; S COMERCIO DE ARTIGOS OPTICOS LTDA</t>
  </si>
  <si>
    <t>M. S. COMERCIO DE ARTIGOS OPTICOS LTDA</t>
  </si>
  <si>
    <t>S &amp; A COMERCIO DE ARTIGOS OPTICOS LTDA</t>
  </si>
  <si>
    <t>FERROVIA ADMINISTRADORA DE FRANCHISING LTDA</t>
  </si>
  <si>
    <t>R M COMERCIO DE ARTIGOS OPTICOS LTDA</t>
  </si>
  <si>
    <t>SILVESTRE E CASTRO SERVICOS LTDA</t>
  </si>
  <si>
    <t>P A B SERVICOS LTDA</t>
  </si>
  <si>
    <t>LAKAZZIJEANS LTDA</t>
  </si>
  <si>
    <t>ESTALEIRO SERVICOS ADMINISTRATIVOS E ENTREGAS LTDA</t>
  </si>
  <si>
    <t>OTICA RT LTDA</t>
  </si>
  <si>
    <t>C M DANTAS</t>
  </si>
  <si>
    <t>G A ANDRADE DE OLIVEIRA</t>
  </si>
  <si>
    <t>C M COMERCIO E VESTUARIO</t>
  </si>
  <si>
    <t>ANNA FLOR CONCEITO LTDA</t>
  </si>
  <si>
    <t>MARIA BRENA IVYNA SILVA MOREIRA</t>
  </si>
  <si>
    <t>CMB GESTAO EMPRESARIAL S/S LTDA</t>
  </si>
  <si>
    <t>FMB PARTICIPACOES E INVESTIMENTOS LTDA</t>
  </si>
  <si>
    <t>NEXTTRIP LTDA</t>
  </si>
  <si>
    <t>DAVI VIEIRA DA SILVA LTDA</t>
  </si>
  <si>
    <t>FINO CELL VARIEDADES JATOBA LTDA</t>
  </si>
  <si>
    <t>UP ADMINISTRATIVO LTDA</t>
  </si>
  <si>
    <t>L.W. GONDOLAS SERVICOS E COMERCIO LTDA</t>
  </si>
  <si>
    <t>FINOCELL MOZART LTDA</t>
  </si>
  <si>
    <t>M.V GIRAO LATICINIOS LTDA</t>
  </si>
  <si>
    <t>CENTERCAR SERVICOS PARA AUTOS LTDA</t>
  </si>
  <si>
    <t>AGUANAMBI SERVICOS PARA AUTOS LTDA</t>
  </si>
  <si>
    <t>VITOR ACESSORIOS E PECAS AUTOMOTIVAS LTDA</t>
  </si>
  <si>
    <t>MIRDAN TRANSPORTES LTDA</t>
  </si>
  <si>
    <t>EMF SERVICOS E TELECOM LTDA</t>
  </si>
  <si>
    <t>DERMAVITALLE LTDA</t>
  </si>
  <si>
    <t>DEBITT GESTAO E TECNOLOGIA LTDA</t>
  </si>
  <si>
    <t>BILLTT TENDAS COMERCIO E SERVICOS LTDA</t>
  </si>
  <si>
    <t>COMERCIAL DE ALIMENTOS DUDA MIX LTDA</t>
  </si>
  <si>
    <t>J.S. SERVICOS LTDA</t>
  </si>
  <si>
    <t>SOU LUZ ENERGY - ENERGIAS RENOVAVEIS LTDA</t>
  </si>
  <si>
    <t>BOM JESUS SERVICO DE ENTREGA LTDA</t>
  </si>
  <si>
    <t>NOVA MIX SERVICOS CONFEITARIA E CONSULTORIA LTDA</t>
  </si>
  <si>
    <t>NOVA ADMINISTRATIVO LTDA</t>
  </si>
  <si>
    <t>FORTALS PRE- MOLDADOS LTDA</t>
  </si>
  <si>
    <t>FORTAL PREMOLDADOS LTDA</t>
  </si>
  <si>
    <t>SEU ESPACO COMERCIO VAREJISTA DE PRODUTOS NATURAIS LTDA</t>
  </si>
  <si>
    <t>AURIOCARDIO LTDA</t>
  </si>
  <si>
    <t>A R C J ODONTOLOGIA LTDA</t>
  </si>
  <si>
    <t>PIZZARIA SANTA MARGHERITA BOAVENTURA LTDA</t>
  </si>
  <si>
    <t>EOLIA WIND SERVICES MANUTENCAO EM AEROGERADORES LTDA</t>
  </si>
  <si>
    <t>COMPLEXO ARENA LTDA</t>
  </si>
  <si>
    <t>JOLIE-CE COMERCIO DE CALÇADOS LTDA</t>
  </si>
  <si>
    <t>EOLIA RENOVAVEIS LTDA</t>
  </si>
  <si>
    <t>EOLIA SERVICOS EM ALTURAS E ESPACOS CONFINADOS LTDA</t>
  </si>
  <si>
    <t>CUIDADO FARMA COMERCIO VAREJISTA DE PRODUTOS FARMACEUTICOS LTDA</t>
  </si>
  <si>
    <t>TOP AMBIENTAL SERVICOS LTDA</t>
  </si>
  <si>
    <t>60.664.657 LARA FREITAS DIAS</t>
  </si>
  <si>
    <t>ANDRADE OLIVEIRA TREINAMENTOS LTDA</t>
  </si>
  <si>
    <t>AGILIZARTI LTDA</t>
  </si>
  <si>
    <t>MX PLANEJADOS LTDA</t>
  </si>
  <si>
    <t>R V R SERVICOS E TURISMO LTDA</t>
  </si>
  <si>
    <t>J. SERVICOS ENTREGA LTDA</t>
  </si>
  <si>
    <t>FINOCELL VARIEDADES E ACESSORIOS E ELETRONICOS LTDA</t>
  </si>
  <si>
    <t>D K HOLANDA SERVICOS MEDICOS LTDA</t>
  </si>
  <si>
    <t>S&amp;S FRIOS E ALIMENTOS LTDA</t>
  </si>
  <si>
    <t>MARIANA CARDOSO DE SENNA</t>
  </si>
  <si>
    <t>B. L. V. M. CLINICA DE PSICOLOGIA LTDA</t>
  </si>
  <si>
    <t>ML DE SOUSA FARMACIAS LTDA</t>
  </si>
  <si>
    <t>COMERCIAL PRAIA &amp; MAR EIRELI</t>
  </si>
  <si>
    <t>KKD PROMOCAO DE VENDAS LTDA</t>
  </si>
  <si>
    <t>MJ 4 GESTAO E ADMINISTRACAO DE IMOVEIS LTDA</t>
  </si>
  <si>
    <t>XWS PROMOCAO DE VENDAS LTDA</t>
  </si>
  <si>
    <t>MJ GESTAO E ADMINISTRACAO DE IMOVEIS LTDA</t>
  </si>
  <si>
    <t>MJ 2 GESTAO E ADMINISTRACAO DE IMOVEIS LTDA</t>
  </si>
  <si>
    <t>COMERCIAL PRAIA E MAR EIRELI</t>
  </si>
  <si>
    <t>MJ 3 GESTAO E ADMINISTRACAO DE IMOVEIS LTDA</t>
  </si>
  <si>
    <t>N ALVES DE SOUZA SERVICOS</t>
  </si>
  <si>
    <t>ENCANTO DA SEREIA LTDA</t>
  </si>
  <si>
    <t>CEARA DECORACOES E INTERMEDIACOES LTDA</t>
  </si>
  <si>
    <t>COMERCIO GALPAO DOS MOVEIS LTDA</t>
  </si>
  <si>
    <t>59.007.303 JOAO VICTOR GEYSON SILVEIRA ARAUJO</t>
  </si>
  <si>
    <t>ORTOFACIAL PATIO DOM LUIS LTDA</t>
  </si>
  <si>
    <t>ALTKOD SOLUTIONS LTDA</t>
  </si>
  <si>
    <t>ARANORD ARAMADOS NORDESTE SERVICOS E COMERCIO LTDA</t>
  </si>
  <si>
    <t>SERVICAR SERVICOS DE MANUTENCAO E REFORMA LTDA</t>
  </si>
  <si>
    <t>F7 SERVICOS E MANUTENCOES LTDA</t>
  </si>
  <si>
    <t>P. ACOSTA AR CONDICIONADO LTDA</t>
  </si>
  <si>
    <t>DUNA BUSINESS SOLUTIONS LTDA</t>
  </si>
  <si>
    <t>A4 AR CONDICIONADO LTDA</t>
  </si>
  <si>
    <t>JAV DECORACOES E INTERMEDIACOES LTDA</t>
  </si>
  <si>
    <t>DIMARSAL LTDA</t>
  </si>
  <si>
    <t>ALLIAH RH E CONSULTORIA LTDA</t>
  </si>
  <si>
    <t>CF MILITAR INDUSTRIA E COMERCIO DE CONFECCOES E EQUIPAMENTOS LTDA</t>
  </si>
  <si>
    <t>METALURGICA SANTA MARIA LTDA</t>
  </si>
  <si>
    <t>GML INSTALACOES LTDA</t>
  </si>
  <si>
    <t>B&amp;R TELECOM LTDA</t>
  </si>
  <si>
    <t>DOMMI ACRILICOS LTDA</t>
  </si>
  <si>
    <t>GN SUBLIMAIS INDUSTRIA &amp; COMERCIO DE CONFECCOES LTDA</t>
  </si>
  <si>
    <t>M R RORIZ SERVICOS MEDICOS LTDA</t>
  </si>
  <si>
    <t>ACRYLUME LTDA</t>
  </si>
  <si>
    <t>MAGILA HELLEN PEREIRA</t>
  </si>
  <si>
    <t>LRX COMERCIO DE EQUIPAMENTOS DE COMBATE A INCENDIO E SEGURANCA LTDA</t>
  </si>
  <si>
    <t>TIANGUA COMERCIO E MANUTENCAO DE MATERIAIS CONTRA INCENDIOS LTDA</t>
  </si>
  <si>
    <t>EXTINFOGO COMERCIO E MANUTENCAO DE MATERIAIS CONTRA INCENDIO LTDA</t>
  </si>
  <si>
    <t>JP NOBRE COMERCIO PECAS E ACESSORIOS AUTOMOTIVO LTDA</t>
  </si>
  <si>
    <t>CONTABILIDADE MEDICA INTEGRADA LTDA</t>
  </si>
  <si>
    <t>FITNESS LIFE ACADEMIA LTDA</t>
  </si>
  <si>
    <t>STARTING GESTAO FINANCEIRA LTDA</t>
  </si>
  <si>
    <t>ABC DOS EXTINTORES COMERCIO E MANUTENCAO DE MATERIAIS CONTRA INCENDIOS LTDA</t>
  </si>
  <si>
    <t>MAIS ARAMADOS LTDA</t>
  </si>
  <si>
    <t>CBV BEBIDAS E DESTILADOS LTDA</t>
  </si>
  <si>
    <t>HARMONIZA ODONTOLOGIA LTDA</t>
  </si>
  <si>
    <t>CASA YBY AMBIENTAL LTDA</t>
  </si>
  <si>
    <t>CHERIE CRISTAL LTDA</t>
  </si>
  <si>
    <t>I Q F GOMES SERVICOS LTDA</t>
  </si>
  <si>
    <t>TAVARES AUTOPRIME LTDA</t>
  </si>
  <si>
    <t>IDEAL TRANSPORTADORA LTDA</t>
  </si>
  <si>
    <t>FAZENDA IDEAL AGROPECUARIA LTDA</t>
  </si>
  <si>
    <t>F T L COMERCIO DE PRE MOLDADOS LTDA</t>
  </si>
  <si>
    <t>HENRIQUE JEANS LTDA</t>
  </si>
  <si>
    <t>ALINHARE FISIOTERAPIA LTDA</t>
  </si>
  <si>
    <t>NAYANE DE SOUZA PEREIRA NASCIMENTO</t>
  </si>
  <si>
    <t>V. HUGO CASTELO DOS SANTOS LTDA</t>
  </si>
  <si>
    <t>WL EMPREENDIMENTOS DIGITAIS LTDA</t>
  </si>
  <si>
    <t>BILLTT TENDAS FABRICACAO E SERVICOS LTDA</t>
  </si>
  <si>
    <t>T SILVA SOLUCOES EM FERRAGENS LTDA</t>
  </si>
  <si>
    <t>FJ AGUAS DISTRIBUIDORA LTDA</t>
  </si>
  <si>
    <t>EXPOFACIL LTDA</t>
  </si>
  <si>
    <t>ANTONIO HOLANDA REPRESENTACOES LTDA</t>
  </si>
  <si>
    <t>F J ENTREGAS LTDA</t>
  </si>
  <si>
    <t>HOLANDA INTERMEDIACOES LTDA</t>
  </si>
  <si>
    <t>ACADEMIA NEW TIME LTDA</t>
  </si>
  <si>
    <t>CRIADORIA PRODUCOES DIGITAIS LTDA</t>
  </si>
  <si>
    <t>WILLIAM CONSTRUCOES LTDA</t>
  </si>
  <si>
    <t>LBB FISIOTERAPIA LTDA</t>
  </si>
  <si>
    <t>KRONUS PRESENTES LTDA</t>
  </si>
  <si>
    <t>T S COSMETICOS LTDA</t>
  </si>
  <si>
    <t>PADARIA MAR E SOL LTDA</t>
  </si>
  <si>
    <t>CARLIANA DA COSTA LOPES</t>
  </si>
  <si>
    <t>M. DOS SANTOS PEREIRA LTDA</t>
  </si>
  <si>
    <t>CAICO BORELLI SOCIEDADE INDIVIDUAL DE ADVOCACIA</t>
  </si>
  <si>
    <t>AXIS ACELERADORA LTDA</t>
  </si>
  <si>
    <t>SERDEC SOLUCOES EM VENDAS, SERVICOS DE ENTREGA &amp; MARKETING LTDA</t>
  </si>
  <si>
    <t>V N INDUSTRIA E COMERCIO DE CONFECCOES LTDA</t>
  </si>
  <si>
    <t>RBM NEGOCIOS IMOBILIARIOS LTDA</t>
  </si>
  <si>
    <t>DRA. DENISE GUERRA SERVICOS MEDICOS LTDA</t>
  </si>
  <si>
    <t>PAOLA LOG E INTERMEDIACOES LTDA</t>
  </si>
  <si>
    <t>M S ESCAP SERVICOS LTDA</t>
  </si>
  <si>
    <t>SELECT GRAOS LTDA</t>
  </si>
  <si>
    <t>TERRA DO SOL LTDA</t>
  </si>
  <si>
    <t>LOJA SONHO MEU LTDA</t>
  </si>
  <si>
    <t>JULIANA FREITAS STUDIO LTDA</t>
  </si>
  <si>
    <t>A J V 2 COMERCIO VAREJISTA DE PRODUTOS FARMACEUTICOS LTDA</t>
  </si>
  <si>
    <t>SHIRLLEY MARA BESSA PEREIRA</t>
  </si>
  <si>
    <t>MACILIANA BARBOSA DE LIMA</t>
  </si>
  <si>
    <t>AL RAMOS SERVICOS MEDICOS LTDA</t>
  </si>
  <si>
    <t>RETRO DANCING CLUB LTDA</t>
  </si>
  <si>
    <t>JS INCORPORACOES LTDA</t>
  </si>
  <si>
    <t>CEPASP INTERMEDIARIA LTDA</t>
  </si>
  <si>
    <t>M&amp;M PINTURA ELETROSTATICA LTDA</t>
  </si>
  <si>
    <t>PALUTEC REFORMAS &amp; SERVICOS LTDA</t>
  </si>
  <si>
    <t>IBF SERVICOS LTDA</t>
  </si>
  <si>
    <t>FWM TURISMO LTDA</t>
  </si>
  <si>
    <t>TPX OFFICE E DESIGN LTDA</t>
  </si>
  <si>
    <t>HEATTECH SERVICOS DE ENGENHARIA LTDA</t>
  </si>
  <si>
    <t>CASA FORTE MATERIAL DE CONSTRUCAO LTDA</t>
  </si>
  <si>
    <t>ZOVITA NUTRICAO ANIMAL LTDA</t>
  </si>
  <si>
    <t>MIX FARMA POPULAR LTDA</t>
  </si>
  <si>
    <t>CAMILA LUZIA DE SOUSA VALENTIM LTDA</t>
  </si>
  <si>
    <t>JST CONSTRUCOES SERVICOS E EMPREENDIMENTOS LTDA</t>
  </si>
  <si>
    <t>ALPHAMED LOCACOES E SERVICOS LTDA</t>
  </si>
  <si>
    <t>PMFAF PATOLOGIA LTDA</t>
  </si>
  <si>
    <t>VIVA GESTAO LTDA</t>
  </si>
  <si>
    <t>ZITRONE CAR CARE COMERCIO DE EQUIPAMENTOS E PRODUTOS AUTOMOTIVOS LTDA</t>
  </si>
  <si>
    <t>MARREIRA JUNIOR SERVICOS E INTERMEDIACOES LTDA</t>
  </si>
  <si>
    <t>VF PERFOMANCE LTDA</t>
  </si>
  <si>
    <t>ADEME SERVICOS DE GESTAO FINANCEIRA LTDA</t>
  </si>
  <si>
    <t>CAMILA RAMOS CRUZ LTDA</t>
  </si>
  <si>
    <t>NOBRE CONSULTORIA E TREINAMENTO LTDA</t>
  </si>
  <si>
    <t>IS360 GESTAO E PERFORMANCE LTDA</t>
  </si>
  <si>
    <t>P H GOMES ARAUJO PRODUTOS E EQUIPAMENTOS AUTOMOTIVOS</t>
  </si>
  <si>
    <t>GEORGE BEZERRA PEREIRA DE LIMA</t>
  </si>
  <si>
    <t>AMOR E FARMA COMERCIO VAREJISTA DE PRODUTOS FARMACEUTICOS LTDA</t>
  </si>
  <si>
    <t>GADELHA ACESSORIOS TATICOS LTDA</t>
  </si>
  <si>
    <t>J E F COMERCIO VAREJISTA DE GAS LTDA</t>
  </si>
  <si>
    <t>62.109.993 CICERO COSTA MOREIRA</t>
  </si>
  <si>
    <t>H. ERIC MOREIRA DE ANDRADE E CIA LTDA</t>
  </si>
  <si>
    <t>EMANOEL VICTOR LIMA VIANA</t>
  </si>
  <si>
    <t>FOOD SELF IRMAOS HILBERT LTDA</t>
  </si>
  <si>
    <t>ACAI BEACH ICARAI LTDA</t>
  </si>
  <si>
    <t>CJE MATERIAL DE CONSTRUCAO E TRANSPORTE LTDA</t>
  </si>
  <si>
    <t>BARROSO SERVICOS EM TECNOLOGIAS LTDA</t>
  </si>
  <si>
    <t>G &amp; G DISTRIBUIDORA DE BEBIDAS LTDA</t>
  </si>
  <si>
    <t>MSI SERVICOS DE ENTREGA LTDA</t>
  </si>
  <si>
    <t>FRANCISCO DAS CHAGAS PINHEIRO GOMES</t>
  </si>
  <si>
    <t>CLEANPROTEIN INTERMEDIACOES LTDA</t>
  </si>
  <si>
    <t>LF COMERCIO VAREJISTA DE FRIOS E MINIMERCADO LTDA</t>
  </si>
  <si>
    <t>DISTRIBUIDORA IDEAL LTDA</t>
  </si>
  <si>
    <t>RACHEL DA SILVEIRA VIEIRA RODRIGUES</t>
  </si>
  <si>
    <t>C J CONSTRUCOES E TRANSPORTES LTDA</t>
  </si>
  <si>
    <t>RX INTERMEDIACOES LTDA</t>
  </si>
  <si>
    <t>CONSULTEC FOOD E SERVICOS LTDA</t>
  </si>
  <si>
    <t>M &amp; A GARCIA SERVICOS LTDA</t>
  </si>
  <si>
    <t>JOSE ELICLAUDIO BEZERRA DA SILVA</t>
  </si>
  <si>
    <t>OAS SOLAR ENERGY LTDA</t>
  </si>
  <si>
    <t>SARAH E RUBIA ODONTOLOGIA INTEGRADA LTDA</t>
  </si>
  <si>
    <t>531</t>
  </si>
  <si>
    <t>1563</t>
  </si>
  <si>
    <t>23260629004902000188550000000015631155807517</t>
  </si>
  <si>
    <t>748712</t>
  </si>
  <si>
    <t>23260605931942000107550010007487121351381633</t>
  </si>
  <si>
    <t>14646</t>
  </si>
  <si>
    <t>23260612981026000309550010000146461000273510</t>
  </si>
  <si>
    <t>14647</t>
  </si>
  <si>
    <t>23260612981026000309550010000146471000273525</t>
  </si>
  <si>
    <t>14649</t>
  </si>
  <si>
    <t>23260612981026000309550010000146491000273562</t>
  </si>
  <si>
    <t>1713</t>
  </si>
  <si>
    <t>23260626270614000187550010000017131297061038</t>
  </si>
  <si>
    <t>34688</t>
  </si>
  <si>
    <t>23260612981026000147550010000346881000273600</t>
  </si>
  <si>
    <t>509491</t>
  </si>
  <si>
    <t>23260609524502000196550100005094911838132630</t>
  </si>
  <si>
    <t>275519</t>
  </si>
  <si>
    <t>23260609524502000609550100002755191649282902</t>
  </si>
  <si>
    <t>4561</t>
  </si>
  <si>
    <t>23260601007036000160550010000045611457661291</t>
  </si>
  <si>
    <t>647081</t>
  </si>
  <si>
    <t>23260609215353000183550010006470811821639748</t>
  </si>
  <si>
    <t>543848</t>
  </si>
  <si>
    <t>23260607400437000242550000005438481030223251</t>
  </si>
  <si>
    <t>191875</t>
  </si>
  <si>
    <t>23260606942221000670550010001918751631126477</t>
  </si>
  <si>
    <t>191876</t>
  </si>
  <si>
    <t>23260606942221000670550010001918761716173000</t>
  </si>
  <si>
    <t>1947</t>
  </si>
  <si>
    <t>23260659795061000135550010000019471521039731</t>
  </si>
  <si>
    <t>107585</t>
  </si>
  <si>
    <t>23260646378585000189550010001075851000400339</t>
  </si>
  <si>
    <t>8792864</t>
  </si>
  <si>
    <t>23260607216054000219550030087928641506218400</t>
  </si>
  <si>
    <t>8792866</t>
  </si>
  <si>
    <t>23260607216054000219550030087928661126481430</t>
  </si>
  <si>
    <t>8792865</t>
  </si>
  <si>
    <t>23260607216054000219550030087928651432049356</t>
  </si>
  <si>
    <t>8792863</t>
  </si>
  <si>
    <t>23260607216054000219550030087928631740566306</t>
  </si>
  <si>
    <t>2849832</t>
  </si>
  <si>
    <t>23260641221516000224550010028498321143178929</t>
  </si>
  <si>
    <t>5174431</t>
  </si>
  <si>
    <t>23260623577851000105550010051744311161132461</t>
  </si>
  <si>
    <t>29407</t>
  </si>
  <si>
    <t>23260626748294000128550010000294071731193477</t>
  </si>
  <si>
    <t>314086</t>
  </si>
  <si>
    <t>23260607173322000181550010003140861004611419</t>
  </si>
  <si>
    <t>962866</t>
  </si>
  <si>
    <t>23260667620377005426550010009628661009871419</t>
  </si>
  <si>
    <t>10057670</t>
  </si>
  <si>
    <t>23260610483444000260550010100576701388545547</t>
  </si>
  <si>
    <t>52528</t>
  </si>
  <si>
    <t>23260643340312000823550010000525281432147539</t>
  </si>
  <si>
    <t>14656</t>
  </si>
  <si>
    <t>23260612981026000309550010000146561000273672</t>
  </si>
  <si>
    <t>3015</t>
  </si>
  <si>
    <t>23260657337442000145550010000030151992624355</t>
  </si>
  <si>
    <t>738445</t>
  </si>
  <si>
    <t>23260604940750001923550010007384451274618484</t>
  </si>
  <si>
    <t>879</t>
  </si>
  <si>
    <t>23260651693122000141550010000008791973600809</t>
  </si>
  <si>
    <t>1714</t>
  </si>
  <si>
    <t>23260626270614000187550010000017141298057880</t>
  </si>
  <si>
    <t>14663</t>
  </si>
  <si>
    <t>23260612981026000309550010000146631000273804</t>
  </si>
  <si>
    <t>4972</t>
  </si>
  <si>
    <t>23260608763467000286550030000049721220198247</t>
  </si>
  <si>
    <t>14664</t>
  </si>
  <si>
    <t>23260612981026000309550010000146641000273810</t>
  </si>
  <si>
    <t>2521</t>
  </si>
  <si>
    <t>23260614833349000119550010000025211792766700</t>
  </si>
  <si>
    <t>45515</t>
  </si>
  <si>
    <t>23260613878827000144550010000455151002897448</t>
  </si>
  <si>
    <t>5176115</t>
  </si>
  <si>
    <t>23260623577851000105550010051761151243184260</t>
  </si>
  <si>
    <t>1310225</t>
  </si>
  <si>
    <t>23260635065903000135550010013102251118227243</t>
  </si>
  <si>
    <t>1249</t>
  </si>
  <si>
    <t>23260615309004000123550010000012491854285223</t>
  </si>
  <si>
    <t>5420998</t>
  </si>
  <si>
    <t>23260673909566000104550010054209981813116026</t>
  </si>
  <si>
    <t>5420997</t>
  </si>
  <si>
    <t>23260673909566000104550010054209971238624213</t>
  </si>
  <si>
    <t>2427215</t>
  </si>
  <si>
    <t>23260605402904001210550010024272151173118182</t>
  </si>
  <si>
    <t>5421480</t>
  </si>
  <si>
    <t>23260673909566000104550010054214801751381220</t>
  </si>
  <si>
    <t>5421479</t>
  </si>
  <si>
    <t>23260673909566000104550010054214791621279549</t>
  </si>
  <si>
    <t>5421481</t>
  </si>
  <si>
    <t>23260673909566000104550010054214811422412271</t>
  </si>
  <si>
    <t>14667</t>
  </si>
  <si>
    <t>23260612981026000309550010000146671000273854</t>
  </si>
  <si>
    <t>650</t>
  </si>
  <si>
    <t>23260629004902000188550010000006501647951912</t>
  </si>
  <si>
    <t>652</t>
  </si>
  <si>
    <t>23260629004902000188550010000006521649945612</t>
  </si>
  <si>
    <t>14668</t>
  </si>
  <si>
    <t>23260612981026000309550010000146681000273878</t>
  </si>
  <si>
    <t>654</t>
  </si>
  <si>
    <t>23260629004902000188550010000006541651939319</t>
  </si>
  <si>
    <t>1675674</t>
  </si>
  <si>
    <t>23260607634785000101550010016756741554277048</t>
  </si>
  <si>
    <t>5453852</t>
  </si>
  <si>
    <t>23260603282301000143550010054538521946665168</t>
  </si>
  <si>
    <t>2655513</t>
  </si>
  <si>
    <t>23260615099833000129550010026555131312321245</t>
  </si>
  <si>
    <t>2655514</t>
  </si>
  <si>
    <t>23260615099833000129550010026555141902462022</t>
  </si>
  <si>
    <t>314221</t>
  </si>
  <si>
    <t>23260607173322000181550010003142211004613485</t>
  </si>
  <si>
    <t>313630</t>
  </si>
  <si>
    <t>23260623045646000190550000003136301322712328</t>
  </si>
  <si>
    <t>225241</t>
  </si>
  <si>
    <t>23260632044916000210550010002252411051454504</t>
  </si>
  <si>
    <t>4120</t>
  </si>
  <si>
    <t>23260633926514000121550010000041201909018161</t>
  </si>
  <si>
    <t>4123</t>
  </si>
  <si>
    <t>23260633926514000121550010000041231654225096</t>
  </si>
  <si>
    <t>4126</t>
  </si>
  <si>
    <t>23260633926514000121550010000041261615623479</t>
  </si>
  <si>
    <t>3024</t>
  </si>
  <si>
    <t>23260657337442000145550010000030241096169957</t>
  </si>
  <si>
    <t>14669</t>
  </si>
  <si>
    <t>23260612981026000309550010000146691000273883</t>
  </si>
  <si>
    <t>14670</t>
  </si>
  <si>
    <t>23260612981026000309550010000146701000273892</t>
  </si>
  <si>
    <t>4260</t>
  </si>
  <si>
    <t>23260631565104018890551940000042601528301950</t>
  </si>
  <si>
    <t>89235</t>
  </si>
  <si>
    <t>23260607550906000129550010000892351112101179</t>
  </si>
  <si>
    <t>82020</t>
  </si>
  <si>
    <t>23260610972368000175550010000820201829817020</t>
  </si>
  <si>
    <t>290419</t>
  </si>
  <si>
    <t>23260607574718000130550010002904191930859784</t>
  </si>
  <si>
    <t>1717</t>
  </si>
  <si>
    <t>23260638403555000157550020000017171339999719</t>
  </si>
  <si>
    <t>502313</t>
  </si>
  <si>
    <t>23260603282301001387550010005023131935619280</t>
  </si>
  <si>
    <t>1705822</t>
  </si>
  <si>
    <t>23260607216054000642550070017058221365231426</t>
  </si>
  <si>
    <t>841478</t>
  </si>
  <si>
    <t>23260656228356007306550350008414781723827277</t>
  </si>
  <si>
    <t>841481</t>
  </si>
  <si>
    <t>23260656228356007306550350008414811027050970</t>
  </si>
  <si>
    <t>841477</t>
  </si>
  <si>
    <t>23260656228356007306550350008414771640589401</t>
  </si>
  <si>
    <t>841475</t>
  </si>
  <si>
    <t>23260656228356007306550350008414751474113657</t>
  </si>
  <si>
    <t>841476</t>
  </si>
  <si>
    <t>23260656228356007306550350008414761581133772</t>
  </si>
  <si>
    <t>841480</t>
  </si>
  <si>
    <t>23260656228356007306550350008414801908139715</t>
  </si>
  <si>
    <t>841482</t>
  </si>
  <si>
    <t>23260656228356007306550350008414821110288854</t>
  </si>
  <si>
    <t>841479</t>
  </si>
  <si>
    <t>23260656228356007306550350008414791818956276</t>
  </si>
  <si>
    <t>841484</t>
  </si>
  <si>
    <t>23260656228356007306550350008414841223254542</t>
  </si>
  <si>
    <t>841485</t>
  </si>
  <si>
    <t>23260656228356007306550350008414851258927915</t>
  </si>
  <si>
    <t>841486</t>
  </si>
  <si>
    <t>23260656228356007306550350008414861288655732</t>
  </si>
  <si>
    <t>841483</t>
  </si>
  <si>
    <t>23260656228356007306550350008414831169744470</t>
  </si>
  <si>
    <t>841487</t>
  </si>
  <si>
    <t>23260656228356007306550350008414871318383546</t>
  </si>
  <si>
    <t>76347</t>
  </si>
  <si>
    <t>23260607558179000146550000000763471003313226</t>
  </si>
  <si>
    <t>1254</t>
  </si>
  <si>
    <t>23260615309004000123550010000012541501349728</t>
  </si>
  <si>
    <t>14678</t>
  </si>
  <si>
    <t>23260612981026000309550010000146781000274030</t>
  </si>
  <si>
    <t>34703</t>
  </si>
  <si>
    <t>23260612981026000147550010000347031000274044</t>
  </si>
  <si>
    <t>3028</t>
  </si>
  <si>
    <t>23260657337442000145550010000030281658087957</t>
  </si>
  <si>
    <t>23260612981026000309550010000146791000274061</t>
  </si>
  <si>
    <t>658</t>
  </si>
  <si>
    <t>23260629004902000188550010000006581655926709</t>
  </si>
  <si>
    <t>511377</t>
  </si>
  <si>
    <t>23260609524502000196550100005113771605359074</t>
  </si>
  <si>
    <t>1329</t>
  </si>
  <si>
    <t>23260637361701000166550010000013291206431983</t>
  </si>
  <si>
    <t>12611</t>
  </si>
  <si>
    <t>23260606625313000898550010000126111796761818</t>
  </si>
  <si>
    <t>14680</t>
  </si>
  <si>
    <t>23260612981026000309550010000146801000274097</t>
  </si>
  <si>
    <t>661</t>
  </si>
  <si>
    <t>23260629004902000188550010000006611658917250</t>
  </si>
  <si>
    <t>3031</t>
  </si>
  <si>
    <t>23260657337442000145550010000030311862904220</t>
  </si>
  <si>
    <t>662</t>
  </si>
  <si>
    <t>23260629004902000188550010000006621659914104</t>
  </si>
  <si>
    <t>1275</t>
  </si>
  <si>
    <t>23260615309004000123550010000012751588414080</t>
  </si>
  <si>
    <t>25394</t>
  </si>
  <si>
    <t>23260603616846000149550020000253941000318683</t>
  </si>
  <si>
    <t>4498961</t>
  </si>
  <si>
    <t>23260601838723025707550010044989611864624957</t>
  </si>
  <si>
    <t>4498963</t>
  </si>
  <si>
    <t>23260601838723025707550010044989631123892274</t>
  </si>
  <si>
    <t>10064752</t>
  </si>
  <si>
    <t>23260610483444000260550010100647521758008769</t>
  </si>
  <si>
    <t>851927</t>
  </si>
  <si>
    <t>23260683310441006905550010008519271471646165</t>
  </si>
  <si>
    <t>739461</t>
  </si>
  <si>
    <t>23260604940750001923550010007394611998318961</t>
  </si>
  <si>
    <t>90104</t>
  </si>
  <si>
    <t>23260609035933000199550010000901041573817806</t>
  </si>
  <si>
    <t>14682</t>
  </si>
  <si>
    <t>23260612981026000309550010000146821000274113</t>
  </si>
  <si>
    <t>5178301</t>
  </si>
  <si>
    <t>23260623577851000105550010051783011432183710</t>
  </si>
  <si>
    <t>3037</t>
  </si>
  <si>
    <t>23260657337442000145550010000030371506349125</t>
  </si>
  <si>
    <t>14684</t>
  </si>
  <si>
    <t>23260612981026000309550010000146841000274126</t>
  </si>
  <si>
    <t>4566</t>
  </si>
  <si>
    <t>23260601007036000160550010000045661143588695</t>
  </si>
  <si>
    <t>5012</t>
  </si>
  <si>
    <t>23260608763467000286550030000050121163213693</t>
  </si>
  <si>
    <t>49115</t>
  </si>
  <si>
    <t>23260608267052000130550010000491151612765702</t>
  </si>
  <si>
    <t>666</t>
  </si>
  <si>
    <t>23260629004902000188550010000006661663901495</t>
  </si>
  <si>
    <t>5178376</t>
  </si>
  <si>
    <t>23260623577851000105550010051783761811593276</t>
  </si>
  <si>
    <t>9410</t>
  </si>
  <si>
    <t>23260605261361000105550000000094101000192860</t>
  </si>
  <si>
    <t>9411</t>
  </si>
  <si>
    <t>23260605261361000105550000000094111000192876</t>
  </si>
  <si>
    <t>76834</t>
  </si>
  <si>
    <t>23260631874655000112550010000768341000783960</t>
  </si>
  <si>
    <t>14694</t>
  </si>
  <si>
    <t>23260612981026000309550010000146941000274270</t>
  </si>
  <si>
    <t>290783</t>
  </si>
  <si>
    <t>23260607574718000130550010002907831119213736</t>
  </si>
  <si>
    <t>5424902</t>
  </si>
  <si>
    <t>23260673909566000104550010054249021342051890</t>
  </si>
  <si>
    <t>5424901</t>
  </si>
  <si>
    <t>23260673909566000104550010054249011159624129</t>
  </si>
  <si>
    <t>5424900</t>
  </si>
  <si>
    <t>23260673909566000104550010054249001872078618</t>
  </si>
  <si>
    <t>5424940</t>
  </si>
  <si>
    <t>23260673909566000104550010054249401139161644</t>
  </si>
  <si>
    <t>5424939</t>
  </si>
  <si>
    <t>23260673909566000104550010054249391936824611</t>
  </si>
  <si>
    <t>2613679</t>
  </si>
  <si>
    <t>23260604522065000158550010026136791887016512</t>
  </si>
  <si>
    <t>2613680</t>
  </si>
  <si>
    <t>23260604522065000158550010026136801392251941</t>
  </si>
  <si>
    <t>4500028</t>
  </si>
  <si>
    <t>23260601838723025707550010045000281856037410</t>
  </si>
  <si>
    <t>4500029</t>
  </si>
  <si>
    <t>23260601838723025707550010045000291173540773</t>
  </si>
  <si>
    <t>4500032</t>
  </si>
  <si>
    <t>23260601838723025707550010045000321467528148</t>
  </si>
  <si>
    <t>1312149</t>
  </si>
  <si>
    <t>23260635065903000135550010013121491156424170</t>
  </si>
  <si>
    <t>23260623045646000190550000003140861170212180</t>
  </si>
  <si>
    <t>100779</t>
  </si>
  <si>
    <t>23260605617617000174550010001007791340448808</t>
  </si>
  <si>
    <t>14695</t>
  </si>
  <si>
    <t>23260612981026000309550010000146951000274286</t>
  </si>
  <si>
    <t>3044</t>
  </si>
  <si>
    <t>23260657337442000145550010000030441798248981</t>
  </si>
  <si>
    <t>278634</t>
  </si>
  <si>
    <t>23260602090238000180550010002786341171590722</t>
  </si>
  <si>
    <t>14696</t>
  </si>
  <si>
    <t>23260612981026000309550010000146961000274291</t>
  </si>
  <si>
    <t>70242</t>
  </si>
  <si>
    <t>23260608933155000192550020000702421509966908</t>
  </si>
  <si>
    <t>14699</t>
  </si>
  <si>
    <t>23260612981026000309550010000146991000274315</t>
  </si>
  <si>
    <t>14701</t>
  </si>
  <si>
    <t>23260612981026000309550010000147011000274366</t>
  </si>
  <si>
    <t>3519</t>
  </si>
  <si>
    <t>23260652915369000128550010000035191000037553</t>
  </si>
  <si>
    <t>14702</t>
  </si>
  <si>
    <t>23260612981026000309550010000147021000274380</t>
  </si>
  <si>
    <t>70282</t>
  </si>
  <si>
    <t>23260608933155000192550020000702821412392244</t>
  </si>
  <si>
    <t>10197</t>
  </si>
  <si>
    <t>23260634996611000315550010000101971001977378</t>
  </si>
  <si>
    <t>672</t>
  </si>
  <si>
    <t>23260629004902000188550010000006721669882597</t>
  </si>
  <si>
    <t>544611</t>
  </si>
  <si>
    <t>23260607400437000242550000005446111246172519</t>
  </si>
  <si>
    <t>2853454</t>
  </si>
  <si>
    <t>23260641221516000224550010028534541617862894</t>
  </si>
  <si>
    <t>330629</t>
  </si>
  <si>
    <t>23260641221516001034550010003306291082279471</t>
  </si>
  <si>
    <t>55772</t>
  </si>
  <si>
    <t>23260606850713000554550030000557721127702050</t>
  </si>
  <si>
    <t>2848</t>
  </si>
  <si>
    <t>23260611741832000185550010000028481702001023</t>
  </si>
  <si>
    <t>29573</t>
  </si>
  <si>
    <t>23260626748294000128550010000295731364720542</t>
  </si>
  <si>
    <t>314499</t>
  </si>
  <si>
    <t>23260607173322000181550010003144991004617573</t>
  </si>
  <si>
    <t>2658108</t>
  </si>
  <si>
    <t>23260615099833000129550010026581081142188231</t>
  </si>
  <si>
    <t>5181035</t>
  </si>
  <si>
    <t>23260623577851000105550010051810351621512367</t>
  </si>
  <si>
    <t>2428961</t>
  </si>
  <si>
    <t>23260605402904001210550010024289611135216399</t>
  </si>
  <si>
    <t>3408500</t>
  </si>
  <si>
    <t>23260606850713000120550010034085001445465220</t>
  </si>
  <si>
    <t>10069478</t>
  </si>
  <si>
    <t>23260610483444000260550010100694781972208440</t>
  </si>
  <si>
    <t>314387</t>
  </si>
  <si>
    <t>23260623045646000190550000003143871173582330</t>
  </si>
  <si>
    <t>314386</t>
  </si>
  <si>
    <t>23260623045646000190550000003143861223126238</t>
  </si>
  <si>
    <t>739812</t>
  </si>
  <si>
    <t>23260604940750001923550010007398121711523391</t>
  </si>
  <si>
    <t>2614517</t>
  </si>
  <si>
    <t>23260604522065000158550010026145171742431060</t>
  </si>
  <si>
    <t>14703</t>
  </si>
  <si>
    <t>23260612981026000309550010000147031000274395</t>
  </si>
  <si>
    <t>14704</t>
  </si>
  <si>
    <t>23260612981026000309550010000147041000274414</t>
  </si>
  <si>
    <t>3050</t>
  </si>
  <si>
    <t>23260657337442000145550010000030501303809441</t>
  </si>
  <si>
    <t>14705</t>
  </si>
  <si>
    <t>23260612981026000309550010000147051000274438</t>
  </si>
  <si>
    <t>34718</t>
  </si>
  <si>
    <t>23260612981026000147550010000347181000274462</t>
  </si>
  <si>
    <t>34720</t>
  </si>
  <si>
    <t>23260612981026000147550010000347201000274487</t>
  </si>
  <si>
    <t>671790</t>
  </si>
  <si>
    <t>35260610440482000154550000006717901335608857</t>
  </si>
  <si>
    <t>671794</t>
  </si>
  <si>
    <t>35260610440482000154550000006717941109659925</t>
  </si>
  <si>
    <t>8808036</t>
  </si>
  <si>
    <t>23260607216054000219550030088080361706094525</t>
  </si>
  <si>
    <t>8808035</t>
  </si>
  <si>
    <t>23260607216054000219550030088080351709613399</t>
  </si>
  <si>
    <t>884</t>
  </si>
  <si>
    <t>23260651693122000141550010000008841410610905</t>
  </si>
  <si>
    <t>20347</t>
  </si>
  <si>
    <t>23260629403927000154550030000203471010000414</t>
  </si>
  <si>
    <t>512977</t>
  </si>
  <si>
    <t>23260609524502000196550100005129771364469346</t>
  </si>
  <si>
    <t>277306</t>
  </si>
  <si>
    <t>23260609524502000609550100002773061358413040</t>
  </si>
  <si>
    <t>14712</t>
  </si>
  <si>
    <t>23260612981026000309550010000147121000274572</t>
  </si>
  <si>
    <t>504472</t>
  </si>
  <si>
    <t>23260603282301001387550010005044721868821910</t>
  </si>
  <si>
    <t>5459182</t>
  </si>
  <si>
    <t>23260603282301000143550010054591821583372773</t>
  </si>
  <si>
    <t>5459464</t>
  </si>
  <si>
    <t>23260603282301000143550010054594641464168631</t>
  </si>
  <si>
    <t>677</t>
  </si>
  <si>
    <t>23260629004902000188550010000006771674866835</t>
  </si>
  <si>
    <t>1517777</t>
  </si>
  <si>
    <t>23260641600131000278550010015177771136798256</t>
  </si>
  <si>
    <t>1109082</t>
  </si>
  <si>
    <t>23260610538296000152550030011090821220813018</t>
  </si>
  <si>
    <t>1032904</t>
  </si>
  <si>
    <t>23260633009911006412550470010329041916530103</t>
  </si>
  <si>
    <t>513122</t>
  </si>
  <si>
    <t>23260609524502000196550100005131221793319373</t>
  </si>
  <si>
    <t>853618</t>
  </si>
  <si>
    <t>23260683310441006905550010008536181257150590</t>
  </si>
  <si>
    <t>5427819</t>
  </si>
  <si>
    <t>23260673909566000104550010054278191147978810</t>
  </si>
  <si>
    <t>1292</t>
  </si>
  <si>
    <t>23260615309004000123550010000012921002034021</t>
  </si>
  <si>
    <t>8996195</t>
  </si>
  <si>
    <t>23260607196033002141550070089961951648145769</t>
  </si>
  <si>
    <t>8996196</t>
  </si>
  <si>
    <t>23260607196033002141550070089961961857523607</t>
  </si>
  <si>
    <t>8996197</t>
  </si>
  <si>
    <t>23260607196033002141550070089961971195622646</t>
  </si>
  <si>
    <t>8996199</t>
  </si>
  <si>
    <t>23260607196033002141550070089961991727064353</t>
  </si>
  <si>
    <t>8996198</t>
  </si>
  <si>
    <t>23260607196033002141550070089961981599511550</t>
  </si>
  <si>
    <t>8996200</t>
  </si>
  <si>
    <t>23260607196033002141550070089962001157814069</t>
  </si>
  <si>
    <t>8997029</t>
  </si>
  <si>
    <t>23260607196033002141550070089970291033632211</t>
  </si>
  <si>
    <t>8997069</t>
  </si>
  <si>
    <t>23260607196033002141550070089970691043551155</t>
  </si>
  <si>
    <t>8997133</t>
  </si>
  <si>
    <t>23260607196033002141550070089971331043425799</t>
  </si>
  <si>
    <t>8997140</t>
  </si>
  <si>
    <t>23260607196033002141550070089971401043410125</t>
  </si>
  <si>
    <t>8997151</t>
  </si>
  <si>
    <t>23260607196033002141550070089971511043394450</t>
  </si>
  <si>
    <t>8997168</t>
  </si>
  <si>
    <t>23260607196033002141550070089971681043378788</t>
  </si>
  <si>
    <t>8997213</t>
  </si>
  <si>
    <t>23260607196033002141550070089972131043410123</t>
  </si>
  <si>
    <t>8997219</t>
  </si>
  <si>
    <t>23260607196033002141550070089972191043394458</t>
  </si>
  <si>
    <t>8997272</t>
  </si>
  <si>
    <t>23260607196033002141550070089972721043425792</t>
  </si>
  <si>
    <t>8997279</t>
  </si>
  <si>
    <t>23260607196033002141550070089972791043378787</t>
  </si>
  <si>
    <t>8997302</t>
  </si>
  <si>
    <t>23260607196033002141550070089973021043363119</t>
  </si>
  <si>
    <t>5428279</t>
  </si>
  <si>
    <t>23260673909566000104550010054282791178761503</t>
  </si>
  <si>
    <t>5428396</t>
  </si>
  <si>
    <t>23260673909566000104550010054283961212135211</t>
  </si>
  <si>
    <t>5428397</t>
  </si>
  <si>
    <t>23260673909566000104550010054283971251153974</t>
  </si>
  <si>
    <t>726080</t>
  </si>
  <si>
    <t>23260635229640000152550010007260801068429290</t>
  </si>
  <si>
    <t>965998</t>
  </si>
  <si>
    <t>23260667620377005426550010009659981009903348</t>
  </si>
  <si>
    <t>53415</t>
  </si>
  <si>
    <t>23260643340312000823550010000534151974565240</t>
  </si>
  <si>
    <t>34410</t>
  </si>
  <si>
    <t>23260605918720000154550010000344101000344549</t>
  </si>
  <si>
    <t>34411</t>
  </si>
  <si>
    <t>23260605918720000154550010000344111000344554</t>
  </si>
  <si>
    <t>2300</t>
  </si>
  <si>
    <t>23260620426311000124551110000023001013328219</t>
  </si>
  <si>
    <t>152689</t>
  </si>
  <si>
    <t>23260601413264000130550010001526891250600003</t>
  </si>
  <si>
    <t>3055</t>
  </si>
  <si>
    <t>23260657337442000145550010000030551613367338</t>
  </si>
  <si>
    <t>8811056</t>
  </si>
  <si>
    <t>23260607216054000219550030088110561168054849</t>
  </si>
  <si>
    <t>34725</t>
  </si>
  <si>
    <t>23260612981026000147550010000347251000274610</t>
  </si>
  <si>
    <t>4269</t>
  </si>
  <si>
    <t>23260631565104018890551940000042691528302120</t>
  </si>
  <si>
    <t>657154</t>
  </si>
  <si>
    <t>23260609497934000155550010006571541082066783</t>
  </si>
  <si>
    <t>2109</t>
  </si>
  <si>
    <t>23260609300486000158550020000021091444467929</t>
  </si>
  <si>
    <t>647492</t>
  </si>
  <si>
    <t>23260609215353000183550010006474921257604507</t>
  </si>
  <si>
    <t>2770</t>
  </si>
  <si>
    <t>23260614833349000119550010000027701828983964</t>
  </si>
  <si>
    <t>4829138</t>
  </si>
  <si>
    <t>23260643214055003637550000048291381882089555</t>
  </si>
  <si>
    <t>4829137</t>
  </si>
  <si>
    <t>23260643214055003637550000048291371882089540</t>
  </si>
  <si>
    <t>14717</t>
  </si>
  <si>
    <t>23260612981026000309550010000147171000274706</t>
  </si>
  <si>
    <t>111380</t>
  </si>
  <si>
    <t>23260627814700000176550010001113801119388639</t>
  </si>
  <si>
    <t>102032265</t>
  </si>
  <si>
    <t>23260663483408000181550001020322651185119215</t>
  </si>
  <si>
    <t>1033159</t>
  </si>
  <si>
    <t>23260633009911006412550470010331591916747241</t>
  </si>
  <si>
    <t>56024</t>
  </si>
  <si>
    <t>23260606850713000554550030000560241871911818</t>
  </si>
  <si>
    <t>283453</t>
  </si>
  <si>
    <t>23260607206816002592550010002834531820539200</t>
  </si>
  <si>
    <t>511606</t>
  </si>
  <si>
    <t>23260607576952000440550010005116061776751910</t>
  </si>
  <si>
    <t>3580575</t>
  </si>
  <si>
    <t>23260663310411000101550040035805751493212130</t>
  </si>
  <si>
    <t>314689</t>
  </si>
  <si>
    <t>23260607173322000181550010003146891004620277</t>
  </si>
  <si>
    <t>5185911</t>
  </si>
  <si>
    <t>23260623577851000105550010051859111123209153</t>
  </si>
  <si>
    <t>5185908</t>
  </si>
  <si>
    <t>23260623577851000105550010051859081124208147</t>
  </si>
  <si>
    <t>5185909</t>
  </si>
  <si>
    <t>23260623577851000105550010051859091631491580</t>
  </si>
  <si>
    <t>5185907</t>
  </si>
  <si>
    <t>23260623577851000105550010051859071161522545</t>
  </si>
  <si>
    <t>5185910</t>
  </si>
  <si>
    <t>23260623577851000105550010051859101203137135</t>
  </si>
  <si>
    <t>2615685</t>
  </si>
  <si>
    <t>23260604522065000158550010026156851116176510</t>
  </si>
  <si>
    <t>10074687</t>
  </si>
  <si>
    <t>23260610483444000260550010100746871568045594</t>
  </si>
  <si>
    <t>6773</t>
  </si>
  <si>
    <t>23260651868067000183550010000067731283489227</t>
  </si>
  <si>
    <t>3060</t>
  </si>
  <si>
    <t>23260657337442000145550010000030601723225651</t>
  </si>
  <si>
    <t>14718</t>
  </si>
  <si>
    <t>23260612981026000309550010000147181000274720</t>
  </si>
  <si>
    <t>23260629415827000148550030000013961638151259</t>
  </si>
  <si>
    <t>14724</t>
  </si>
  <si>
    <t>23260612981026000309550010000147241000274786</t>
  </si>
  <si>
    <t>1235062</t>
  </si>
  <si>
    <t>23260605412431000189550010012350621147164344</t>
  </si>
  <si>
    <t>14387</t>
  </si>
  <si>
    <t>23260607591258000159550100000143871375604387</t>
  </si>
  <si>
    <t>8814696</t>
  </si>
  <si>
    <t>23260607216054000219550030088146961532178067</t>
  </si>
  <si>
    <t>8814695</t>
  </si>
  <si>
    <t>23260607216054000219550030088146951775210813</t>
  </si>
  <si>
    <t>82170</t>
  </si>
  <si>
    <t>23260610972368000175550010000821701726732275</t>
  </si>
  <si>
    <t>4571</t>
  </si>
  <si>
    <t>23260601007036000160550010000045711521865812</t>
  </si>
  <si>
    <t>23260601007036000160550010000045721245190892</t>
  </si>
  <si>
    <t>102032614</t>
  </si>
  <si>
    <t>23260663483408000181550001020326141130732414</t>
  </si>
  <si>
    <t>102032615</t>
  </si>
  <si>
    <t>23260663483408000181550001020326151153110980</t>
  </si>
  <si>
    <t>1109626</t>
  </si>
  <si>
    <t>23260610538296000152550030011096261183771853</t>
  </si>
  <si>
    <t>8816419</t>
  </si>
  <si>
    <t>23260607216054000219550030088164191969852507</t>
  </si>
  <si>
    <t>3582709</t>
  </si>
  <si>
    <t>23260663310411000101550040035827091359762835</t>
  </si>
  <si>
    <t>3583183</t>
  </si>
  <si>
    <t>23260663310411000101550040035831831171551100</t>
  </si>
  <si>
    <t>3583194</t>
  </si>
  <si>
    <t>23260663310411000101550040035831941642879805</t>
  </si>
  <si>
    <t>105206</t>
  </si>
  <si>
    <t>23260623282599000280550010001052061000697566</t>
  </si>
  <si>
    <t>1296</t>
  </si>
  <si>
    <t>23260615309004000123550010000012961503500512</t>
  </si>
  <si>
    <t>76431</t>
  </si>
  <si>
    <t>23260607558179000146550000000764311003320376</t>
  </si>
  <si>
    <t>1297</t>
  </si>
  <si>
    <t>23260615309004000123550010000012971326720741</t>
  </si>
  <si>
    <t>14725</t>
  </si>
  <si>
    <t>23260612981026000309550010000147251000274805</t>
  </si>
  <si>
    <t>14726</t>
  </si>
  <si>
    <t>23260612981026000309550010000147261000274810</t>
  </si>
  <si>
    <t>3065</t>
  </si>
  <si>
    <t>23260657337442000145550010000030651405207729</t>
  </si>
  <si>
    <t>14727</t>
  </si>
  <si>
    <t>23260612981026000309550010000147271000274834</t>
  </si>
  <si>
    <t>46002</t>
  </si>
  <si>
    <t>23260613878827000144550010000460021818093665</t>
  </si>
  <si>
    <t>14728</t>
  </si>
  <si>
    <t>23260612981026000309550010000147281000274840</t>
  </si>
  <si>
    <t>14729</t>
  </si>
  <si>
    <t>23260612981026000309550010000147291000274855</t>
  </si>
  <si>
    <t>14731</t>
  </si>
  <si>
    <t>23260612981026000309550010000147311000274942</t>
  </si>
  <si>
    <t>34739</t>
  </si>
  <si>
    <t>23260612981026000147550010000347391000274934</t>
  </si>
  <si>
    <t>34740</t>
  </si>
  <si>
    <t>23260612981026000147550010000347401000274951</t>
  </si>
  <si>
    <t>34741</t>
  </si>
  <si>
    <t>23260612981026000147550010000347411000274975</t>
  </si>
  <si>
    <t>8023</t>
  </si>
  <si>
    <t>23260646395687003985550300000080231701891534</t>
  </si>
  <si>
    <t>12780</t>
  </si>
  <si>
    <t>23260606625313000898550010000127801653271135</t>
  </si>
  <si>
    <t>14733</t>
  </si>
  <si>
    <t>23260612981026000309550010000147331000274980</t>
  </si>
  <si>
    <t>514657</t>
  </si>
  <si>
    <t>23260609524502000196550100005146571658680923</t>
  </si>
  <si>
    <t>14734</t>
  </si>
  <si>
    <t>23260612981026000309550010000147341000274995</t>
  </si>
  <si>
    <t>1499</t>
  </si>
  <si>
    <t>23260638403555000238550020000014991002573072</t>
  </si>
  <si>
    <t>693</t>
  </si>
  <si>
    <t>23260629004902000188550010000006931690816425</t>
  </si>
  <si>
    <t>14735</t>
  </si>
  <si>
    <t>23260612981026000309550010000147351000275000</t>
  </si>
  <si>
    <t>694</t>
  </si>
  <si>
    <t>23260629004902000188550010000006941691813273</t>
  </si>
  <si>
    <t>1440521</t>
  </si>
  <si>
    <t>23260609662119000102550020014405211015010038</t>
  </si>
  <si>
    <t>1314</t>
  </si>
  <si>
    <t>23260615309004000123550010000013141219939815</t>
  </si>
  <si>
    <t>251339</t>
  </si>
  <si>
    <t>23260608811226001580550010002513391056417126</t>
  </si>
  <si>
    <t>1312</t>
  </si>
  <si>
    <t>23260615309004000123550010000013121226382869</t>
  </si>
  <si>
    <t>2662745</t>
  </si>
  <si>
    <t>23260663360234000160550010026627451317451847</t>
  </si>
  <si>
    <t>170843</t>
  </si>
  <si>
    <t>23260613830626000177550010001708431415944838</t>
  </si>
  <si>
    <t>10078119</t>
  </si>
  <si>
    <t>23260610483444000260550010100781191468263876</t>
  </si>
  <si>
    <t>70210</t>
  </si>
  <si>
    <t>23260643987515000300550010000702101102963918</t>
  </si>
  <si>
    <t>90321</t>
  </si>
  <si>
    <t>23260609035933000199550010000903211736484268</t>
  </si>
  <si>
    <t>3070</t>
  </si>
  <si>
    <t>23260657337442000145550010000030701688515357</t>
  </si>
  <si>
    <t>947</t>
  </si>
  <si>
    <t>23260639826665000194550010000009471000009462</t>
  </si>
  <si>
    <t>1719</t>
  </si>
  <si>
    <t>23260615354448000423550060000017191293017128</t>
  </si>
  <si>
    <t>8817067</t>
  </si>
  <si>
    <t>23260607216054000219550030088170671735282402</t>
  </si>
  <si>
    <t>61737</t>
  </si>
  <si>
    <t>23260644537265000107550010000617371709090947</t>
  </si>
  <si>
    <t>1711775</t>
  </si>
  <si>
    <t>23260607216054000642550070017117751213391190</t>
  </si>
  <si>
    <t>1711776</t>
  </si>
  <si>
    <t>23260607216054000642550070017117761386033950</t>
  </si>
  <si>
    <t>61745</t>
  </si>
  <si>
    <t>23260644537265000107550010000617451420649102</t>
  </si>
  <si>
    <t>61746</t>
  </si>
  <si>
    <t>23260644537265000107550010000617461669566716</t>
  </si>
  <si>
    <t>285319</t>
  </si>
  <si>
    <t>23260609479775000166550010002853191482462185</t>
  </si>
  <si>
    <t>2114</t>
  </si>
  <si>
    <t>23260609300486000158550020000021141303903846</t>
  </si>
  <si>
    <t>236691</t>
  </si>
  <si>
    <t>23260604918453000403550010002366911255127986</t>
  </si>
  <si>
    <t>236690</t>
  </si>
  <si>
    <t>23260604918453000403550010002366901141832454</t>
  </si>
  <si>
    <t>14745</t>
  </si>
  <si>
    <t>23260612981026000309550010000147451000275154</t>
  </si>
  <si>
    <t>5432470</t>
  </si>
  <si>
    <t>23260673909566000104550010054324701162116010</t>
  </si>
  <si>
    <t>24858</t>
  </si>
  <si>
    <t>23260602518353000294550090000248581000092399</t>
  </si>
  <si>
    <t>703</t>
  </si>
  <si>
    <t>23260629004902000188550010000007031700784910</t>
  </si>
  <si>
    <t>102032882</t>
  </si>
  <si>
    <t>23260663483408000181550001020328821238191490</t>
  </si>
  <si>
    <t>512553</t>
  </si>
  <si>
    <t>23260607576952000440550010005125531740115339</t>
  </si>
  <si>
    <t>512554</t>
  </si>
  <si>
    <t>23260607576952000440550010005125541151938133</t>
  </si>
  <si>
    <t>663375</t>
  </si>
  <si>
    <t>23260602372862000170550000006633751011955697</t>
  </si>
  <si>
    <t>43454</t>
  </si>
  <si>
    <t>23260626593326000163550010000434541463042203</t>
  </si>
  <si>
    <t>735081</t>
  </si>
  <si>
    <t>23260602916265022996550010007350811467071770</t>
  </si>
  <si>
    <t>2431623</t>
  </si>
  <si>
    <t>23260605402904001210550010024316231249162624</t>
  </si>
  <si>
    <t>727283</t>
  </si>
  <si>
    <t>23260635229640000152550010007272831154666154</t>
  </si>
  <si>
    <t>727282</t>
  </si>
  <si>
    <t>23260635229640000152550010007272821122327896</t>
  </si>
  <si>
    <t>315497</t>
  </si>
  <si>
    <t>23260623045646000190550000003154971237512503</t>
  </si>
  <si>
    <t>3080</t>
  </si>
  <si>
    <t>23260657337442000145550010000030801756358408</t>
  </si>
  <si>
    <t>70603</t>
  </si>
  <si>
    <t>23260608933155000192550020000706031645333060</t>
  </si>
  <si>
    <t>14747</t>
  </si>
  <si>
    <t>23260612981026000309550010000147471000275230</t>
  </si>
  <si>
    <t>3554</t>
  </si>
  <si>
    <t>23260652915369000128550010000035541000038222</t>
  </si>
  <si>
    <t>8821631</t>
  </si>
  <si>
    <t>23260607216054000219550030088216311813364285</t>
  </si>
  <si>
    <t>8822805</t>
  </si>
  <si>
    <t>23260607216054000219550030088228051519494326</t>
  </si>
  <si>
    <t>8822804</t>
  </si>
  <si>
    <t>23260607216054000219550030088228041294342110</t>
  </si>
  <si>
    <t>8822806</t>
  </si>
  <si>
    <t>23260607216054000219550030088228061434776634</t>
  </si>
  <si>
    <t>8822807</t>
  </si>
  <si>
    <t>23260607216054000219550030088228071580924186</t>
  </si>
  <si>
    <t>109051</t>
  </si>
  <si>
    <t>23260646378585000189550010001090511000400332</t>
  </si>
  <si>
    <t>2856919</t>
  </si>
  <si>
    <t>23260641221516000224550010028569191064189743</t>
  </si>
  <si>
    <t>2856920</t>
  </si>
  <si>
    <t>23260641221516000224550010028569201729805330</t>
  </si>
  <si>
    <t>332519</t>
  </si>
  <si>
    <t>23260641221516001034550010003325191179439071</t>
  </si>
  <si>
    <t>332521</t>
  </si>
  <si>
    <t>23260641221516001034550010003325211602474872</t>
  </si>
  <si>
    <t>8849</t>
  </si>
  <si>
    <t>23260654121247000276550010000088491000334135</t>
  </si>
  <si>
    <t>314898</t>
  </si>
  <si>
    <t>23260607173322000181550010003148981004623500</t>
  </si>
  <si>
    <t>9010945</t>
  </si>
  <si>
    <t>23260607196033002141550070090109451890798712</t>
  </si>
  <si>
    <t>9013059</t>
  </si>
  <si>
    <t>23260607196033002141550070090130591177021200</t>
  </si>
  <si>
    <t>9013076</t>
  </si>
  <si>
    <t>23260607196033002141550070090130761177021201</t>
  </si>
  <si>
    <t>10083981</t>
  </si>
  <si>
    <t>23260610483444000260550010100839811814098808</t>
  </si>
  <si>
    <t>1053485</t>
  </si>
  <si>
    <t>23260683044016007306550010010534851543440469</t>
  </si>
  <si>
    <t>741162</t>
  </si>
  <si>
    <t>23260604940750001923550010007411621775266293</t>
  </si>
  <si>
    <t>3085</t>
  </si>
  <si>
    <t>23260657337442000145550010000030851909072439</t>
  </si>
  <si>
    <t>14753</t>
  </si>
  <si>
    <t>23260612981026000309550010000147531000275342</t>
  </si>
  <si>
    <t>14757</t>
  </si>
  <si>
    <t>23260612981026000309550010000147571000275392</t>
  </si>
  <si>
    <t>14758</t>
  </si>
  <si>
    <t>23260612981026000309550010000147581000275403</t>
  </si>
  <si>
    <t>21075</t>
  </si>
  <si>
    <t>23260629403927000154550030000210751010001227</t>
  </si>
  <si>
    <t>895</t>
  </si>
  <si>
    <t>23260612707415000189550010000008951000041728</t>
  </si>
  <si>
    <t>34761</t>
  </si>
  <si>
    <t>23260612981026000147550010000347611000275443</t>
  </si>
  <si>
    <t>515854</t>
  </si>
  <si>
    <t>23260609524502000196550100005158541388869372</t>
  </si>
  <si>
    <t>1034931</t>
  </si>
  <si>
    <t>23260633009911006412550470010349311917752220</t>
  </si>
  <si>
    <t>278836</t>
  </si>
  <si>
    <t>23260609524502000609550100002788361452139985</t>
  </si>
  <si>
    <t>2131</t>
  </si>
  <si>
    <t>23260659795061000135550010000021311113153842</t>
  </si>
  <si>
    <t>506958</t>
  </si>
  <si>
    <t>23260603282301001387550010005069581421901020</t>
  </si>
  <si>
    <t>5464806</t>
  </si>
  <si>
    <t>23260603282301000143550010054648061360467909</t>
  </si>
  <si>
    <t>5464982</t>
  </si>
  <si>
    <t>23260603282301000143550010054649821588134905</t>
  </si>
  <si>
    <t>291962</t>
  </si>
  <si>
    <t>23260607574718000130550010002919621737773671</t>
  </si>
  <si>
    <t>515990</t>
  </si>
  <si>
    <t>23260609524502000196550100005159901363757955</t>
  </si>
  <si>
    <t>1411</t>
  </si>
  <si>
    <t>23260629415827000148550030000014111833584272</t>
  </si>
  <si>
    <t>291975</t>
  </si>
  <si>
    <t>23260607574718000130550010002919751288568381</t>
  </si>
  <si>
    <t>587</t>
  </si>
  <si>
    <t>23260623398056000141550020000005871087200056</t>
  </si>
  <si>
    <t>23260615309004000123550010000013291722021752</t>
  </si>
  <si>
    <t>29861</t>
  </si>
  <si>
    <t>23260626748294000128550010000298611275047740</t>
  </si>
  <si>
    <t>5435433</t>
  </si>
  <si>
    <t>23260673909566000104550010054354331179219119</t>
  </si>
  <si>
    <t>5435435</t>
  </si>
  <si>
    <t>23260673909566000104550010054354351244680142</t>
  </si>
  <si>
    <t>5435434</t>
  </si>
  <si>
    <t>23260673909566000104550010054354341203750190</t>
  </si>
  <si>
    <t>5435432</t>
  </si>
  <si>
    <t>23260673909566000104550010054354321200126121</t>
  </si>
  <si>
    <t>5435836</t>
  </si>
  <si>
    <t>23260673909566000104550010054358361167791029</t>
  </si>
  <si>
    <t>5435835</t>
  </si>
  <si>
    <t>23260673909566000104550010054358351631661534</t>
  </si>
  <si>
    <t>5435833</t>
  </si>
  <si>
    <t>23260673909566000104550010054358331176524010</t>
  </si>
  <si>
    <t>5435834</t>
  </si>
  <si>
    <t>23260673909566000104550010054358341572526012</t>
  </si>
  <si>
    <t>23260651693122000141550010000008941020088003</t>
  </si>
  <si>
    <t>3091</t>
  </si>
  <si>
    <t>23260657337442000145550010000030911157995854</t>
  </si>
  <si>
    <t>1412</t>
  </si>
  <si>
    <t>23260629415827000148550030000014121065300051</t>
  </si>
  <si>
    <t>171940</t>
  </si>
  <si>
    <t>23260606613376000310550010001719401659375750</t>
  </si>
  <si>
    <t>657912</t>
  </si>
  <si>
    <t>23260609497934000155550010006579121033824223</t>
  </si>
  <si>
    <t>153040</t>
  </si>
  <si>
    <t>23260601413264000130550010001530401603100006</t>
  </si>
  <si>
    <t>90873</t>
  </si>
  <si>
    <t>23260663388441000122550020000908731895286992</t>
  </si>
  <si>
    <t>647820</t>
  </si>
  <si>
    <t>23260609215353000183550010006478201487860559</t>
  </si>
  <si>
    <t>292082</t>
  </si>
  <si>
    <t>23260607574718000130550010002920821722808022</t>
  </si>
  <si>
    <t>852146</t>
  </si>
  <si>
    <t>23260656228356007306550350008521461230956418</t>
  </si>
  <si>
    <t>852148</t>
  </si>
  <si>
    <t>23260656228356007306550350008521481379595474</t>
  </si>
  <si>
    <t>852154</t>
  </si>
  <si>
    <t>23260656228356007306550350008521541718492548</t>
  </si>
  <si>
    <t>852152</t>
  </si>
  <si>
    <t>23260656228356007306550350008521521587690169</t>
  </si>
  <si>
    <t>852150</t>
  </si>
  <si>
    <t>23260656228356007306550350008521501456887797</t>
  </si>
  <si>
    <t>852151</t>
  </si>
  <si>
    <t>23260656228356007306550350008521511522288989</t>
  </si>
  <si>
    <t>852149</t>
  </si>
  <si>
    <t>23260656228356007306550350008521491409323296</t>
  </si>
  <si>
    <t>468974</t>
  </si>
  <si>
    <t>23260650221019007904550010004689741700349998</t>
  </si>
  <si>
    <t>3413659</t>
  </si>
  <si>
    <t>23260606850713000120550010034136591168434117</t>
  </si>
  <si>
    <t>10829</t>
  </si>
  <si>
    <t>23260603828113000178550020000108291125334250</t>
  </si>
  <si>
    <t>1442567</t>
  </si>
  <si>
    <t>23260609662119000102550020014425671015031181</t>
  </si>
  <si>
    <t>315078</t>
  </si>
  <si>
    <t>23260607173322000181550010003150781004626117</t>
  </si>
  <si>
    <t>10088445</t>
  </si>
  <si>
    <t>23260610483444000260550010100884451458831235</t>
  </si>
  <si>
    <t>316164</t>
  </si>
  <si>
    <t>23260623045646000190550000003161641541261342</t>
  </si>
  <si>
    <t>14769</t>
  </si>
  <si>
    <t>23260612981026000309550010000147691000275580</t>
  </si>
  <si>
    <t>3096</t>
  </si>
  <si>
    <t>23260657337442000145550010000030961442927400</t>
  </si>
  <si>
    <t>389538</t>
  </si>
  <si>
    <t>23260692660406002405550050003895381000160220</t>
  </si>
  <si>
    <t>82325</t>
  </si>
  <si>
    <t>23260610972368000175550010000823251554753313</t>
  </si>
  <si>
    <t>46430</t>
  </si>
  <si>
    <t>23260613878827000144550010000464301641197407</t>
  </si>
  <si>
    <t>1134599</t>
  </si>
  <si>
    <t>23260603606595000111550010011345991183146413</t>
  </si>
  <si>
    <t>5294096</t>
  </si>
  <si>
    <t>23260607224991000135550010052940961054527236</t>
  </si>
  <si>
    <t>5296042</t>
  </si>
  <si>
    <t>23260607224991000135550010052960421054733730</t>
  </si>
  <si>
    <t>4809930</t>
  </si>
  <si>
    <t>23260601206820003201550010048099301717633706</t>
  </si>
  <si>
    <t>4813435</t>
  </si>
  <si>
    <t>23260601206820003201550010048134351618236062</t>
  </si>
  <si>
    <t>1136319</t>
  </si>
  <si>
    <t>23260603606595000111550010011363191174188181</t>
  </si>
  <si>
    <t>10084391</t>
  </si>
  <si>
    <t>23260610483444000260550010100843911088490632</t>
  </si>
  <si>
    <t>733224</t>
  </si>
  <si>
    <t>35260649319411002187550050007332241086331592</t>
  </si>
  <si>
    <t>1467447</t>
  </si>
  <si>
    <t>23260608038666000140550010014674471594833340</t>
  </si>
  <si>
    <t>1467623</t>
  </si>
  <si>
    <t>23260608038666000140550010014676231244355944</t>
  </si>
  <si>
    <t>4744</t>
  </si>
  <si>
    <t>23260653557846000193550010000047441655801765</t>
  </si>
  <si>
    <t>1467864</t>
  </si>
  <si>
    <t>23260608038666000140550010014678641235674203</t>
  </si>
  <si>
    <t>1467358</t>
  </si>
  <si>
    <t>23260608038666000140550010014673581082685099</t>
  </si>
  <si>
    <t>3585222</t>
  </si>
  <si>
    <t>23260663310411000101550040035852221428713085</t>
  </si>
  <si>
    <t>5467887</t>
  </si>
  <si>
    <t>33260619300038000108550010054678871791538777</t>
  </si>
  <si>
    <t>34511</t>
  </si>
  <si>
    <t>23260607442903000171550010000345111763388559</t>
  </si>
  <si>
    <t>252339</t>
  </si>
  <si>
    <t>23260608038666000221550010002523391364032983</t>
  </si>
  <si>
    <t>4955</t>
  </si>
  <si>
    <t>23260611805777000140550020000049551083324470</t>
  </si>
  <si>
    <t>15917</t>
  </si>
  <si>
    <t>23260605646748000180550010000159171156097020</t>
  </si>
  <si>
    <t>1504710</t>
  </si>
  <si>
    <t>23260606980064000263550010015047101879444653</t>
  </si>
  <si>
    <t>48465</t>
  </si>
  <si>
    <t>23260612196927000209550010000484651348970783</t>
  </si>
  <si>
    <t>94383</t>
  </si>
  <si>
    <t>42260608088938000893550010000943831000107852</t>
  </si>
  <si>
    <t>1911</t>
  </si>
  <si>
    <t>53260602404161000176550010000019111342116005</t>
  </si>
  <si>
    <t>11270</t>
  </si>
  <si>
    <t>11260611731515000269550010000112701896367980</t>
  </si>
  <si>
    <t>6135</t>
  </si>
  <si>
    <t>33260632125716000101550010000061351002233913</t>
  </si>
  <si>
    <t>6141</t>
  </si>
  <si>
    <t>33260632125716000101550010000061411002234135</t>
  </si>
  <si>
    <t>9019696</t>
  </si>
  <si>
    <t>23260607196033002141550070090196961819173598</t>
  </si>
  <si>
    <t>469955</t>
  </si>
  <si>
    <t>23260650221019007904550010004699551011468060</t>
  </si>
  <si>
    <t>608269</t>
  </si>
  <si>
    <t>35260606106225000103550020006082691025142138</t>
  </si>
  <si>
    <t>405035</t>
  </si>
  <si>
    <t>23260628826394002102550010004050351740408032</t>
  </si>
  <si>
    <t>608563</t>
  </si>
  <si>
    <t>35260606106225000103550020006085631025142165</t>
  </si>
  <si>
    <t>608624</t>
  </si>
  <si>
    <t>35260606106225000103550020006086241572617642</t>
  </si>
  <si>
    <t>3346960</t>
  </si>
  <si>
    <t>17260607019231000358550010033469601018500290</t>
  </si>
  <si>
    <t>405304</t>
  </si>
  <si>
    <t>23260628826394002102550010004053041740408032</t>
  </si>
  <si>
    <t>405306</t>
  </si>
  <si>
    <t>23260628826394002102550010004053061740408037</t>
  </si>
  <si>
    <t>609340</t>
  </si>
  <si>
    <t>35260606106225000103550020006093401350475509</t>
  </si>
  <si>
    <t>609381</t>
  </si>
  <si>
    <t>35260606106225000103550020006093811025142256</t>
  </si>
  <si>
    <t>11820</t>
  </si>
  <si>
    <t>23260611618173000194550010000118201005015192</t>
  </si>
  <si>
    <t>5969</t>
  </si>
  <si>
    <t>23260611618173000437550010000059691005012893</t>
  </si>
  <si>
    <t>5968</t>
  </si>
  <si>
    <t>23260611618173000437550010000059681005012888</t>
  </si>
  <si>
    <t>5972</t>
  </si>
  <si>
    <t>23260611618173000437550010000059721005017653</t>
  </si>
  <si>
    <t>5973</t>
  </si>
  <si>
    <t>23260611618173000437550010000059731005018673</t>
  </si>
  <si>
    <t>7830</t>
  </si>
  <si>
    <t>23260611618173000437550020000078301005023378</t>
  </si>
  <si>
    <t>7831</t>
  </si>
  <si>
    <t>23260611618173000437550020000078311005025653</t>
  </si>
  <si>
    <t>7834</t>
  </si>
  <si>
    <t>23260611618173000437550020000078341005027003</t>
  </si>
  <si>
    <t>26507</t>
  </si>
  <si>
    <t>23260620951181000491550010000265071005015052</t>
  </si>
  <si>
    <t>2219</t>
  </si>
  <si>
    <t>23260620951181000149550010000022191005015860</t>
  </si>
  <si>
    <t>20845</t>
  </si>
  <si>
    <t>23260620951181000300550010000208451005025039</t>
  </si>
  <si>
    <t>20827</t>
  </si>
  <si>
    <t>23260620951181000300550010000208271005016295</t>
  </si>
  <si>
    <t>20828</t>
  </si>
  <si>
    <t>23260620951181000300550010000208281005016870</t>
  </si>
  <si>
    <t>20829</t>
  </si>
  <si>
    <t>23260620951181000300550010000208291005016923</t>
  </si>
  <si>
    <t>5971</t>
  </si>
  <si>
    <t>23260611618173000437550010000059711005017311</t>
  </si>
  <si>
    <t>20838</t>
  </si>
  <si>
    <t>23260620951181000300550010000208381005021608</t>
  </si>
  <si>
    <t>20840</t>
  </si>
  <si>
    <t>23260620951181000300550010000208401005022491</t>
  </si>
  <si>
    <t>26519</t>
  </si>
  <si>
    <t>23260620951181000491550010000265191005024087</t>
  </si>
  <si>
    <t>18108</t>
  </si>
  <si>
    <t>23260620951181000149550030000181081005016429</t>
  </si>
  <si>
    <t>18110</t>
  </si>
  <si>
    <t>23260620951181000149550030000181101005016524</t>
  </si>
  <si>
    <t>2224</t>
  </si>
  <si>
    <t>23260620951181000149550010000022241005016556</t>
  </si>
  <si>
    <t>20830</t>
  </si>
  <si>
    <t>23260620951181000300550010000208301005017360</t>
  </si>
  <si>
    <t>26511</t>
  </si>
  <si>
    <t>23260620951181000491550010000265111005018356</t>
  </si>
  <si>
    <t>23260620951181000149550010000022351005020557</t>
  </si>
  <si>
    <t>15877</t>
  </si>
  <si>
    <t>23260620951181000220550010000158771005020691</t>
  </si>
  <si>
    <t>26515</t>
  </si>
  <si>
    <t>23260620951181000491550010000265151005021364</t>
  </si>
  <si>
    <t>20841</t>
  </si>
  <si>
    <t>23260620951181000300550010000208411005022740</t>
  </si>
  <si>
    <t>20842</t>
  </si>
  <si>
    <t>23260620951181000300550010000208421005023832</t>
  </si>
  <si>
    <t>20847</t>
  </si>
  <si>
    <t>23260620951181000300550010000208471005025335</t>
  </si>
  <si>
    <t>26523</t>
  </si>
  <si>
    <t>23260620951181000491550010000265231005026813</t>
  </si>
  <si>
    <t>15283</t>
  </si>
  <si>
    <t>23260646325254001152550010000152831315193366</t>
  </si>
  <si>
    <t>7612</t>
  </si>
  <si>
    <t>23260602908742000145550010000076121181720565</t>
  </si>
  <si>
    <t>7624</t>
  </si>
  <si>
    <t>23260602908742000145550010000076241191107239</t>
  </si>
  <si>
    <t>7627</t>
  </si>
  <si>
    <t>23260602908742000145550010000076271191107532</t>
  </si>
  <si>
    <t>23260602908742000498550030000057601191109073</t>
  </si>
  <si>
    <t>5761</t>
  </si>
  <si>
    <t>23260602908742000498550030000057611191109143</t>
  </si>
  <si>
    <t>23260602908742000307550020000057091191114334</t>
  </si>
  <si>
    <t>5713</t>
  </si>
  <si>
    <t>23260602908742000307550020000057131191722140</t>
  </si>
  <si>
    <t>122243</t>
  </si>
  <si>
    <t>23260606604714000276550050001222431965567019</t>
  </si>
  <si>
    <t>122247</t>
  </si>
  <si>
    <t>23260606604714000276550050001222471152105873</t>
  </si>
  <si>
    <t>122256</t>
  </si>
  <si>
    <t>23260606604714000276550050001222561176997196</t>
  </si>
  <si>
    <t>339347</t>
  </si>
  <si>
    <t>26260619300038000299550020003393471986132492</t>
  </si>
  <si>
    <t>4949</t>
  </si>
  <si>
    <t>23260611805777000140550020000049491071056428</t>
  </si>
  <si>
    <t>1398</t>
  </si>
  <si>
    <t>23260610712266000110550040000013981348449548</t>
  </si>
  <si>
    <t>8319</t>
  </si>
  <si>
    <t>23260629159044000140550010000083191141899578</t>
  </si>
  <si>
    <t>405435</t>
  </si>
  <si>
    <t>23260628826394002102550010004054351740408034</t>
  </si>
  <si>
    <t>7249664</t>
  </si>
  <si>
    <t>33260668571041000171550050072496641212788254</t>
  </si>
  <si>
    <t>405392</t>
  </si>
  <si>
    <t>23260628826394002102550010004053921740408035</t>
  </si>
  <si>
    <t>405413</t>
  </si>
  <si>
    <t>23260628826394002102550010004054131740408037</t>
  </si>
  <si>
    <t>8324</t>
  </si>
  <si>
    <t>23260629159044000140550010000083241250460771</t>
  </si>
  <si>
    <t>1467388</t>
  </si>
  <si>
    <t>23260608038666000140550010014673881256052990</t>
  </si>
  <si>
    <t>1467808</t>
  </si>
  <si>
    <t>23260608038666000140550010014678081879547608</t>
  </si>
  <si>
    <t>1467822</t>
  </si>
  <si>
    <t>23260608038666000140550010014678221884021367</t>
  </si>
  <si>
    <t>8323</t>
  </si>
  <si>
    <t>23260629159044000140550010000083231250370759</t>
  </si>
  <si>
    <t>7254780</t>
  </si>
  <si>
    <t>33260668571041000171550050072547801825180323</t>
  </si>
  <si>
    <t>4951</t>
  </si>
  <si>
    <t>23260611805777000140550020000049511071467574</t>
  </si>
  <si>
    <t>8320</t>
  </si>
  <si>
    <t>23260629159044000140550010000083201142058837</t>
  </si>
  <si>
    <t>405432</t>
  </si>
  <si>
    <t>23260628826394002102550010004054321740408032</t>
  </si>
  <si>
    <t>1467724</t>
  </si>
  <si>
    <t>23260608038666000140550010014677241497084887</t>
  </si>
  <si>
    <t>8318</t>
  </si>
  <si>
    <t>23260629159044000140550010000083181141733168</t>
  </si>
  <si>
    <t>405430</t>
  </si>
  <si>
    <t>23260628826394002102550010004054301740408038</t>
  </si>
  <si>
    <t>8325</t>
  </si>
  <si>
    <t>23260629159044000140550010000083251250736170</t>
  </si>
  <si>
    <t>190222</t>
  </si>
  <si>
    <t>26260605559838000133550010001902221675883370</t>
  </si>
  <si>
    <t>31537</t>
  </si>
  <si>
    <t>23260617608115000328550010000315371000547624</t>
  </si>
  <si>
    <t>31540</t>
  </si>
  <si>
    <t>23260617608115000328550010000315401000548090</t>
  </si>
  <si>
    <t>31552</t>
  </si>
  <si>
    <t>23260617608115000328550010000315521000548287</t>
  </si>
  <si>
    <t>31551</t>
  </si>
  <si>
    <t>23260617608115000328550010000315511000548271</t>
  </si>
  <si>
    <t>31569</t>
  </si>
  <si>
    <t>23260617608115000328550010000315691000549566</t>
  </si>
  <si>
    <t>31564</t>
  </si>
  <si>
    <t>23260617608115000328550010000315641000549446</t>
  </si>
  <si>
    <t>31570</t>
  </si>
  <si>
    <t>23260617608115000328550010000315701000549613</t>
  </si>
  <si>
    <t>868</t>
  </si>
  <si>
    <t>23260626379686000248550010000008681865265013</t>
  </si>
  <si>
    <t>81959</t>
  </si>
  <si>
    <t>23260610972368000175550010000819591620117382</t>
  </si>
  <si>
    <t>869</t>
  </si>
  <si>
    <t>23260626379686000248550010000008691866261868</t>
  </si>
  <si>
    <t>31574</t>
  </si>
  <si>
    <t>23260617608115000328550010000315741000550173</t>
  </si>
  <si>
    <t>661776</t>
  </si>
  <si>
    <t>23260602372862000170550000006617761011943460</t>
  </si>
  <si>
    <t>31582</t>
  </si>
  <si>
    <t>23260617608115000328550010000315821000551082</t>
  </si>
  <si>
    <t>31576</t>
  </si>
  <si>
    <t>23260617608115000328550010000315761000550348</t>
  </si>
  <si>
    <t>31573</t>
  </si>
  <si>
    <t>23260617608115000328550010000315731000550117</t>
  </si>
  <si>
    <t>31583</t>
  </si>
  <si>
    <t>23260617608115000328550010000315831000551160</t>
  </si>
  <si>
    <t>3427</t>
  </si>
  <si>
    <t>23260617608115000247550010000034271000550530</t>
  </si>
  <si>
    <t>31578</t>
  </si>
  <si>
    <t>23260617608115000328550010000315781000551047</t>
  </si>
  <si>
    <t>661662</t>
  </si>
  <si>
    <t>23260602372862000170550000006616621011941601</t>
  </si>
  <si>
    <t>31579</t>
  </si>
  <si>
    <t>23260617608115000328550010000315791000551052</t>
  </si>
  <si>
    <t>31581</t>
  </si>
  <si>
    <t>23260617608115000328550010000315811000551077</t>
  </si>
  <si>
    <t>31577</t>
  </si>
  <si>
    <t>23260617608115000328550010000315771000550361</t>
  </si>
  <si>
    <t>3428</t>
  </si>
  <si>
    <t>23260617608115000247550010000034281000550995</t>
  </si>
  <si>
    <t>31580</t>
  </si>
  <si>
    <t>23260617608115000328550010000315801000551061</t>
  </si>
  <si>
    <t>284882</t>
  </si>
  <si>
    <t>23260623494446000115550010002848821588356854</t>
  </si>
  <si>
    <t>1150198</t>
  </si>
  <si>
    <t>23260609317318000175550010011501981532301959</t>
  </si>
  <si>
    <t>1150197</t>
  </si>
  <si>
    <t>23260609317318000175550010011501971194230210</t>
  </si>
  <si>
    <t>963512</t>
  </si>
  <si>
    <t>23260667620377005426550010009635121009877961</t>
  </si>
  <si>
    <t>870</t>
  </si>
  <si>
    <t>23260626379686000248550010000008701867258713</t>
  </si>
  <si>
    <t>4257</t>
  </si>
  <si>
    <t>23260631565104018890551940000042571528301920</t>
  </si>
  <si>
    <t>871</t>
  </si>
  <si>
    <t>23260626379686000248550010000008711868255561</t>
  </si>
  <si>
    <t>152278</t>
  </si>
  <si>
    <t>23260606296421000198550010001522781310693735</t>
  </si>
  <si>
    <t>150055</t>
  </si>
  <si>
    <t>23260602716995000117551110001500551851254622</t>
  </si>
  <si>
    <t>150056</t>
  </si>
  <si>
    <t>23260602716995000117551110001500561713271324</t>
  </si>
  <si>
    <t>5370</t>
  </si>
  <si>
    <t>23260603217733000170550010000053701000050710</t>
  </si>
  <si>
    <t>872</t>
  </si>
  <si>
    <t>23260626379686000248550010000008721869252415</t>
  </si>
  <si>
    <t>1181</t>
  </si>
  <si>
    <t>23260604027640000146550020000011811000114074</t>
  </si>
  <si>
    <t>1185</t>
  </si>
  <si>
    <t>23260604027640000146550020000011851000114111</t>
  </si>
  <si>
    <t>102219</t>
  </si>
  <si>
    <t>23260610261153000146550010001022191001022181</t>
  </si>
  <si>
    <t>873</t>
  </si>
  <si>
    <t>23260626379686000248550010000008731870249268</t>
  </si>
  <si>
    <t>874</t>
  </si>
  <si>
    <t>23260626379686000248550010000008741871246111</t>
  </si>
  <si>
    <t>51355</t>
  </si>
  <si>
    <t>23260601650186000197550020000513551426478293</t>
  </si>
  <si>
    <t>875</t>
  </si>
  <si>
    <t>23260626379686000248550010000008751872242966</t>
  </si>
  <si>
    <t>374287</t>
  </si>
  <si>
    <t>23260612353215000337550000003742871040495709</t>
  </si>
  <si>
    <t>90696</t>
  </si>
  <si>
    <t>23260663388441000122550020000906961339257391</t>
  </si>
  <si>
    <t>436341</t>
  </si>
  <si>
    <t>23260602793218000176550000004363411037941567</t>
  </si>
  <si>
    <t>876</t>
  </si>
  <si>
    <t>23260626379686000248550010000008761873239818</t>
  </si>
  <si>
    <t>189616</t>
  </si>
  <si>
    <t>23260633041260127903550000001896161121811481</t>
  </si>
  <si>
    <t>189617</t>
  </si>
  <si>
    <t>23260633041260127903550000001896171121812086</t>
  </si>
  <si>
    <t>1676267</t>
  </si>
  <si>
    <t>23260607634785000101550010016762671732562485</t>
  </si>
  <si>
    <t>10084</t>
  </si>
  <si>
    <t>23260634996611000315550010000100841001975290</t>
  </si>
  <si>
    <t>281146</t>
  </si>
  <si>
    <t>23260607206816002592550010002811461737601166</t>
  </si>
  <si>
    <t>8800518</t>
  </si>
  <si>
    <t>23260607216054000219550030088005181332901900</t>
  </si>
  <si>
    <t>8800517</t>
  </si>
  <si>
    <t>23260607216054000219550030088005171246727010</t>
  </si>
  <si>
    <t>1753708</t>
  </si>
  <si>
    <t>23260620524304000165550010017537081928592467</t>
  </si>
  <si>
    <t>2832231</t>
  </si>
  <si>
    <t>23260607667439000111550010028322311268520696</t>
  </si>
  <si>
    <t>2832234</t>
  </si>
  <si>
    <t>23260607667439000111550010028322341314541729</t>
  </si>
  <si>
    <t>31589</t>
  </si>
  <si>
    <t>23260617608115000328550010000315891000551601</t>
  </si>
  <si>
    <t>31592</t>
  </si>
  <si>
    <t>23260617608115000328550010000315921000551844</t>
  </si>
  <si>
    <t>31584</t>
  </si>
  <si>
    <t>23260617608115000328550010000315841000551303</t>
  </si>
  <si>
    <t>31593</t>
  </si>
  <si>
    <t>23260617608115000328550010000315931000552031</t>
  </si>
  <si>
    <t>31588</t>
  </si>
  <si>
    <t>23260617608115000328550010000315881000551566</t>
  </si>
  <si>
    <t>31590</t>
  </si>
  <si>
    <t>23260617608115000328550010000315901000551777</t>
  </si>
  <si>
    <t>3429</t>
  </si>
  <si>
    <t>23260617608115000247550010000034291000551549</t>
  </si>
  <si>
    <t>31586</t>
  </si>
  <si>
    <t>23260617608115000328550010000315861000551332</t>
  </si>
  <si>
    <t>31587</t>
  </si>
  <si>
    <t>23260617608115000328550010000315871000551526</t>
  </si>
  <si>
    <t>2612627</t>
  </si>
  <si>
    <t>23260604522065000158550010026126271133240429</t>
  </si>
  <si>
    <t>2612628</t>
  </si>
  <si>
    <t>23260604522065000158550010026126281171179216</t>
  </si>
  <si>
    <t>8984621</t>
  </si>
  <si>
    <t>23260607196033002141550070089846211328098116</t>
  </si>
  <si>
    <t>8984623</t>
  </si>
  <si>
    <t>23260607196033002141550070089846231392470912</t>
  </si>
  <si>
    <t>8984622</t>
  </si>
  <si>
    <t>23260607196033002141550070089846221331115325</t>
  </si>
  <si>
    <t>8985189</t>
  </si>
  <si>
    <t>23260607196033002141550070089851891118016133</t>
  </si>
  <si>
    <t>8985188</t>
  </si>
  <si>
    <t>23260607196033002141550070089851881684790986</t>
  </si>
  <si>
    <t>8985190</t>
  </si>
  <si>
    <t>23260607196033002141550070089851901603741414</t>
  </si>
  <si>
    <t>8985191</t>
  </si>
  <si>
    <t>23260607196033002141550070089851911400443386</t>
  </si>
  <si>
    <t>8985193</t>
  </si>
  <si>
    <t>23260607196033002141550070089851931062044849</t>
  </si>
  <si>
    <t>8985192</t>
  </si>
  <si>
    <t>23260607196033002141550070089851921240027077</t>
  </si>
  <si>
    <t>8985194</t>
  </si>
  <si>
    <t>23260607196033002141550070089851941679578068</t>
  </si>
  <si>
    <t>8985196</t>
  </si>
  <si>
    <t>23260607196033002141550070089851961715156622</t>
  </si>
  <si>
    <t>8985195</t>
  </si>
  <si>
    <t>23260607196033002141550070089851951283082209</t>
  </si>
  <si>
    <t>8985198</t>
  </si>
  <si>
    <t>23260607196033002141550070089851981919078659</t>
  </si>
  <si>
    <t>8985197</t>
  </si>
  <si>
    <t>23260607196033002141550070089851971755723088</t>
  </si>
  <si>
    <t>8985199</t>
  </si>
  <si>
    <t>23260607196033002141550070089851991912455535</t>
  </si>
  <si>
    <t>285000</t>
  </si>
  <si>
    <t>23260623494446000115550010002850001249845564</t>
  </si>
  <si>
    <t>739072</t>
  </si>
  <si>
    <t>23260604940750001923550010007390721310439831</t>
  </si>
  <si>
    <t>739073</t>
  </si>
  <si>
    <t>23260604940750001923550010007390731284734522</t>
  </si>
  <si>
    <t>739105</t>
  </si>
  <si>
    <t>23260604940750001923550010007391051654422592</t>
  </si>
  <si>
    <t>35721</t>
  </si>
  <si>
    <t>23260612620329000215550080000357211780896793</t>
  </si>
  <si>
    <t>877</t>
  </si>
  <si>
    <t>23260626379686000248550010000008771874236658</t>
  </si>
  <si>
    <t>1194</t>
  </si>
  <si>
    <t>23260604027640000146550020000011941000114200</t>
  </si>
  <si>
    <t>1196</t>
  </si>
  <si>
    <t>23260604027640000146550020000011961000114220</t>
  </si>
  <si>
    <t>437</t>
  </si>
  <si>
    <t>23260608960096000141550010000004371665895199</t>
  </si>
  <si>
    <t>511689</t>
  </si>
  <si>
    <t>23260609524502000196550100005116891243753434</t>
  </si>
  <si>
    <t>1197</t>
  </si>
  <si>
    <t>23260604027640000146550020000011971000114236</t>
  </si>
  <si>
    <t>12615</t>
  </si>
  <si>
    <t>23260606625313000898550010000126151182433463</t>
  </si>
  <si>
    <t>82026</t>
  </si>
  <si>
    <t>23260610972368000175550010000820261314395499</t>
  </si>
  <si>
    <t>551</t>
  </si>
  <si>
    <t>23260663745747000199550010000005511000003825</t>
  </si>
  <si>
    <t>878</t>
  </si>
  <si>
    <t>23260626379686000248550010000008781875233501</t>
  </si>
  <si>
    <t>2476818</t>
  </si>
  <si>
    <t>23260633041260158701550000024768181121528253</t>
  </si>
  <si>
    <t>23260626379686000248550010000008791876230350</t>
  </si>
  <si>
    <t>555</t>
  </si>
  <si>
    <t>23260663745747000199550010000005551000003867</t>
  </si>
  <si>
    <t>4049</t>
  </si>
  <si>
    <t>23260658889141000197550010000040491057374196</t>
  </si>
  <si>
    <t>880</t>
  </si>
  <si>
    <t>23260626379686000248550010000008801877227205</t>
  </si>
  <si>
    <t>2022</t>
  </si>
  <si>
    <t>23260659254541000199550010000020221531612296</t>
  </si>
  <si>
    <t>31599</t>
  </si>
  <si>
    <t>23260617608115000328550010000315991000552850</t>
  </si>
  <si>
    <t>31597</t>
  </si>
  <si>
    <t>23260617608115000328550010000315971000552227</t>
  </si>
  <si>
    <t>2660004</t>
  </si>
  <si>
    <t>23260663360234000160550010026600041124331289</t>
  </si>
  <si>
    <t>31598</t>
  </si>
  <si>
    <t>23260617608115000328550010000315981000552500</t>
  </si>
  <si>
    <t>31596</t>
  </si>
  <si>
    <t>23260617608115000328550010000315961000552203</t>
  </si>
  <si>
    <t>11259</t>
  </si>
  <si>
    <t>23260606917470000109550020000112591000156288</t>
  </si>
  <si>
    <t>994356</t>
  </si>
  <si>
    <t>23260660409075048783550010009943561100965208</t>
  </si>
  <si>
    <t>2657065</t>
  </si>
  <si>
    <t>23260615099833000129550010026570651239108417</t>
  </si>
  <si>
    <t>10064869</t>
  </si>
  <si>
    <t>23260610483444000260550010100648691659196543</t>
  </si>
  <si>
    <t>851947</t>
  </si>
  <si>
    <t>23260683310441006905550010008519471160402453</t>
  </si>
  <si>
    <t>285173</t>
  </si>
  <si>
    <t>23260623494446000115550010002851731320216597</t>
  </si>
  <si>
    <t>739352</t>
  </si>
  <si>
    <t>23260604940750001923550010007393521119462259</t>
  </si>
  <si>
    <t>52941</t>
  </si>
  <si>
    <t>23260643340312000823550010000529411026039904</t>
  </si>
  <si>
    <t>225510</t>
  </si>
  <si>
    <t>23260632044916000210550010002255101872115398</t>
  </si>
  <si>
    <t>881</t>
  </si>
  <si>
    <t>23260626379686000248550010000008811878224053</t>
  </si>
  <si>
    <t>882</t>
  </si>
  <si>
    <t>23260626379686000248550010000008821879220903</t>
  </si>
  <si>
    <t>35822</t>
  </si>
  <si>
    <t>23260612620329000215550080000358221935417977</t>
  </si>
  <si>
    <t>503</t>
  </si>
  <si>
    <t>23260644118151000114550010000005031300004737</t>
  </si>
  <si>
    <t>152496</t>
  </si>
  <si>
    <t>23260601413264000130550010001524961132800006</t>
  </si>
  <si>
    <t>883</t>
  </si>
  <si>
    <t>23260626379686000248550010000008831880217756</t>
  </si>
  <si>
    <t>23260626379686000248550010000008841881214600</t>
  </si>
  <si>
    <t>4825688</t>
  </si>
  <si>
    <t>23260643214055003637550000048256881881436104</t>
  </si>
  <si>
    <t>4825687</t>
  </si>
  <si>
    <t>23260643214055003637550000048256871881436093</t>
  </si>
  <si>
    <t>4825686</t>
  </si>
  <si>
    <t>23260643214055003637550000048256861881436088</t>
  </si>
  <si>
    <t>885</t>
  </si>
  <si>
    <t>23260626379686000248550010000008851882211458</t>
  </si>
  <si>
    <t>1203</t>
  </si>
  <si>
    <t>23260604027640000146550020000012031014981661</t>
  </si>
  <si>
    <t>1206</t>
  </si>
  <si>
    <t>23260604027640000146550020000012061014981736</t>
  </si>
  <si>
    <t>1207</t>
  </si>
  <si>
    <t>23260604027640000146550020000012071014981741</t>
  </si>
  <si>
    <t>111095</t>
  </si>
  <si>
    <t>23260627814700000176550010001110951764279875</t>
  </si>
  <si>
    <t>386810</t>
  </si>
  <si>
    <t>23260692660406002405550050003868101000132059</t>
  </si>
  <si>
    <t>886</t>
  </si>
  <si>
    <t>23260626379686000248550010000008861883208300</t>
  </si>
  <si>
    <t>8802149</t>
  </si>
  <si>
    <t>23260607216054000219550030088021491949202494</t>
  </si>
  <si>
    <t>887</t>
  </si>
  <si>
    <t>23260626379686000248550010000008871884205158</t>
  </si>
  <si>
    <t>8802150</t>
  </si>
  <si>
    <t>23260607216054000219550030088021501670830488</t>
  </si>
  <si>
    <t>8802151</t>
  </si>
  <si>
    <t>23260607216054000219550030088021511469493175</t>
  </si>
  <si>
    <t>562</t>
  </si>
  <si>
    <t>23260663745747000199550010000005621000003934</t>
  </si>
  <si>
    <t>386862</t>
  </si>
  <si>
    <t>23260692660406002405550050003868621000282499</t>
  </si>
  <si>
    <t>2644</t>
  </si>
  <si>
    <t>23260614833349000119550010000026441156472679</t>
  </si>
  <si>
    <t>436627</t>
  </si>
  <si>
    <t>23260602793218000176550000004366271652036711</t>
  </si>
  <si>
    <t>1211</t>
  </si>
  <si>
    <t>23260604027640000146550020000012111014982368</t>
  </si>
  <si>
    <t>1212</t>
  </si>
  <si>
    <t>23260604027640000146550020000012121014982373</t>
  </si>
  <si>
    <t>888</t>
  </si>
  <si>
    <t>23260626379686000248550010000008881885201994</t>
  </si>
  <si>
    <t>169816</t>
  </si>
  <si>
    <t>23260606613376000310550010001698161372326119</t>
  </si>
  <si>
    <t>1706759</t>
  </si>
  <si>
    <t>23260607216054000642550070017067591433728210</t>
  </si>
  <si>
    <t>1706760</t>
  </si>
  <si>
    <t>23260607216054000642550070017067601297998020</t>
  </si>
  <si>
    <t>10180</t>
  </si>
  <si>
    <t>23260634996611000315550010000101801001976960</t>
  </si>
  <si>
    <t>889</t>
  </si>
  <si>
    <t>23260626379686000248550010000008891886198846</t>
  </si>
  <si>
    <t>19642</t>
  </si>
  <si>
    <t>23260610382775000122550010000196421443963757</t>
  </si>
  <si>
    <t>463743</t>
  </si>
  <si>
    <t>23260650221019007904550010004637431152218630</t>
  </si>
  <si>
    <t>3577795</t>
  </si>
  <si>
    <t>23260663310411000101550040035777951326843973</t>
  </si>
  <si>
    <t>31603</t>
  </si>
  <si>
    <t>23260617608115000328550010000316031000553761</t>
  </si>
  <si>
    <t>44255</t>
  </si>
  <si>
    <t>23260617608115000166550010000442551000553903</t>
  </si>
  <si>
    <t>44250</t>
  </si>
  <si>
    <t>23260617608115000166550010000442501000553834</t>
  </si>
  <si>
    <t>3435</t>
  </si>
  <si>
    <t>23260617608115000247550010000034351000554669</t>
  </si>
  <si>
    <t>31607</t>
  </si>
  <si>
    <t>23260617608115000328550010000316071000554465</t>
  </si>
  <si>
    <t>31609</t>
  </si>
  <si>
    <t>23260617608115000328550010000316091000554605</t>
  </si>
  <si>
    <t>3433</t>
  </si>
  <si>
    <t>23260617608115000247550010000034331000554117</t>
  </si>
  <si>
    <t>31602</t>
  </si>
  <si>
    <t>23260617608115000328550010000316021000553675</t>
  </si>
  <si>
    <t>44251</t>
  </si>
  <si>
    <t>23260617608115000166550010000442511000553858</t>
  </si>
  <si>
    <t>170614</t>
  </si>
  <si>
    <t>23260613830626000177550010001706141010777216</t>
  </si>
  <si>
    <t>31606</t>
  </si>
  <si>
    <t>23260617608115000328550010000316061000554450</t>
  </si>
  <si>
    <t>31610</t>
  </si>
  <si>
    <t>23260617608115000328550010000316101000554630</t>
  </si>
  <si>
    <t>44260</t>
  </si>
  <si>
    <t>23260617608115000166550010000442601000553997</t>
  </si>
  <si>
    <t>31608</t>
  </si>
  <si>
    <t>23260617608115000328550010000316081000554527</t>
  </si>
  <si>
    <t>31604</t>
  </si>
  <si>
    <t>23260617608115000328550010000316041000553823</t>
  </si>
  <si>
    <t>44261</t>
  </si>
  <si>
    <t>23260617608115000166550010000442611000554001</t>
  </si>
  <si>
    <t>44258</t>
  </si>
  <si>
    <t>23260617608115000166550010000442581000553948</t>
  </si>
  <si>
    <t>44254</t>
  </si>
  <si>
    <t>23260617608115000166550010000442541000553892</t>
  </si>
  <si>
    <t>44252</t>
  </si>
  <si>
    <t>23260617608115000166550010000442521000553863</t>
  </si>
  <si>
    <t>44259</t>
  </si>
  <si>
    <t>23260617608115000166550010000442591000553970</t>
  </si>
  <si>
    <t>44256</t>
  </si>
  <si>
    <t>23260617608115000166550010000442561000553919</t>
  </si>
  <si>
    <t>31605</t>
  </si>
  <si>
    <t>23260617608115000328550010000316051000554436</t>
  </si>
  <si>
    <t>31611</t>
  </si>
  <si>
    <t>23260617608115000328550010000316111000554654</t>
  </si>
  <si>
    <t>5425028</t>
  </si>
  <si>
    <t>23260673909566000104550010054250281244163180</t>
  </si>
  <si>
    <t>5425026</t>
  </si>
  <si>
    <t>23260673909566000104550010054250261213206240</t>
  </si>
  <si>
    <t>5425027</t>
  </si>
  <si>
    <t>23260673909566000104550010054250271381902026</t>
  </si>
  <si>
    <t>2613677</t>
  </si>
  <si>
    <t>23260604522065000158550010026136771152565105</t>
  </si>
  <si>
    <t>964642</t>
  </si>
  <si>
    <t>23260667620377005426550010009646421009889462</t>
  </si>
  <si>
    <t>4499970</t>
  </si>
  <si>
    <t>23260601838723025707550010044999701204864598</t>
  </si>
  <si>
    <t>285277</t>
  </si>
  <si>
    <t>23260623494446000115550010002852771618633038</t>
  </si>
  <si>
    <t>10067037</t>
  </si>
  <si>
    <t>23260610483444000260550010100670371427374325</t>
  </si>
  <si>
    <t>131009</t>
  </si>
  <si>
    <t>23260610417295000150550010001310091877142850</t>
  </si>
  <si>
    <t>131008</t>
  </si>
  <si>
    <t>23260610417295000150550010001310081257697123</t>
  </si>
  <si>
    <t>890</t>
  </si>
  <si>
    <t>23260626379686000248550010000008901887195698</t>
  </si>
  <si>
    <t>891</t>
  </si>
  <si>
    <t>23260626379686000248550010000008911888192541</t>
  </si>
  <si>
    <t>962392</t>
  </si>
  <si>
    <t>52260603387396002022550010009623921136194053</t>
  </si>
  <si>
    <t>962394</t>
  </si>
  <si>
    <t>52260603387396002022550010009623941792256919</t>
  </si>
  <si>
    <t>962393</t>
  </si>
  <si>
    <t>52260603387396002022550010009623931995435322</t>
  </si>
  <si>
    <t>14093</t>
  </si>
  <si>
    <t>23260617130362000108550010000140931532113627</t>
  </si>
  <si>
    <t>1507647</t>
  </si>
  <si>
    <t>23260607815053000290550010015076471196351126</t>
  </si>
  <si>
    <t>1507646</t>
  </si>
  <si>
    <t>23260607815053000290550010015076461610643729</t>
  </si>
  <si>
    <t>100776</t>
  </si>
  <si>
    <t>23260605617617000174550010001007761026883546</t>
  </si>
  <si>
    <t>892</t>
  </si>
  <si>
    <t>23260626379686000248550010000008921889189398</t>
  </si>
  <si>
    <t>893</t>
  </si>
  <si>
    <t>23260626379686000248550010000008931890186248</t>
  </si>
  <si>
    <t>1217</t>
  </si>
  <si>
    <t>23260604027640000146550020000012171014983830</t>
  </si>
  <si>
    <t>1223</t>
  </si>
  <si>
    <t>23260604027640000146550020000012231014983926</t>
  </si>
  <si>
    <t>70178</t>
  </si>
  <si>
    <t>23260632906750000113550010000701781868069754</t>
  </si>
  <si>
    <t>62892</t>
  </si>
  <si>
    <t>23260610757187000630550010000628921130595779</t>
  </si>
  <si>
    <t>62893</t>
  </si>
  <si>
    <t>23260610757187000630550010000628931410516841</t>
  </si>
  <si>
    <t>323908</t>
  </si>
  <si>
    <t>23260604015225000172550010003239081833230079</t>
  </si>
  <si>
    <t>82092</t>
  </si>
  <si>
    <t>23260610972368000175550010000820921669628828</t>
  </si>
  <si>
    <t>23260626379686000248550010000008941891183096</t>
  </si>
  <si>
    <t>282850</t>
  </si>
  <si>
    <t>23260607206816002592550010002828501715769035</t>
  </si>
  <si>
    <t>282859</t>
  </si>
  <si>
    <t>23260607206816002592550010002828591321028350</t>
  </si>
  <si>
    <t>23260603995515030155550020000146701104217552</t>
  </si>
  <si>
    <t>5458258</t>
  </si>
  <si>
    <t>23260603282301000143550010054582581457504564</t>
  </si>
  <si>
    <t>2853450</t>
  </si>
  <si>
    <t>23260641221516000224550010028534501160358843</t>
  </si>
  <si>
    <t>330628</t>
  </si>
  <si>
    <t>23260641221516001034550010003306281624428277</t>
  </si>
  <si>
    <t>31614</t>
  </si>
  <si>
    <t>23260617608115000328550010000316141000554818</t>
  </si>
  <si>
    <t>31620</t>
  </si>
  <si>
    <t>23260617608115000328550010000316201000555110</t>
  </si>
  <si>
    <t>31612</t>
  </si>
  <si>
    <t>23260617608115000328550010000316121000554708</t>
  </si>
  <si>
    <t>31618</t>
  </si>
  <si>
    <t>23260617608115000328550010000316181000555090</t>
  </si>
  <si>
    <t>31622</t>
  </si>
  <si>
    <t>23260617608115000328550010000316221000555140</t>
  </si>
  <si>
    <t>31616</t>
  </si>
  <si>
    <t>23260617608115000328550010000316161000555061</t>
  </si>
  <si>
    <t>31625</t>
  </si>
  <si>
    <t>23260617608115000328550010000316251000555214</t>
  </si>
  <si>
    <t>31624</t>
  </si>
  <si>
    <t>23260617608115000328550010000316241000555179</t>
  </si>
  <si>
    <t>31629</t>
  </si>
  <si>
    <t>23260617608115000328550010000316291000555523</t>
  </si>
  <si>
    <t>31621</t>
  </si>
  <si>
    <t>23260617608115000328550010000316211000555126</t>
  </si>
  <si>
    <t>31628</t>
  </si>
  <si>
    <t>23260617608115000328550010000316281000555470</t>
  </si>
  <si>
    <t>31615</t>
  </si>
  <si>
    <t>23260617608115000328550010000316151000554955</t>
  </si>
  <si>
    <t>31627</t>
  </si>
  <si>
    <t>23260617608115000328550010000316271000555464</t>
  </si>
  <si>
    <t>31626</t>
  </si>
  <si>
    <t>23260617608115000328550010000316261000555270</t>
  </si>
  <si>
    <t>31617</t>
  </si>
  <si>
    <t>23260617608115000328550010000316171000555077</t>
  </si>
  <si>
    <t>31619</t>
  </si>
  <si>
    <t>23260617608115000328550010000316191000555101</t>
  </si>
  <si>
    <t>31623</t>
  </si>
  <si>
    <t>23260617608115000328550010000316231000555155</t>
  </si>
  <si>
    <t>3437</t>
  </si>
  <si>
    <t>23260617608115000247550010000034371000555007</t>
  </si>
  <si>
    <t>31630</t>
  </si>
  <si>
    <t>23260617608115000328550010000316301000555745</t>
  </si>
  <si>
    <t>5426370</t>
  </si>
  <si>
    <t>23260673909566000104550010054263701171187314</t>
  </si>
  <si>
    <t>5426371</t>
  </si>
  <si>
    <t>23260673909566000104550010054263711254872011</t>
  </si>
  <si>
    <t>5426369</t>
  </si>
  <si>
    <t>23260673909566000104550010054263691223871031</t>
  </si>
  <si>
    <t>994980</t>
  </si>
  <si>
    <t>23260660409075048783550010009949801624504321</t>
  </si>
  <si>
    <t>5181222</t>
  </si>
  <si>
    <t>23260623577851000105550010051812221742431913</t>
  </si>
  <si>
    <t>2428959</t>
  </si>
  <si>
    <t>23260605402904001210550010024289591981111231</t>
  </si>
  <si>
    <t>2428958</t>
  </si>
  <si>
    <t>23260605402904001210550010024289581187631391</t>
  </si>
  <si>
    <t>10069565</t>
  </si>
  <si>
    <t>23260610483444000260550010100695651341358870</t>
  </si>
  <si>
    <t>1151286</t>
  </si>
  <si>
    <t>23260609317318000175550010011512861215164209</t>
  </si>
  <si>
    <t>35934</t>
  </si>
  <si>
    <t>23260612620329000215550080000359341051208570</t>
  </si>
  <si>
    <t>5182866</t>
  </si>
  <si>
    <t>23260623577851000105550010051828661204246180</t>
  </si>
  <si>
    <t>5182865</t>
  </si>
  <si>
    <t>23260623577851000105550010051828651159105244</t>
  </si>
  <si>
    <t>5182864</t>
  </si>
  <si>
    <t>23260623577851000105550010051828641819656210</t>
  </si>
  <si>
    <t>23260626379686000248550010000008951892179944</t>
  </si>
  <si>
    <t>568972</t>
  </si>
  <si>
    <t>23260604981622000107550010005689721892424515</t>
  </si>
  <si>
    <t>896</t>
  </si>
  <si>
    <t>23260626379686000248550010000008961893176792</t>
  </si>
  <si>
    <t>897</t>
  </si>
  <si>
    <t>23260626379686000248550010000008971894173646</t>
  </si>
  <si>
    <t>20352</t>
  </si>
  <si>
    <t>23260629403927000154550030000203521010000465</t>
  </si>
  <si>
    <t>20351</t>
  </si>
  <si>
    <t>23260629403927000154550030000203511010000450</t>
  </si>
  <si>
    <t>1242</t>
  </si>
  <si>
    <t>23260604027640000146550020000012421014986149</t>
  </si>
  <si>
    <t>1243</t>
  </si>
  <si>
    <t>23260604027640000146550020000012431014986154</t>
  </si>
  <si>
    <t>152925</t>
  </si>
  <si>
    <t>23260606296421000198550010001529251089866940</t>
  </si>
  <si>
    <t>9293</t>
  </si>
  <si>
    <t>23260635026574000113551120000092931892624189</t>
  </si>
  <si>
    <t>152930</t>
  </si>
  <si>
    <t>23260606296421000198550010001529301956283640</t>
  </si>
  <si>
    <t>899</t>
  </si>
  <si>
    <t>23260626379686000248550010000008991896167338</t>
  </si>
  <si>
    <t>1248</t>
  </si>
  <si>
    <t>23260604027640000146550020000012481014986576</t>
  </si>
  <si>
    <t>23260626379686000248550010000009001897164181</t>
  </si>
  <si>
    <t>436952</t>
  </si>
  <si>
    <t>23260602793218000176550000004369521742144407</t>
  </si>
  <si>
    <t>277339</t>
  </si>
  <si>
    <t>23260609524502000609550100002773391225592123</t>
  </si>
  <si>
    <t>355294</t>
  </si>
  <si>
    <t>23260614998371002405550000003552941428760116</t>
  </si>
  <si>
    <t>66947</t>
  </si>
  <si>
    <t>23260628257733000125550010000669471873800000</t>
  </si>
  <si>
    <t>102031995</t>
  </si>
  <si>
    <t>23260663483408000181550001020319951104149375</t>
  </si>
  <si>
    <t>102031992</t>
  </si>
  <si>
    <t>23260663483408000181550001020319921232144153</t>
  </si>
  <si>
    <t>102031993</t>
  </si>
  <si>
    <t>23260663483408000181550001020319931106552482</t>
  </si>
  <si>
    <t>102031994</t>
  </si>
  <si>
    <t>23260663483408000181550001020319941173921564</t>
  </si>
  <si>
    <t>1251</t>
  </si>
  <si>
    <t>23260604027640000146550020000012511000114798</t>
  </si>
  <si>
    <t>2037</t>
  </si>
  <si>
    <t>23260659795061000135550010000020371922928099</t>
  </si>
  <si>
    <t>504396</t>
  </si>
  <si>
    <t>23260603282301001387550010005043961746023810</t>
  </si>
  <si>
    <t>5459030</t>
  </si>
  <si>
    <t>23260603282301000143550010054590301148154952</t>
  </si>
  <si>
    <t>5459517</t>
  </si>
  <si>
    <t>23260603282301000143550010054595171055635786</t>
  </si>
  <si>
    <t>8809859</t>
  </si>
  <si>
    <t>23260607216054000219550030088098591230453428</t>
  </si>
  <si>
    <t>1109056</t>
  </si>
  <si>
    <t>23260610538296000152550030011090561113264819</t>
  </si>
  <si>
    <t>844973</t>
  </si>
  <si>
    <t>23260656228356007306550350008449731317654690</t>
  </si>
  <si>
    <t>844972</t>
  </si>
  <si>
    <t>23260656228356007306550350008449721258199076</t>
  </si>
  <si>
    <t>427808</t>
  </si>
  <si>
    <t>23260607196579000159550070004278081001082404</t>
  </si>
  <si>
    <t>1032859</t>
  </si>
  <si>
    <t>23260633009911006412550470010328591916529450</t>
  </si>
  <si>
    <t>511086</t>
  </si>
  <si>
    <t>23260607576952000440550010005110861834049126</t>
  </si>
  <si>
    <t>1049779</t>
  </si>
  <si>
    <t>23260683044016007306550010010497791789598460</t>
  </si>
  <si>
    <t>1049761</t>
  </si>
  <si>
    <t>23260683044016007306550010010497611789056345</t>
  </si>
  <si>
    <t>1049773</t>
  </si>
  <si>
    <t>23260683044016007306550010010497731614708034</t>
  </si>
  <si>
    <t>5427505</t>
  </si>
  <si>
    <t>23260673909566000104550010054275051114245170</t>
  </si>
  <si>
    <t>5427506</t>
  </si>
  <si>
    <t>23260673909566000104550010054275061261042255</t>
  </si>
  <si>
    <t>513195</t>
  </si>
  <si>
    <t>23260609524502000196550100005131951983297156</t>
  </si>
  <si>
    <t>31632</t>
  </si>
  <si>
    <t>23260617608115000328550010000316321000555898</t>
  </si>
  <si>
    <t>31633</t>
  </si>
  <si>
    <t>23260617608115000328550010000316331000556000</t>
  </si>
  <si>
    <t>31635</t>
  </si>
  <si>
    <t>23260617608115000328550010000316351000556535</t>
  </si>
  <si>
    <t>31638</t>
  </si>
  <si>
    <t>23260617608115000328550010000316381000557061</t>
  </si>
  <si>
    <t>31637</t>
  </si>
  <si>
    <t>23260617608115000328550010000316371000556840</t>
  </si>
  <si>
    <t>31634</t>
  </si>
  <si>
    <t>23260617608115000328550010000316341000556422</t>
  </si>
  <si>
    <t>323</t>
  </si>
  <si>
    <t>23260658086996000180550010000003231212564641</t>
  </si>
  <si>
    <t>4501624</t>
  </si>
  <si>
    <t>23260601838723025707550010045016241372338479</t>
  </si>
  <si>
    <t>8996193</t>
  </si>
  <si>
    <t>23260607196033002141550070089961931999848261</t>
  </si>
  <si>
    <t>8996194</t>
  </si>
  <si>
    <t>23260607196033002141550070089961941787516505</t>
  </si>
  <si>
    <t>8996201</t>
  </si>
  <si>
    <t>23260607196033002141550070089962011044168827</t>
  </si>
  <si>
    <t>8996203</t>
  </si>
  <si>
    <t>23260607196033002141550070089962031497652121</t>
  </si>
  <si>
    <t>8996202</t>
  </si>
  <si>
    <t>23260607196033002141550070089962021605466454</t>
  </si>
  <si>
    <t>8996205</t>
  </si>
  <si>
    <t>23260607196033002141550070089962051019015400</t>
  </si>
  <si>
    <t>8996204</t>
  </si>
  <si>
    <t>23260607196033002141550070089962041485654288</t>
  </si>
  <si>
    <t>8996206</t>
  </si>
  <si>
    <t>23260607196033002141550070089962061755276820</t>
  </si>
  <si>
    <t>995841</t>
  </si>
  <si>
    <t>23260660409075048783550010009958411967363157</t>
  </si>
  <si>
    <t>5428391</t>
  </si>
  <si>
    <t>23260673909566000104550010054283911191982020</t>
  </si>
  <si>
    <t>739871</t>
  </si>
  <si>
    <t>23260604940750001923550010007398711615371226</t>
  </si>
  <si>
    <t>726079</t>
  </si>
  <si>
    <t>23260635229640000152550010007260791318269200</t>
  </si>
  <si>
    <t>965986</t>
  </si>
  <si>
    <t>23260667620377005426550010009659861009903223</t>
  </si>
  <si>
    <t>965985</t>
  </si>
  <si>
    <t>23260667620377005426550010009659851009903218</t>
  </si>
  <si>
    <t>69732</t>
  </si>
  <si>
    <t>23260643987515000300550010000697321214894162</t>
  </si>
  <si>
    <t>69734</t>
  </si>
  <si>
    <t>23260643987515000300550010000697341560213806</t>
  </si>
  <si>
    <t>69733</t>
  </si>
  <si>
    <t>23260643987515000300550010000697331591559715</t>
  </si>
  <si>
    <t>7857</t>
  </si>
  <si>
    <t>23260602307127000183550010000078571980050908</t>
  </si>
  <si>
    <t>13009</t>
  </si>
  <si>
    <t>23260646395687003985550230000130091795351828</t>
  </si>
  <si>
    <t>901</t>
  </si>
  <si>
    <t>23260626379686000248550010000009011898161035</t>
  </si>
  <si>
    <t>567</t>
  </si>
  <si>
    <t>23260663745747000199550010000005671000003981</t>
  </si>
  <si>
    <t>593328</t>
  </si>
  <si>
    <t>23260623439441005582550020005933281104217226</t>
  </si>
  <si>
    <t>939</t>
  </si>
  <si>
    <t>23260633486899000153550010000009391300005255</t>
  </si>
  <si>
    <t>91443</t>
  </si>
  <si>
    <t>23260605974177000293550010000914431914438764</t>
  </si>
  <si>
    <t>903</t>
  </si>
  <si>
    <t>23260626379686000248550010000009031900154732</t>
  </si>
  <si>
    <t>14276</t>
  </si>
  <si>
    <t>23260607591258000159550100000142761789858589</t>
  </si>
  <si>
    <t>82114</t>
  </si>
  <si>
    <t>23260610972368000175550010000821141047924759</t>
  </si>
  <si>
    <t>4969</t>
  </si>
  <si>
    <t>23260608538171000180550010000049691938348443</t>
  </si>
  <si>
    <t>657156</t>
  </si>
  <si>
    <t>23260609497934000155550010006571561052861598</t>
  </si>
  <si>
    <t>52090</t>
  </si>
  <si>
    <t>23260601650186000197550020000520901561843538</t>
  </si>
  <si>
    <t>8811691</t>
  </si>
  <si>
    <t>23260607216054000219550030088116911855786581</t>
  </si>
  <si>
    <t>8811690</t>
  </si>
  <si>
    <t>23260607216054000219550030088116901744637815</t>
  </si>
  <si>
    <t>52107</t>
  </si>
  <si>
    <t>23260601650186000197550020000521071262145862</t>
  </si>
  <si>
    <t>236491</t>
  </si>
  <si>
    <t>23260604918453000403550010002364911110251367</t>
  </si>
  <si>
    <t>9734</t>
  </si>
  <si>
    <t>23260604396189000134550010000097341637095454</t>
  </si>
  <si>
    <t>647496</t>
  </si>
  <si>
    <t>23260609215353000183550010006474961883263002</t>
  </si>
  <si>
    <t>513555</t>
  </si>
  <si>
    <t>23260609524502000196550100005135551656974810</t>
  </si>
  <si>
    <t>150145</t>
  </si>
  <si>
    <t>23260602716995000117551110001501451754794854</t>
  </si>
  <si>
    <t>150146</t>
  </si>
  <si>
    <t>23260602716995000117551110001501461890498207</t>
  </si>
  <si>
    <t>73736</t>
  </si>
  <si>
    <t>23260600776574101939550040000737361918611842</t>
  </si>
  <si>
    <t>12734</t>
  </si>
  <si>
    <t>23260606625313000898550010000127341322329478</t>
  </si>
  <si>
    <t>12722</t>
  </si>
  <si>
    <t>23260606625313000898550010000127221731505948</t>
  </si>
  <si>
    <t>8997945</t>
  </si>
  <si>
    <t>23260607196033002141550070089979451803498433</t>
  </si>
  <si>
    <t>173893</t>
  </si>
  <si>
    <t>23260606057223022574553000001738931539001387</t>
  </si>
  <si>
    <t>1268</t>
  </si>
  <si>
    <t>23260604027640000146550020000012681014988962</t>
  </si>
  <si>
    <t>904</t>
  </si>
  <si>
    <t>23260626379686000248550010000009041901151580</t>
  </si>
  <si>
    <t>2852</t>
  </si>
  <si>
    <t>23260611741832000185550010000028521568600803</t>
  </si>
  <si>
    <t>102032266</t>
  </si>
  <si>
    <t>23260663483408000181550001020322661225205246</t>
  </si>
  <si>
    <t>102032267</t>
  </si>
  <si>
    <t>23260663483408000181550001020322671187521244</t>
  </si>
  <si>
    <t>905</t>
  </si>
  <si>
    <t>23260626379686000248550010000009051902148432</t>
  </si>
  <si>
    <t>1517860</t>
  </si>
  <si>
    <t>23260641600131000278550010015178601141255581</t>
  </si>
  <si>
    <t>2834603</t>
  </si>
  <si>
    <t>23260607667439000111550010028346031302502582</t>
  </si>
  <si>
    <t>31647</t>
  </si>
  <si>
    <t>23260617608115000328550010000316471000558245</t>
  </si>
  <si>
    <t>31645</t>
  </si>
  <si>
    <t>23260617608115000328550010000316451000558186</t>
  </si>
  <si>
    <t>31640</t>
  </si>
  <si>
    <t>23260617608115000328550010000316401000557590</t>
  </si>
  <si>
    <t>31642</t>
  </si>
  <si>
    <t>23260617608115000328550010000316421000558095</t>
  </si>
  <si>
    <t>31646</t>
  </si>
  <si>
    <t>23260617608115000328550010000316461000558191</t>
  </si>
  <si>
    <t>25705</t>
  </si>
  <si>
    <t>23260603616846000149550020000257051000322879</t>
  </si>
  <si>
    <t>31644</t>
  </si>
  <si>
    <t>23260617608115000328550010000316441000558120</t>
  </si>
  <si>
    <t>31648</t>
  </si>
  <si>
    <t>23260617608115000328550010000316481000558404</t>
  </si>
  <si>
    <t>3444</t>
  </si>
  <si>
    <t>23260617608115000247550010000034441000557527</t>
  </si>
  <si>
    <t>31641</t>
  </si>
  <si>
    <t>23260617608115000328550010000316411000557750</t>
  </si>
  <si>
    <t>31643</t>
  </si>
  <si>
    <t>23260617608115000328550010000316431000558106</t>
  </si>
  <si>
    <t>466060</t>
  </si>
  <si>
    <t>23260650221019007904550010004660601366515550</t>
  </si>
  <si>
    <t>797295</t>
  </si>
  <si>
    <t>31260607150233001191550010007972951337008364</t>
  </si>
  <si>
    <t>966502</t>
  </si>
  <si>
    <t>23260667620377005426550010009665021009908384</t>
  </si>
  <si>
    <t>131161</t>
  </si>
  <si>
    <t>23260610417295000150550010001311611375624188</t>
  </si>
  <si>
    <t>4271</t>
  </si>
  <si>
    <t>23260631565104018890551940000042711528302144</t>
  </si>
  <si>
    <t>82129</t>
  </si>
  <si>
    <t>23260610972368000175550010000821291160695495</t>
  </si>
  <si>
    <t>906</t>
  </si>
  <si>
    <t>23260626379686000248550010000009061903145280</t>
  </si>
  <si>
    <t>11041</t>
  </si>
  <si>
    <t>23260631315814000149550010000110411000104367</t>
  </si>
  <si>
    <t>57098</t>
  </si>
  <si>
    <t>23260612299525000159550010000570981154815012</t>
  </si>
  <si>
    <t>106397</t>
  </si>
  <si>
    <t>23260604172208000220550010001063971104198234</t>
  </si>
  <si>
    <t>102710</t>
  </si>
  <si>
    <t>23260610261153000146550010001027101001027096</t>
  </si>
  <si>
    <t>8814536</t>
  </si>
  <si>
    <t>23260607216054000219550030088145361776497923</t>
  </si>
  <si>
    <t>8814535</t>
  </si>
  <si>
    <t>23260607216054000219550030088145351889902303</t>
  </si>
  <si>
    <t>23260604027640000146550020000012751014990430</t>
  </si>
  <si>
    <t>28546</t>
  </si>
  <si>
    <t>23260603995515027600550020000285461104261477</t>
  </si>
  <si>
    <t>1278</t>
  </si>
  <si>
    <t>23260604027640000146550020000012781014990513</t>
  </si>
  <si>
    <t>496</t>
  </si>
  <si>
    <t>23260660760218000257550010000004961530442533</t>
  </si>
  <si>
    <t>12757</t>
  </si>
  <si>
    <t>23260606625313000898550010000127571732844709</t>
  </si>
  <si>
    <t>437253</t>
  </si>
  <si>
    <t>23260602793218000176550000004372531095416631</t>
  </si>
  <si>
    <t>5460773</t>
  </si>
  <si>
    <t>23260603282301000143550010054607731296300343</t>
  </si>
  <si>
    <t>907</t>
  </si>
  <si>
    <t>23260626379686000248550010000009071904142134</t>
  </si>
  <si>
    <t>847172</t>
  </si>
  <si>
    <t>23260656228356007306550350008471721204148996</t>
  </si>
  <si>
    <t>31660</t>
  </si>
  <si>
    <t>23260617608115000328550010000316601000559332</t>
  </si>
  <si>
    <t>31655</t>
  </si>
  <si>
    <t>23260617608115000328550010000316551000559286</t>
  </si>
  <si>
    <t>31653</t>
  </si>
  <si>
    <t>23260617608115000328550010000316531000559141</t>
  </si>
  <si>
    <t>31657</t>
  </si>
  <si>
    <t>23260617608115000328550010000316571000559302</t>
  </si>
  <si>
    <t>31651</t>
  </si>
  <si>
    <t>23260617608115000328550010000316511000558868</t>
  </si>
  <si>
    <t>31654</t>
  </si>
  <si>
    <t>23260617608115000328550010000316541000559270</t>
  </si>
  <si>
    <t>1777</t>
  </si>
  <si>
    <t>23260608604959000148550010000017771000001775</t>
  </si>
  <si>
    <t>31656</t>
  </si>
  <si>
    <t>23260617608115000328550010000316561000559291</t>
  </si>
  <si>
    <t>31652</t>
  </si>
  <si>
    <t>23260617608115000328550010000316521000559101</t>
  </si>
  <si>
    <t>31658</t>
  </si>
  <si>
    <t>23260617608115000328550010000316581000559318</t>
  </si>
  <si>
    <t>31659</t>
  </si>
  <si>
    <t>23260617608115000328550010000316591000559323</t>
  </si>
  <si>
    <t>734736</t>
  </si>
  <si>
    <t>23260602916265022996550010007347361488735241</t>
  </si>
  <si>
    <t>3411111</t>
  </si>
  <si>
    <t>23260606850713000120550010034111111192821931</t>
  </si>
  <si>
    <t>285755</t>
  </si>
  <si>
    <t>23260623494446000115550010002857551787770504</t>
  </si>
  <si>
    <t>10075863</t>
  </si>
  <si>
    <t>23260610483444000260550010100758631243396618</t>
  </si>
  <si>
    <t>10075864</t>
  </si>
  <si>
    <t>23260610483444000260550010100758641835266733</t>
  </si>
  <si>
    <t>740379</t>
  </si>
  <si>
    <t>23260604940750001923550010007403791923388239</t>
  </si>
  <si>
    <t>2616940</t>
  </si>
  <si>
    <t>23260604522065000158550010026169401642261374</t>
  </si>
  <si>
    <t>36138</t>
  </si>
  <si>
    <t>23260612620329000215550080000361381281115000</t>
  </si>
  <si>
    <t>908</t>
  </si>
  <si>
    <t>23260626379686000248550010000009081905138987</t>
  </si>
  <si>
    <t>909</t>
  </si>
  <si>
    <t>23260626379686000248550010000009091906135830</t>
  </si>
  <si>
    <t>910</t>
  </si>
  <si>
    <t>23260626379686000248550010000009101907132674</t>
  </si>
  <si>
    <t>579</t>
  </si>
  <si>
    <t>23260663745747000199550010000005791000004105</t>
  </si>
  <si>
    <t>82182</t>
  </si>
  <si>
    <t>23260610972368000175550010000821821819802274</t>
  </si>
  <si>
    <t>514655</t>
  </si>
  <si>
    <t>23260609524502000196550100005146551256535762</t>
  </si>
  <si>
    <t>128739</t>
  </si>
  <si>
    <t>15260603721769000944550040001287391958154322</t>
  </si>
  <si>
    <t>911</t>
  </si>
  <si>
    <t>23260626379686000248550010000009111908129526</t>
  </si>
  <si>
    <t>912</t>
  </si>
  <si>
    <t>23260626379686000248550010000009121909126374</t>
  </si>
  <si>
    <t>2101766</t>
  </si>
  <si>
    <t>23260600048785002892550010021017661474250357</t>
  </si>
  <si>
    <t>2101765</t>
  </si>
  <si>
    <t>23260600048785002892550010021017651549774008</t>
  </si>
  <si>
    <t>913</t>
  </si>
  <si>
    <t>23260626379686000248550010000009131910123224</t>
  </si>
  <si>
    <t>31670</t>
  </si>
  <si>
    <t>23260617608115000328550010000316701000560574</t>
  </si>
  <si>
    <t>31664</t>
  </si>
  <si>
    <t>23260617608115000328550010000316641000560178</t>
  </si>
  <si>
    <t>324</t>
  </si>
  <si>
    <t>23260658086996000180550010000003241212564649</t>
  </si>
  <si>
    <t>3447</t>
  </si>
  <si>
    <t>23260617608115000247550010000034471000560325</t>
  </si>
  <si>
    <t>3446</t>
  </si>
  <si>
    <t>23260617608115000247550010000034461000559974</t>
  </si>
  <si>
    <t>31666</t>
  </si>
  <si>
    <t>23260617608115000328550010000316661000560431</t>
  </si>
  <si>
    <t>2662742</t>
  </si>
  <si>
    <t>23260663360234000160550010026627421818374444</t>
  </si>
  <si>
    <t>31662</t>
  </si>
  <si>
    <t>23260617608115000328550010000316621000560009</t>
  </si>
  <si>
    <t>31669</t>
  </si>
  <si>
    <t>23260617608115000328550010000316691000560565</t>
  </si>
  <si>
    <t>31668</t>
  </si>
  <si>
    <t>23260617608115000328550010000316681000560550</t>
  </si>
  <si>
    <t>31665</t>
  </si>
  <si>
    <t>23260617608115000328550010000316651000560280</t>
  </si>
  <si>
    <t>31667</t>
  </si>
  <si>
    <t>23260617608115000328550010000316671000560480</t>
  </si>
  <si>
    <t>31663</t>
  </si>
  <si>
    <t>23260617608115000328550010000316631000560030</t>
  </si>
  <si>
    <t>740561</t>
  </si>
  <si>
    <t>23260604940750001923550010007405611109917426</t>
  </si>
  <si>
    <t>285874</t>
  </si>
  <si>
    <t>23260623494446000115550010002858741263579300</t>
  </si>
  <si>
    <t>70161</t>
  </si>
  <si>
    <t>23260643987515000300550010000701611586719968</t>
  </si>
  <si>
    <t>855863</t>
  </si>
  <si>
    <t>23260683310441006905550010008558631452080568</t>
  </si>
  <si>
    <t>53952</t>
  </si>
  <si>
    <t>23260643340312000823550010000539521574308763</t>
  </si>
  <si>
    <t>914</t>
  </si>
  <si>
    <t>23260626379686000248550010000009141911120072</t>
  </si>
  <si>
    <t>915</t>
  </si>
  <si>
    <t>23260626379686000248550010000009151912116920</t>
  </si>
  <si>
    <t>152816</t>
  </si>
  <si>
    <t>23260601413264000130550010001528161078500004</t>
  </si>
  <si>
    <t>916</t>
  </si>
  <si>
    <t>23260626379686000248550010000009161913113779</t>
  </si>
  <si>
    <t>23260612707415000189550010000008851000041624</t>
  </si>
  <si>
    <t>23260612707415000189550010000008861000041630</t>
  </si>
  <si>
    <t>23260612707415000189550010000008871000041645</t>
  </si>
  <si>
    <t>23260612707415000189550010000008881000041650</t>
  </si>
  <si>
    <t>23260612707415000189550010000008891000041666</t>
  </si>
  <si>
    <t>23260612707415000189550010000008901000041675</t>
  </si>
  <si>
    <t>23260612707415000189550010000008911000041680</t>
  </si>
  <si>
    <t>23260612707415000189550010000008921000041696</t>
  </si>
  <si>
    <t>278317</t>
  </si>
  <si>
    <t>23260609524502000609550100002783171973974448</t>
  </si>
  <si>
    <t>1305</t>
  </si>
  <si>
    <t>23260604027640000146550020000013051014994348</t>
  </si>
  <si>
    <t>1306</t>
  </si>
  <si>
    <t>23260604027640000146550020000013061014994388</t>
  </si>
  <si>
    <t>12797</t>
  </si>
  <si>
    <t>23260606625313000898550010000127971431471208</t>
  </si>
  <si>
    <t>437544</t>
  </si>
  <si>
    <t>23260602793218000176550000004375441258207189</t>
  </si>
  <si>
    <t>1680249</t>
  </si>
  <si>
    <t>23260607634785000101550010016802491746535149</t>
  </si>
  <si>
    <t>515129</t>
  </si>
  <si>
    <t>23260609524502000196550100005151291714199590</t>
  </si>
  <si>
    <t>9007109</t>
  </si>
  <si>
    <t>23260607196033002141550070090071091456156160</t>
  </si>
  <si>
    <t>9007108</t>
  </si>
  <si>
    <t>23260607196033002141550070090071081692165889</t>
  </si>
  <si>
    <t>9007110</t>
  </si>
  <si>
    <t>23260607196033002141550070090071101765394023</t>
  </si>
  <si>
    <t>31675</t>
  </si>
  <si>
    <t>23260617608115000328550010000316751000561674</t>
  </si>
  <si>
    <t>170902</t>
  </si>
  <si>
    <t>23260613830626000177550010001709021415948224</t>
  </si>
  <si>
    <t>4680</t>
  </si>
  <si>
    <t>23260605025501000146550010000046801736759725</t>
  </si>
  <si>
    <t>31674</t>
  </si>
  <si>
    <t>23260617608115000328550010000316741000561090</t>
  </si>
  <si>
    <t>31673</t>
  </si>
  <si>
    <t>23260617608115000328550010000316731000560932</t>
  </si>
  <si>
    <t>31672</t>
  </si>
  <si>
    <t>23260617608115000328550010000316721000560870</t>
  </si>
  <si>
    <t>4506954</t>
  </si>
  <si>
    <t>23260601838723025707550010045069541946370130</t>
  </si>
  <si>
    <t>2431634</t>
  </si>
  <si>
    <t>23260605402904001210550010024316341227255925</t>
  </si>
  <si>
    <t>740914</t>
  </si>
  <si>
    <t>23260604940750001923550010007409141973813977</t>
  </si>
  <si>
    <t>2145807</t>
  </si>
  <si>
    <t>23260608978365000105550000021458071191214723</t>
  </si>
  <si>
    <t>2145806</t>
  </si>
  <si>
    <t>23260608978365000105550000021458061110352066</t>
  </si>
  <si>
    <t>333272</t>
  </si>
  <si>
    <t>23260602843131000166550010003332721115201946</t>
  </si>
  <si>
    <t>1755971</t>
  </si>
  <si>
    <t>23260620524304000165550010017559711967188080</t>
  </si>
  <si>
    <t>1310</t>
  </si>
  <si>
    <t>23260604027640000146550020000013101014995344</t>
  </si>
  <si>
    <t>77</t>
  </si>
  <si>
    <t>23260662428284000179550010000000771000000787</t>
  </si>
  <si>
    <t>437598</t>
  </si>
  <si>
    <t>23260602793218000176550000004375981076888645</t>
  </si>
  <si>
    <t>918</t>
  </si>
  <si>
    <t>23260626379686000248550010000009181915107479</t>
  </si>
  <si>
    <t>28618</t>
  </si>
  <si>
    <t>23260603995515027600550020000286181104289500</t>
  </si>
  <si>
    <t>82237</t>
  </si>
  <si>
    <t>23260610972368000175550010000822371439430553</t>
  </si>
  <si>
    <t>285446</t>
  </si>
  <si>
    <t>23260609479775000166550010002854461667221268</t>
  </si>
  <si>
    <t>324433</t>
  </si>
  <si>
    <t>23260604015225000172550010003244331726873820</t>
  </si>
  <si>
    <t>64264</t>
  </si>
  <si>
    <t>23260610757187000630550010000642641870134580</t>
  </si>
  <si>
    <t>64263</t>
  </si>
  <si>
    <t>23260610757187000630550010000642631598238868</t>
  </si>
  <si>
    <t>153696</t>
  </si>
  <si>
    <t>23260606296421000198550010001536961130219827</t>
  </si>
  <si>
    <t>1324</t>
  </si>
  <si>
    <t>23260604027640000146550020000013241014996311</t>
  </si>
  <si>
    <t>1326</t>
  </si>
  <si>
    <t>23260604027640000146550020000013261014996375</t>
  </si>
  <si>
    <t>23260604027640000146550020000013291014996423</t>
  </si>
  <si>
    <t>286133</t>
  </si>
  <si>
    <t>23260607206816002592550010002861331851782284</t>
  </si>
  <si>
    <t>5463786</t>
  </si>
  <si>
    <t>23260603282301000143550010054637861232637489</t>
  </si>
  <si>
    <t>919</t>
  </si>
  <si>
    <t>23260626379686000248550010000009191916104322</t>
  </si>
  <si>
    <t>10512</t>
  </si>
  <si>
    <t>23260634996611000315550010000105121001982333</t>
  </si>
  <si>
    <t>111549</t>
  </si>
  <si>
    <t>23260627814700000176550010001115491974815921</t>
  </si>
  <si>
    <t>102033259</t>
  </si>
  <si>
    <t>23260663483408000181550001020332591781824915</t>
  </si>
  <si>
    <t>193662</t>
  </si>
  <si>
    <t>23260606942221000670550010001936621998568604</t>
  </si>
  <si>
    <t>193663</t>
  </si>
  <si>
    <t>23260606942221000670550010001936631124824731</t>
  </si>
  <si>
    <t>193664</t>
  </si>
  <si>
    <t>23260606942221000670550010001936641479499690</t>
  </si>
  <si>
    <t>291834</t>
  </si>
  <si>
    <t>23260607574718000130550010002918341500861670</t>
  </si>
  <si>
    <t>849794</t>
  </si>
  <si>
    <t>23260656228356007306550350008497941860058441</t>
  </si>
  <si>
    <t>849796</t>
  </si>
  <si>
    <t>23260656228356007306550350008497961990860820</t>
  </si>
  <si>
    <t>849795</t>
  </si>
  <si>
    <t>23260656228356007306550350008497951961133004</t>
  </si>
  <si>
    <t>849793</t>
  </si>
  <si>
    <t>23260656228356007306550350008497931764929448</t>
  </si>
  <si>
    <t>849797</t>
  </si>
  <si>
    <t>23260656228356007306550350008497971026534209</t>
  </si>
  <si>
    <t>849798</t>
  </si>
  <si>
    <t>23260656228356007306550350008497981074098704</t>
  </si>
  <si>
    <t>2856915</t>
  </si>
  <si>
    <t>23260641221516000224550010028569151008589147</t>
  </si>
  <si>
    <t>920</t>
  </si>
  <si>
    <t>23260626379686000248550010000009201917101174</t>
  </si>
  <si>
    <t>332518</t>
  </si>
  <si>
    <t>23260641221516001034550010003325181459958624</t>
  </si>
  <si>
    <t>3584505</t>
  </si>
  <si>
    <t>23260663310411000101550040035845051368902384</t>
  </si>
  <si>
    <t>3584629</t>
  </si>
  <si>
    <t>23260663310411000101550040035846291345904299</t>
  </si>
  <si>
    <t>3584674</t>
  </si>
  <si>
    <t>23260663310411000101550040035846741288737843</t>
  </si>
  <si>
    <t>31687</t>
  </si>
  <si>
    <t>23260617608115000328550010000316871000562760</t>
  </si>
  <si>
    <t>31694</t>
  </si>
  <si>
    <t>23260617608115000328550010000316941000562994</t>
  </si>
  <si>
    <t>31681</t>
  </si>
  <si>
    <t>23260617608115000328550010000316811000562244</t>
  </si>
  <si>
    <t>31692</t>
  </si>
  <si>
    <t>23260617608115000328550010000316921000562914</t>
  </si>
  <si>
    <t>31696</t>
  </si>
  <si>
    <t>23260617608115000328550010000316961000563103</t>
  </si>
  <si>
    <t>31689</t>
  </si>
  <si>
    <t>23260617608115000328550010000316891000562781</t>
  </si>
  <si>
    <t>1441126</t>
  </si>
  <si>
    <t>23260609662119000102550020014411261015016337</t>
  </si>
  <si>
    <t>31678</t>
  </si>
  <si>
    <t>23260617608115000328550010000316781000562087</t>
  </si>
  <si>
    <t>31688</t>
  </si>
  <si>
    <t>23260617608115000328550010000316881000562776</t>
  </si>
  <si>
    <t>31690</t>
  </si>
  <si>
    <t>23260617608115000328550010000316901000562812</t>
  </si>
  <si>
    <t>23549</t>
  </si>
  <si>
    <t>23260613376552000140550010000235491000109478</t>
  </si>
  <si>
    <t>31677</t>
  </si>
  <si>
    <t>23260617608115000328550010000316771000562063</t>
  </si>
  <si>
    <t>31679</t>
  </si>
  <si>
    <t>23260617608115000328550010000316791000562211</t>
  </si>
  <si>
    <t>31695</t>
  </si>
  <si>
    <t>23260617608115000328550010000316951000563017</t>
  </si>
  <si>
    <t>31693</t>
  </si>
  <si>
    <t>23260617608115000328550010000316931000562962</t>
  </si>
  <si>
    <t>2617987</t>
  </si>
  <si>
    <t>23260604522065000158550010026179871602362057</t>
  </si>
  <si>
    <t>967958</t>
  </si>
  <si>
    <t>23260667620377005426550010009679581009923784</t>
  </si>
  <si>
    <t>3412432</t>
  </si>
  <si>
    <t>23260606850713000120550010034124321179190983</t>
  </si>
  <si>
    <t>5194986</t>
  </si>
  <si>
    <t>23260623577851000105550010051949861119123240</t>
  </si>
  <si>
    <t>10083858</t>
  </si>
  <si>
    <t>23260610483444000260550010100838581876570906</t>
  </si>
  <si>
    <t>355788</t>
  </si>
  <si>
    <t>23260614998371002405550000003557881081382816</t>
  </si>
  <si>
    <t>1053478</t>
  </si>
  <si>
    <t>23260683044016007306550010010534781770740612</t>
  </si>
  <si>
    <t>131364</t>
  </si>
  <si>
    <t>23260610417295000150550010001313641690594454</t>
  </si>
  <si>
    <t>388670</t>
  </si>
  <si>
    <t>23260692660406002405550050003886701000168696</t>
  </si>
  <si>
    <t>90435</t>
  </si>
  <si>
    <t>23260609035933000199550010000904351418020048</t>
  </si>
  <si>
    <t>437743</t>
  </si>
  <si>
    <t>23260602793218000176550000004377431440125242</t>
  </si>
  <si>
    <t>89350</t>
  </si>
  <si>
    <t>23260607550906000129550010000893501185117018</t>
  </si>
  <si>
    <t>1743336</t>
  </si>
  <si>
    <t>23260675315333011062550010017433361752346931</t>
  </si>
  <si>
    <t>103053</t>
  </si>
  <si>
    <t>23260610261153000146550010001030531001030520</t>
  </si>
  <si>
    <t>375702</t>
  </si>
  <si>
    <t>23260663388441000122550010003757021852564940</t>
  </si>
  <si>
    <t>1034881</t>
  </si>
  <si>
    <t>23260633009911006412550470010348811917743820</t>
  </si>
  <si>
    <t>24909</t>
  </si>
  <si>
    <t>23260602518353000294550090000249091000094694</t>
  </si>
  <si>
    <t>927</t>
  </si>
  <si>
    <t>23260626379686000248550010000009271924079112</t>
  </si>
  <si>
    <t>14076</t>
  </si>
  <si>
    <t>23260608919556000198550010000140761167202601</t>
  </si>
  <si>
    <t>2134</t>
  </si>
  <si>
    <t>23260659795061000135550010000021341472342726</t>
  </si>
  <si>
    <t>506933</t>
  </si>
  <si>
    <t>23260603282301001387550010005069331463056698</t>
  </si>
  <si>
    <t>5464761</t>
  </si>
  <si>
    <t>23260603282301000143550010054647611178093990</t>
  </si>
  <si>
    <t>102033404</t>
  </si>
  <si>
    <t>23260663483408000181550001020334041216202488</t>
  </si>
  <si>
    <t>5465289</t>
  </si>
  <si>
    <t>23260603282301000143550010054652891870660373</t>
  </si>
  <si>
    <t>1714278</t>
  </si>
  <si>
    <t>23260607216054000642550070017142781184931274</t>
  </si>
  <si>
    <t>1714279</t>
  </si>
  <si>
    <t>23260607216054000642550070017142791241903910</t>
  </si>
  <si>
    <t>1855</t>
  </si>
  <si>
    <t>23260613044131000112550010000018551000352960</t>
  </si>
  <si>
    <t>1518934</t>
  </si>
  <si>
    <t>23260641600131000278550010015189341127262118</t>
  </si>
  <si>
    <t>1110339</t>
  </si>
  <si>
    <t>23260610538296000152550030011103391435652645</t>
  </si>
  <si>
    <t>851026</t>
  </si>
  <si>
    <t>23260656228356007306550350008510261612603236</t>
  </si>
  <si>
    <t>3413230</t>
  </si>
  <si>
    <t>23260606850713000120550010034132301212197936</t>
  </si>
  <si>
    <t>3459</t>
  </si>
  <si>
    <t>23260617608115000247550010000034591000563562</t>
  </si>
  <si>
    <t>31699</t>
  </si>
  <si>
    <t>23260617608115000328550010000316991000563890</t>
  </si>
  <si>
    <t>31698</t>
  </si>
  <si>
    <t>23260617608115000328550010000316981000563760</t>
  </si>
  <si>
    <t>9015420</t>
  </si>
  <si>
    <t>23260607196033002141550070090154201727763758</t>
  </si>
  <si>
    <t>9015421</t>
  </si>
  <si>
    <t>23260607196033002141550070090154211228068806</t>
  </si>
  <si>
    <t>9017040</t>
  </si>
  <si>
    <t>23260607196033002141550070090170401475556486</t>
  </si>
  <si>
    <t>9017086</t>
  </si>
  <si>
    <t>23260607196033002141550070090170861475556485</t>
  </si>
  <si>
    <t>5435405</t>
  </si>
  <si>
    <t>23260673909566000104550010054354051191212213</t>
  </si>
  <si>
    <t>2837438</t>
  </si>
  <si>
    <t>23260607667439000111550010028374381327608323</t>
  </si>
  <si>
    <t>5435742</t>
  </si>
  <si>
    <t>23260673909566000104550010054357421254441443</t>
  </si>
  <si>
    <t>5435741</t>
  </si>
  <si>
    <t>23260673909566000104550010054357411571941252</t>
  </si>
  <si>
    <t>741317</t>
  </si>
  <si>
    <t>23260604940750001923550010007413171362572780</t>
  </si>
  <si>
    <t>5197350</t>
  </si>
  <si>
    <t>23260623577851000105550010051973501251102473</t>
  </si>
  <si>
    <t>5197349</t>
  </si>
  <si>
    <t>23260623577851000105550010051973491721219893</t>
  </si>
  <si>
    <t>5197348</t>
  </si>
  <si>
    <t>23260623577851000105550010051973481237156636</t>
  </si>
  <si>
    <t>1510787</t>
  </si>
  <si>
    <t>23260607815053000290550010015107871788747737</t>
  </si>
  <si>
    <t>928</t>
  </si>
  <si>
    <t>23260626379686000248550010000009281925075967</t>
  </si>
  <si>
    <t>36420</t>
  </si>
  <si>
    <t>23260612620329000215550080000364201728275601</t>
  </si>
  <si>
    <t>14822</t>
  </si>
  <si>
    <t>23260603995515030155550020000148221104302073</t>
  </si>
  <si>
    <t>11075</t>
  </si>
  <si>
    <t>23260631315814000149550010000110751000104705</t>
  </si>
  <si>
    <t>82274</t>
  </si>
  <si>
    <t>23260610972368000175550010000822741912047590</t>
  </si>
  <si>
    <t>1346</t>
  </si>
  <si>
    <t>23260604027640000146550020000013461000115757</t>
  </si>
  <si>
    <t>1349</t>
  </si>
  <si>
    <t>23260604027640000146550020000013491000115783</t>
  </si>
  <si>
    <t>657910</t>
  </si>
  <si>
    <t>23260609497934000155550010006579101067337754</t>
  </si>
  <si>
    <t>21146</t>
  </si>
  <si>
    <t>23260629403927000154550030000211461010000445</t>
  </si>
  <si>
    <t>34292</t>
  </si>
  <si>
    <t>23260603898720000104550010000342921607124418</t>
  </si>
  <si>
    <t>6979</t>
  </si>
  <si>
    <t>23260639649307000234550010000069791000194457</t>
  </si>
  <si>
    <t>2626</t>
  </si>
  <si>
    <t>23260621069481000161550010000026261261772571</t>
  </si>
  <si>
    <t>2638</t>
  </si>
  <si>
    <t>23260621069481000161550010000026381262968799</t>
  </si>
  <si>
    <t>1197779</t>
  </si>
  <si>
    <t>23260600990842000138550010011977791107037318</t>
  </si>
  <si>
    <t>112200</t>
  </si>
  <si>
    <t>35260659599555000144550010001122001699330600</t>
  </si>
  <si>
    <t>22941</t>
  </si>
  <si>
    <t>23260632257382000120550010000229411031892440</t>
  </si>
  <si>
    <t>4635</t>
  </si>
  <si>
    <t>35260610451009000172550010000046351000046364</t>
  </si>
  <si>
    <t>332908</t>
  </si>
  <si>
    <t>23260628059980000117550040003329081326986280</t>
  </si>
  <si>
    <t>1833316</t>
  </si>
  <si>
    <t>23260607368386000138550020018333161018722396</t>
  </si>
  <si>
    <t>58977</t>
  </si>
  <si>
    <t>23260607801078000669550010000589771000602284</t>
  </si>
  <si>
    <t>29705</t>
  </si>
  <si>
    <t>23260641550666000281550010000297051401220600</t>
  </si>
  <si>
    <t>29706</t>
  </si>
  <si>
    <t>23260641550666000281550010000297061577776420</t>
  </si>
  <si>
    <t>20355</t>
  </si>
  <si>
    <t>23260626941553000132550010000203551785682268</t>
  </si>
  <si>
    <t>10490</t>
  </si>
  <si>
    <t>23260620476480000179550010000104901001049019</t>
  </si>
  <si>
    <t>2346809</t>
  </si>
  <si>
    <t>23260601588098000102550000023468091715508972</t>
  </si>
  <si>
    <t>2832701</t>
  </si>
  <si>
    <t>23260607667439000111550010028327011959490420</t>
  </si>
  <si>
    <t>520</t>
  </si>
  <si>
    <t>23260661659196000115550010000005201258478741</t>
  </si>
  <si>
    <t>513</t>
  </si>
  <si>
    <t>23260661659196000115550010000005131407768792</t>
  </si>
  <si>
    <t>546</t>
  </si>
  <si>
    <t>23260661659196000115550010000005461382034813</t>
  </si>
  <si>
    <t>23260600220128000160550010000000321250767841</t>
  </si>
  <si>
    <t>23260661659196000115550010000005511995699992</t>
  </si>
  <si>
    <t>544</t>
  </si>
  <si>
    <t>23260661659196000115550010000005441250906231</t>
  </si>
  <si>
    <t>508</t>
  </si>
  <si>
    <t>23260661659196000115550010000005081714046271</t>
  </si>
  <si>
    <t>533</t>
  </si>
  <si>
    <t>23260661659196000115550010000005331375888200</t>
  </si>
  <si>
    <t>516</t>
  </si>
  <si>
    <t>23260661659196000115550010000005161954811691</t>
  </si>
  <si>
    <t>527</t>
  </si>
  <si>
    <t>23260661659196000115550010000005271904069979</t>
  </si>
  <si>
    <t>540</t>
  </si>
  <si>
    <t>23260661659196000115550010000005401792049353</t>
  </si>
  <si>
    <t>507</t>
  </si>
  <si>
    <t>23260661659196000115550010000005071817346939</t>
  </si>
  <si>
    <t>519</t>
  </si>
  <si>
    <t>23260661659196000115550010000005191448895288</t>
  </si>
  <si>
    <t>537</t>
  </si>
  <si>
    <t>23260661659196000115550010000005371515661180</t>
  </si>
  <si>
    <t>539</t>
  </si>
  <si>
    <t>23260661659196000115550010000005391716156275</t>
  </si>
  <si>
    <t>522</t>
  </si>
  <si>
    <t>23260661659196000115550010000005221295637321</t>
  </si>
  <si>
    <t>536</t>
  </si>
  <si>
    <t>23260661659196000115550010000005361453788185</t>
  </si>
  <si>
    <t>518</t>
  </si>
  <si>
    <t>23260661659196000115550010000005181814930234</t>
  </si>
  <si>
    <t>23260661659196000115550010000005301873859952</t>
  </si>
  <si>
    <t>549</t>
  </si>
  <si>
    <t>23260661659196000115550010000005491101135590</t>
  </si>
  <si>
    <t>542</t>
  </si>
  <si>
    <t>23260661659196000115550010000005421562537580</t>
  </si>
  <si>
    <t>23260661659196000115550010000005141373906907</t>
  </si>
  <si>
    <t>543</t>
  </si>
  <si>
    <t>23260661659196000115550010000005431036216044</t>
  </si>
  <si>
    <t>535</t>
  </si>
  <si>
    <t>23260661659196000115550010000005351967610350</t>
  </si>
  <si>
    <t>515</t>
  </si>
  <si>
    <t>23260661659196000115550010000005151564647369</t>
  </si>
  <si>
    <t>510</t>
  </si>
  <si>
    <t>23260661659196000115550010000005101780718833</t>
  </si>
  <si>
    <t>545</t>
  </si>
  <si>
    <t>23260661659196000115550010000005451589793201</t>
  </si>
  <si>
    <t>509</t>
  </si>
  <si>
    <t>23260661659196000115550010000005091476467523</t>
  </si>
  <si>
    <t>528</t>
  </si>
  <si>
    <t>23260661659196000115550010000005281860681949</t>
  </si>
  <si>
    <t>526</t>
  </si>
  <si>
    <t>23260661659196000115550010000005261519980457</t>
  </si>
  <si>
    <t>532</t>
  </si>
  <si>
    <t>23260661659196000115550010000005321090557861</t>
  </si>
  <si>
    <t>512</t>
  </si>
  <si>
    <t>23260661659196000115550010000005121296830188</t>
  </si>
  <si>
    <t>548</t>
  </si>
  <si>
    <t>23260661659196000115550010000005481678209370</t>
  </si>
  <si>
    <t>547</t>
  </si>
  <si>
    <t>23260661659196000115550010000005471878404128</t>
  </si>
  <si>
    <t>23260661659196000115550010000005021502790607</t>
  </si>
  <si>
    <t>521</t>
  </si>
  <si>
    <t>23260661659196000115550010000005211384332006</t>
  </si>
  <si>
    <t>523</t>
  </si>
  <si>
    <t>23260661659196000115550010000005231207826043</t>
  </si>
  <si>
    <t>23260661659196000115550010000005341808854096</t>
  </si>
  <si>
    <t>23260661659196000115550010000005311359628378</t>
  </si>
  <si>
    <t>23260661659196000115550010000005291030323974</t>
  </si>
  <si>
    <t>511</t>
  </si>
  <si>
    <t>23260661659196000115550010000005111914131081</t>
  </si>
  <si>
    <t>524</t>
  </si>
  <si>
    <t>23260661659196000115550010000005241508618650</t>
  </si>
  <si>
    <t>541</t>
  </si>
  <si>
    <t>23260661659196000115550010000005411467448896</t>
  </si>
  <si>
    <t>525</t>
  </si>
  <si>
    <t>23260661659196000115550010000005251153495774</t>
  </si>
  <si>
    <t>538</t>
  </si>
  <si>
    <t>23260661659196000115550010000005381042260610</t>
  </si>
  <si>
    <t>550</t>
  </si>
  <si>
    <t>23260661659196000115550010000005501864877148</t>
  </si>
  <si>
    <t>29723</t>
  </si>
  <si>
    <t>23260641550666000281550010000297231610896958</t>
  </si>
  <si>
    <t>29724</t>
  </si>
  <si>
    <t>23260641550666000281550010000297241633752186</t>
  </si>
  <si>
    <t>2143458</t>
  </si>
  <si>
    <t>23260608978365000105550000021434581321331250</t>
  </si>
  <si>
    <t>75883</t>
  </si>
  <si>
    <t>23260641550666000109550010000758831000060630</t>
  </si>
  <si>
    <t>29727</t>
  </si>
  <si>
    <t>23260641550666000281550010000297271612039245</t>
  </si>
  <si>
    <t>75924</t>
  </si>
  <si>
    <t>35260658517772000185550000000759241378731049</t>
  </si>
  <si>
    <t>29741</t>
  </si>
  <si>
    <t>23260641550666000281550010000297411424496013</t>
  </si>
  <si>
    <t>29742</t>
  </si>
  <si>
    <t>23260641550666000281550010000297421393327662</t>
  </si>
  <si>
    <t>29743</t>
  </si>
  <si>
    <t>23260641550666000281550010000297431957968945</t>
  </si>
  <si>
    <t>29744</t>
  </si>
  <si>
    <t>23260641550666000281550010000297441572311412</t>
  </si>
  <si>
    <t>29745</t>
  </si>
  <si>
    <t>23260641550666000281550010000297451793307385</t>
  </si>
  <si>
    <t>29746</t>
  </si>
  <si>
    <t>23260641550666000281550010000297461862723076</t>
  </si>
  <si>
    <t>29747</t>
  </si>
  <si>
    <t>23260641550666000281550010000297471372068478</t>
  </si>
  <si>
    <t>29748</t>
  </si>
  <si>
    <t>23260641550666000281550010000297481680569777</t>
  </si>
  <si>
    <t>29749</t>
  </si>
  <si>
    <t>23260641550666000281550010000297491034145044</t>
  </si>
  <si>
    <t>29750</t>
  </si>
  <si>
    <t>23260641550666000281550010000297501118351576</t>
  </si>
  <si>
    <t>743294</t>
  </si>
  <si>
    <t>23260663401665000127550000007432941138198915</t>
  </si>
  <si>
    <t>28807</t>
  </si>
  <si>
    <t>23260630922123000221550010000288071288078765</t>
  </si>
  <si>
    <t>248631</t>
  </si>
  <si>
    <t>23260607216054000561550060002486311183603117</t>
  </si>
  <si>
    <t>248632</t>
  </si>
  <si>
    <t>23260607216054000561550060002486321833151506</t>
  </si>
  <si>
    <t>29769</t>
  </si>
  <si>
    <t>23260641550666000281550010000297691675966836</t>
  </si>
  <si>
    <t>29770</t>
  </si>
  <si>
    <t>23260641550666000281550010000297701171614422</t>
  </si>
  <si>
    <t>94106</t>
  </si>
  <si>
    <t>23260600087009000181550010000941061022415842</t>
  </si>
  <si>
    <t>62969</t>
  </si>
  <si>
    <t>23260610757187000630550010000629691353946030</t>
  </si>
  <si>
    <t>62971</t>
  </si>
  <si>
    <t>23260610757187000630550010000629711673176470</t>
  </si>
  <si>
    <t>62970</t>
  </si>
  <si>
    <t>23260610757187000630550010000629701691661973</t>
  </si>
  <si>
    <t>62972</t>
  </si>
  <si>
    <t>23260610757187000630550010000629721553548874</t>
  </si>
  <si>
    <t>339478</t>
  </si>
  <si>
    <t>23260628059980000117550040003394781804809235</t>
  </si>
  <si>
    <t>339479</t>
  </si>
  <si>
    <t>23260628059980000117550040003394791959393862</t>
  </si>
  <si>
    <t>8806102</t>
  </si>
  <si>
    <t>23260607216054000219550030088061021925978940</t>
  </si>
  <si>
    <t>8806103</t>
  </si>
  <si>
    <t>23260607216054000219550030088061031496299385</t>
  </si>
  <si>
    <t>8806104</t>
  </si>
  <si>
    <t>23260607216054000219550030088061041846529675</t>
  </si>
  <si>
    <t>7162558</t>
  </si>
  <si>
    <t>23260607965809000520550010071625581264997577</t>
  </si>
  <si>
    <t>2614070</t>
  </si>
  <si>
    <t>23260604522065000158550010026140701202189455</t>
  </si>
  <si>
    <t>1048818</t>
  </si>
  <si>
    <t>23260683044016007306550010010488181340393685</t>
  </si>
  <si>
    <t>6065</t>
  </si>
  <si>
    <t>23260637019836000148550010000060651000060660</t>
  </si>
  <si>
    <t>552</t>
  </si>
  <si>
    <t>23260661659196000115550010000005521289296410</t>
  </si>
  <si>
    <t>553</t>
  </si>
  <si>
    <t>23260661659196000115550010000005531067521031</t>
  </si>
  <si>
    <t>179624</t>
  </si>
  <si>
    <t>23260607658990000107550010001796241169996916</t>
  </si>
  <si>
    <t>1835981</t>
  </si>
  <si>
    <t>23260607368386000138550020018359811018749421</t>
  </si>
  <si>
    <t>2660656</t>
  </si>
  <si>
    <t>23260663360234000160550010026606561783966120</t>
  </si>
  <si>
    <t>33665</t>
  </si>
  <si>
    <t>23260610742127000130550000000336651794414421</t>
  </si>
  <si>
    <t>5426912</t>
  </si>
  <si>
    <t>23260673909566000104550010054269121180411620</t>
  </si>
  <si>
    <t>5426910</t>
  </si>
  <si>
    <t>23260673909566000104550010054269101783115971</t>
  </si>
  <si>
    <t>5426909</t>
  </si>
  <si>
    <t>23260673909566000104550010054269091229184553</t>
  </si>
  <si>
    <t>5426911</t>
  </si>
  <si>
    <t>23260673909566000104550010054269111153631137</t>
  </si>
  <si>
    <t>29800</t>
  </si>
  <si>
    <t>23260641550666000281550010000298001239173583</t>
  </si>
  <si>
    <t>5169</t>
  </si>
  <si>
    <t>23260621669283000139550020000051691439891275</t>
  </si>
  <si>
    <t>29801</t>
  </si>
  <si>
    <t>23260641550666000281550010000298011628770741</t>
  </si>
  <si>
    <t>29803</t>
  </si>
  <si>
    <t>23260641550666000281550010000298031741603205</t>
  </si>
  <si>
    <t>4827840</t>
  </si>
  <si>
    <t>23260643214055003637550000048278401881835951</t>
  </si>
  <si>
    <t>4827841</t>
  </si>
  <si>
    <t>23260643214055003637550000048278411881835975</t>
  </si>
  <si>
    <t>23756</t>
  </si>
  <si>
    <t>23260603941821001001550010000237561916502250</t>
  </si>
  <si>
    <t>29806</t>
  </si>
  <si>
    <t>23260641550666000281550010000298061753289839</t>
  </si>
  <si>
    <t>29808</t>
  </si>
  <si>
    <t>23260641550666000281550010000298081415799590</t>
  </si>
  <si>
    <t>355284</t>
  </si>
  <si>
    <t>23260614998371002405550000003552841559874070</t>
  </si>
  <si>
    <t>75966</t>
  </si>
  <si>
    <t>23260641221516002006550010000759661273314438</t>
  </si>
  <si>
    <t>29870</t>
  </si>
  <si>
    <t>23260641550666000281550010000298701831006896</t>
  </si>
  <si>
    <t>29874</t>
  </si>
  <si>
    <t>23260641550666000281550010000298741081712934</t>
  </si>
  <si>
    <t>479457</t>
  </si>
  <si>
    <t>23260631715572000180550010004794571047945712</t>
  </si>
  <si>
    <t>29879</t>
  </si>
  <si>
    <t>23260641550666000281550010000298791535999970</t>
  </si>
  <si>
    <t>63221</t>
  </si>
  <si>
    <t>23260610757187000630550010000632211627386586</t>
  </si>
  <si>
    <t>29889</t>
  </si>
  <si>
    <t>23260641550666000281550010000298891765475392</t>
  </si>
  <si>
    <t>29895</t>
  </si>
  <si>
    <t>23260641550666000281550010000298951369872965</t>
  </si>
  <si>
    <t>29899</t>
  </si>
  <si>
    <t>23260641550666000281550010000298991642350954</t>
  </si>
  <si>
    <t>29901</t>
  </si>
  <si>
    <t>23260641550666000281550010000299011741906233</t>
  </si>
  <si>
    <t>29902</t>
  </si>
  <si>
    <t>23260641550666000281550010000299021712895510</t>
  </si>
  <si>
    <t>29903</t>
  </si>
  <si>
    <t>23260641550666000281550010000299031174935058</t>
  </si>
  <si>
    <t>29904</t>
  </si>
  <si>
    <t>23260641550666000281550010000299041035490747</t>
  </si>
  <si>
    <t>29905</t>
  </si>
  <si>
    <t>23260641550666000281550010000299051914522368</t>
  </si>
  <si>
    <t>29906</t>
  </si>
  <si>
    <t>23260641550666000281550010000299061563260851</t>
  </si>
  <si>
    <t>29907</t>
  </si>
  <si>
    <t>23260641550666000281550010000299071186427205</t>
  </si>
  <si>
    <t>29911</t>
  </si>
  <si>
    <t>23260641550666000281550010000299111007489882</t>
  </si>
  <si>
    <t>29912</t>
  </si>
  <si>
    <t>23260641550666000281550010000299121928264654</t>
  </si>
  <si>
    <t>29913</t>
  </si>
  <si>
    <t>23260641550666000281550010000299131305978789</t>
  </si>
  <si>
    <t>23260666917223000126550010000000041705663979</t>
  </si>
  <si>
    <t>330833</t>
  </si>
  <si>
    <t>23260641221516001034550010003308331769535300</t>
  </si>
  <si>
    <t>76074</t>
  </si>
  <si>
    <t>23260641221516002006550010000760741720212254</t>
  </si>
  <si>
    <t>513093</t>
  </si>
  <si>
    <t>23260609524502000196550100005130931872903481</t>
  </si>
  <si>
    <t>5459369</t>
  </si>
  <si>
    <t>23260603282301000143550010054593691696564570</t>
  </si>
  <si>
    <t>3567337</t>
  </si>
  <si>
    <t>23260601914851000102550030035673371003103754</t>
  </si>
  <si>
    <t>3567338</t>
  </si>
  <si>
    <t>23260601914851000102550030035673381003103751</t>
  </si>
  <si>
    <t>3567339</t>
  </si>
  <si>
    <t>23260601914851000102550030035673391003103759</t>
  </si>
  <si>
    <t>3567340</t>
  </si>
  <si>
    <t>23260601914851000102550030035673401003103750</t>
  </si>
  <si>
    <t>3408996</t>
  </si>
  <si>
    <t>23260606850713000120550010034089961202151533</t>
  </si>
  <si>
    <t>3408997</t>
  </si>
  <si>
    <t>23260606850713000120550010034089971244192618</t>
  </si>
  <si>
    <t>599</t>
  </si>
  <si>
    <t>23260661659196000115550010000005991351237252</t>
  </si>
  <si>
    <t>575</t>
  </si>
  <si>
    <t>23260661659196000115550010000005751544895454</t>
  </si>
  <si>
    <t>566</t>
  </si>
  <si>
    <t>23260661659196000115550010000005661633880011</t>
  </si>
  <si>
    <t>591</t>
  </si>
  <si>
    <t>23260661659196000115550010000005911832269226</t>
  </si>
  <si>
    <t>605</t>
  </si>
  <si>
    <t>23260661659196000115550010000006051452600084</t>
  </si>
  <si>
    <t>563</t>
  </si>
  <si>
    <t>23260661659196000115550010000005631149934514</t>
  </si>
  <si>
    <t>572</t>
  </si>
  <si>
    <t>23260661659196000115550010000005721906769671</t>
  </si>
  <si>
    <t>568</t>
  </si>
  <si>
    <t>23260661659196000115550010000005681283885243</t>
  </si>
  <si>
    <t>558</t>
  </si>
  <si>
    <t>23260661659196000115550010000005581093790903</t>
  </si>
  <si>
    <t>573</t>
  </si>
  <si>
    <t>23260661659196000115550010000005731799346362</t>
  </si>
  <si>
    <t>596</t>
  </si>
  <si>
    <t>23260661659196000115550010000005961080574582</t>
  </si>
  <si>
    <t>23260661659196000115550010000005671142865095</t>
  </si>
  <si>
    <t>574</t>
  </si>
  <si>
    <t>23260661659196000115550010000005741671963532</t>
  </si>
  <si>
    <t>570</t>
  </si>
  <si>
    <t>23260661659196000115550010000005701814428237</t>
  </si>
  <si>
    <t>593</t>
  </si>
  <si>
    <t>23260661659196000115550010000005931559751869</t>
  </si>
  <si>
    <t>23260661659196000115550010000005791889001902</t>
  </si>
  <si>
    <t>561</t>
  </si>
  <si>
    <t>23260661659196000115550010000005611146480860</t>
  </si>
  <si>
    <t>576</t>
  </si>
  <si>
    <t>23260661659196000115550010000005761134977920</t>
  </si>
  <si>
    <t>577</t>
  </si>
  <si>
    <t>23260661659196000115550010000005771357939006</t>
  </si>
  <si>
    <t>594</t>
  </si>
  <si>
    <t>23260661659196000115550010000005941485863372</t>
  </si>
  <si>
    <t>595</t>
  </si>
  <si>
    <t>23260661659196000115550010000005951616909270</t>
  </si>
  <si>
    <t>589</t>
  </si>
  <si>
    <t>23260661659196000115550010000005891551930567</t>
  </si>
  <si>
    <t>585</t>
  </si>
  <si>
    <t>23260661659196000115550010000005851303736524</t>
  </si>
  <si>
    <t>601</t>
  </si>
  <si>
    <t>23260661659196000115550010000006011487151775</t>
  </si>
  <si>
    <t>560</t>
  </si>
  <si>
    <t>23260661659196000115550010000005601686798812</t>
  </si>
  <si>
    <t>604</t>
  </si>
  <si>
    <t>23260661659196000115550010000006041769427117</t>
  </si>
  <si>
    <t>588</t>
  </si>
  <si>
    <t>23260661659196000115550010000005881367796252</t>
  </si>
  <si>
    <t>564</t>
  </si>
  <si>
    <t>23260661659196000115550010000005641618109810</t>
  </si>
  <si>
    <t>600</t>
  </si>
  <si>
    <t>23260661659196000115550010000006001693454390</t>
  </si>
  <si>
    <t>571</t>
  </si>
  <si>
    <t>23260661659196000115550010000005711643507364</t>
  </si>
  <si>
    <t>603</t>
  </si>
  <si>
    <t>23260661659196000115550010000006031949856477</t>
  </si>
  <si>
    <t>23260661659196000115550010000005871671089938</t>
  </si>
  <si>
    <t>598</t>
  </si>
  <si>
    <t>23260661659196000115550010000005981298855476</t>
  </si>
  <si>
    <t>602</t>
  </si>
  <si>
    <t>23260661659196000115550010000006021022836412</t>
  </si>
  <si>
    <t>578</t>
  </si>
  <si>
    <t>23260661659196000115550010000005781357064090</t>
  </si>
  <si>
    <t>586</t>
  </si>
  <si>
    <t>23260661659196000115550010000005861518053607</t>
  </si>
  <si>
    <t>584</t>
  </si>
  <si>
    <t>23260661659196000115550010000005841094230189</t>
  </si>
  <si>
    <t>14732</t>
  </si>
  <si>
    <t>23260601605349000209550000000147321002161348</t>
  </si>
  <si>
    <t>565</t>
  </si>
  <si>
    <t>23260661659196000115550010000005651205109948</t>
  </si>
  <si>
    <t>23260661659196000115550010000005621533132367</t>
  </si>
  <si>
    <t>569</t>
  </si>
  <si>
    <t>23260661659196000115550010000005691253934561</t>
  </si>
  <si>
    <t>590</t>
  </si>
  <si>
    <t>23260661659196000115550010000005901420662373</t>
  </si>
  <si>
    <t>592</t>
  </si>
  <si>
    <t>23260661659196000115550010000005921830093934</t>
  </si>
  <si>
    <t>371639</t>
  </si>
  <si>
    <t>23260662166848001114550100003716391752432058</t>
  </si>
  <si>
    <t>597</t>
  </si>
  <si>
    <t>23260661659196000115550010000005971591831111</t>
  </si>
  <si>
    <t>559</t>
  </si>
  <si>
    <t>23260661659196000115550010000005591582332468</t>
  </si>
  <si>
    <t>580</t>
  </si>
  <si>
    <t>23260661659196000115550010000005801230392026</t>
  </si>
  <si>
    <t>581</t>
  </si>
  <si>
    <t>23260661659196000115550010000005811380971282</t>
  </si>
  <si>
    <t>556</t>
  </si>
  <si>
    <t>23260661659196000115550010000005561628852416</t>
  </si>
  <si>
    <t>606</t>
  </si>
  <si>
    <t>23260661659196000115550010000006061710819110</t>
  </si>
  <si>
    <t>557</t>
  </si>
  <si>
    <t>23260661659196000115550010000005571217616589</t>
  </si>
  <si>
    <t>582</t>
  </si>
  <si>
    <t>23260661659196000115550010000005821411721360</t>
  </si>
  <si>
    <t>2658739</t>
  </si>
  <si>
    <t>23260615099833000129550010026587391261382510</t>
  </si>
  <si>
    <t>5183218</t>
  </si>
  <si>
    <t>23260623577851000105550010051832181241255213</t>
  </si>
  <si>
    <t>5183216</t>
  </si>
  <si>
    <t>23260623577851000105550010051832161985420927</t>
  </si>
  <si>
    <t>5183217</t>
  </si>
  <si>
    <t>23260623577851000105550010051832171501791929</t>
  </si>
  <si>
    <t>5183215</t>
  </si>
  <si>
    <t>23260623577851000105550010051832151142911714</t>
  </si>
  <si>
    <t>172342</t>
  </si>
  <si>
    <t>23260607348972000110550010001723421432265175</t>
  </si>
  <si>
    <t>10071750</t>
  </si>
  <si>
    <t>23260610483444000260550010100717501773014389</t>
  </si>
  <si>
    <t>10071772</t>
  </si>
  <si>
    <t>23260610483444000260550010100717721050689759</t>
  </si>
  <si>
    <t>2144404</t>
  </si>
  <si>
    <t>23260608978365000105550000021444041133623120</t>
  </si>
  <si>
    <t>10073168</t>
  </si>
  <si>
    <t>23260610483444000260550010100731681943903953</t>
  </si>
  <si>
    <t>10073273</t>
  </si>
  <si>
    <t>23260610483444000260550010100732731052842421</t>
  </si>
  <si>
    <t>2429954</t>
  </si>
  <si>
    <t>23260605402904001210550010024299541441093720</t>
  </si>
  <si>
    <t>355407</t>
  </si>
  <si>
    <t>23260614998371002405550000003554071104400667</t>
  </si>
  <si>
    <t>2615520</t>
  </si>
  <si>
    <t>23260604522065000158550010026155201175662434</t>
  </si>
  <si>
    <t>293574</t>
  </si>
  <si>
    <t>23260666471517002200550550002935741521899197</t>
  </si>
  <si>
    <t>293571</t>
  </si>
  <si>
    <t>23260666471517002200550550002935711495305890</t>
  </si>
  <si>
    <t>293573</t>
  </si>
  <si>
    <t>23260666471517002200550550002935731270509060</t>
  </si>
  <si>
    <t>293572</t>
  </si>
  <si>
    <t>23260666471517002200550550002935721671564927</t>
  </si>
  <si>
    <t>2431</t>
  </si>
  <si>
    <t>23260628941256000112550010000024311365049274</t>
  </si>
  <si>
    <t>111121</t>
  </si>
  <si>
    <t>23260609445644000168550050001111211600991737</t>
  </si>
  <si>
    <t>111122</t>
  </si>
  <si>
    <t>23260609445644000168550050001111221595685421</t>
  </si>
  <si>
    <t>26202</t>
  </si>
  <si>
    <t>23260686923984000106550010000262021615967546</t>
  </si>
  <si>
    <t>8433</t>
  </si>
  <si>
    <t>23260602352544000148550020000084331962574420</t>
  </si>
  <si>
    <t>29984</t>
  </si>
  <si>
    <t>23260641550666000281550010000299841340833548</t>
  </si>
  <si>
    <t>29985</t>
  </si>
  <si>
    <t>23260641550666000281550010000299851030209452</t>
  </si>
  <si>
    <t>29986</t>
  </si>
  <si>
    <t>23260641550666000281550010000299861163709933</t>
  </si>
  <si>
    <t>657206</t>
  </si>
  <si>
    <t>23260609497934000155550010006572061019566136</t>
  </si>
  <si>
    <t>276681</t>
  </si>
  <si>
    <t>23260606057223038063553000002766811539164903</t>
  </si>
  <si>
    <t>52626</t>
  </si>
  <si>
    <t>23260603281176000157550010000526261018982820</t>
  </si>
  <si>
    <t>28897</t>
  </si>
  <si>
    <t>23260630922123000221550010000288971288978763</t>
  </si>
  <si>
    <t>29988</t>
  </si>
  <si>
    <t>23260641550666000281550010000299881684483091</t>
  </si>
  <si>
    <t>63070</t>
  </si>
  <si>
    <t>23260605017951000197550010000630701329207430</t>
  </si>
  <si>
    <t>7902</t>
  </si>
  <si>
    <t>23260605017951000359550010000079021293761566</t>
  </si>
  <si>
    <t>480147</t>
  </si>
  <si>
    <t>23260601588099000157550000004801471559083968</t>
  </si>
  <si>
    <t>22402</t>
  </si>
  <si>
    <t>23260623723760000122550010000224021270190897</t>
  </si>
  <si>
    <t>3408</t>
  </si>
  <si>
    <t>23260613792039000130550010000034081606121262</t>
  </si>
  <si>
    <t>3409</t>
  </si>
  <si>
    <t>23260613792039000130550010000034091606124145</t>
  </si>
  <si>
    <t>28899</t>
  </si>
  <si>
    <t>23260630922123000221550010000288991288998769</t>
  </si>
  <si>
    <t>3410</t>
  </si>
  <si>
    <t>23260613792039000130550010000034101606127293</t>
  </si>
  <si>
    <t>248751</t>
  </si>
  <si>
    <t>23260607216054000561550060002487511523994441</t>
  </si>
  <si>
    <t>248752</t>
  </si>
  <si>
    <t>23260607216054000561550060002487521154440715</t>
  </si>
  <si>
    <t>248753</t>
  </si>
  <si>
    <t>23260607216054000561550060002487531592238884</t>
  </si>
  <si>
    <t>248754</t>
  </si>
  <si>
    <t>23260607216054000561550060002487541785578315</t>
  </si>
  <si>
    <t>34434</t>
  </si>
  <si>
    <t>23260600208316000173550010000344341900434438</t>
  </si>
  <si>
    <t>94222</t>
  </si>
  <si>
    <t>23260600087009000181550010000942221752410751</t>
  </si>
  <si>
    <t>1741860</t>
  </si>
  <si>
    <t>23260675315333011062550010017418601752343570</t>
  </si>
  <si>
    <t>26619</t>
  </si>
  <si>
    <t>23260605392291000124550010000266191241137217</t>
  </si>
  <si>
    <t>18085</t>
  </si>
  <si>
    <t>23260648063166000264550010000180851412081839</t>
  </si>
  <si>
    <t>70412</t>
  </si>
  <si>
    <t>23260632906750000113550010000704121543858754</t>
  </si>
  <si>
    <t>5553</t>
  </si>
  <si>
    <t>23260619912607000176550020000055531052439344</t>
  </si>
  <si>
    <t>5554</t>
  </si>
  <si>
    <t>23260619912607000176550020000055541718338646</t>
  </si>
  <si>
    <t>94245</t>
  </si>
  <si>
    <t>23260600087009000181550010000942451345311880</t>
  </si>
  <si>
    <t>544805</t>
  </si>
  <si>
    <t>23260607400437000242550000005448051112441632</t>
  </si>
  <si>
    <t>2351237</t>
  </si>
  <si>
    <t>23260601588098000102550000023512371406390180</t>
  </si>
  <si>
    <t>1830</t>
  </si>
  <si>
    <t>23260616956808000187550010000018301643380600</t>
  </si>
  <si>
    <t>3581920</t>
  </si>
  <si>
    <t>23260663310411000101550040035819201037145297</t>
  </si>
  <si>
    <t>260</t>
  </si>
  <si>
    <t>23260623577851000520550030000002601196246204</t>
  </si>
  <si>
    <t>3167</t>
  </si>
  <si>
    <t>23260635802422000165550010000031671000316719</t>
  </si>
  <si>
    <t>9543</t>
  </si>
  <si>
    <t>23260635240498000144550010000095431000954310</t>
  </si>
  <si>
    <t>102746</t>
  </si>
  <si>
    <t>23260626507379000114550010001027461150196644</t>
  </si>
  <si>
    <t>355554</t>
  </si>
  <si>
    <t>23260614998371002405550000003555541577552044</t>
  </si>
  <si>
    <t>5190331</t>
  </si>
  <si>
    <t>23260623577851000105550010051903311114148130</t>
  </si>
  <si>
    <t>5190333</t>
  </si>
  <si>
    <t>23260623577851000105550010051903331114216750</t>
  </si>
  <si>
    <t>5190332</t>
  </si>
  <si>
    <t>23260623577851000105550010051903321351681335</t>
  </si>
  <si>
    <t>5432140</t>
  </si>
  <si>
    <t>23260673909566000104550010054321401535115662</t>
  </si>
  <si>
    <t>5432139</t>
  </si>
  <si>
    <t>23260673909566000104550010054321391221178113</t>
  </si>
  <si>
    <t>836646</t>
  </si>
  <si>
    <t>23260608718921000287550010008366461209537931</t>
  </si>
  <si>
    <t>4504864</t>
  </si>
  <si>
    <t>23260601838723025707550010045048641633293848</t>
  </si>
  <si>
    <t>38114</t>
  </si>
  <si>
    <t>23260601588098000102550080000381141982896458</t>
  </si>
  <si>
    <t>23260651579279000140550030000009031728988694</t>
  </si>
  <si>
    <t>251420</t>
  </si>
  <si>
    <t>23260608811226001580550010002514201056421429</t>
  </si>
  <si>
    <t>52829</t>
  </si>
  <si>
    <t>23260603493377000118550000000528291000457803</t>
  </si>
  <si>
    <t>734932</t>
  </si>
  <si>
    <t>23260602916265022996550010007349321591944992</t>
  </si>
  <si>
    <t>1051883</t>
  </si>
  <si>
    <t>23260683044016007306550010010518831810548566</t>
  </si>
  <si>
    <t>1051885</t>
  </si>
  <si>
    <t>23260683044016007306550010010518851810548560</t>
  </si>
  <si>
    <t>1051886</t>
  </si>
  <si>
    <t>23260683044016007306550010010518861810548568</t>
  </si>
  <si>
    <t>400</t>
  </si>
  <si>
    <t>23260653010535000100550010000004001220929255</t>
  </si>
  <si>
    <t>30121</t>
  </si>
  <si>
    <t>23260641550666000281550010000301211807468184</t>
  </si>
  <si>
    <t>6</t>
  </si>
  <si>
    <t>23260666917223000126550010000000061293807469</t>
  </si>
  <si>
    <t>4831110</t>
  </si>
  <si>
    <t>23260643214055003637550000048311101882587462</t>
  </si>
  <si>
    <t>4831109</t>
  </si>
  <si>
    <t>23260643214055003637550000048311091882587453</t>
  </si>
  <si>
    <t>481</t>
  </si>
  <si>
    <t>23260615184974000140550010000004811003040622</t>
  </si>
  <si>
    <t>595100</t>
  </si>
  <si>
    <t>23260623439441005582550020005951001104205420</t>
  </si>
  <si>
    <t>59127</t>
  </si>
  <si>
    <t>23260607801078000669550010000591271000603786</t>
  </si>
  <si>
    <t>1109750</t>
  </si>
  <si>
    <t>23260610538296000152550030011097501982064890</t>
  </si>
  <si>
    <t>20410</t>
  </si>
  <si>
    <t>23260626941553000132550010000204101168642710</t>
  </si>
  <si>
    <t>355626</t>
  </si>
  <si>
    <t>23260614998371002405550000003556261779530565</t>
  </si>
  <si>
    <t>445</t>
  </si>
  <si>
    <t>23260616987394000153550010000004451070009041</t>
  </si>
  <si>
    <t>1518512</t>
  </si>
  <si>
    <t>23260641600131000278550010015185121202332395</t>
  </si>
  <si>
    <t>1518514</t>
  </si>
  <si>
    <t>23260641600131000278550010015185141156168189</t>
  </si>
  <si>
    <t>1518513</t>
  </si>
  <si>
    <t>23260641600131000278550010015185131688524934</t>
  </si>
  <si>
    <t>615</t>
  </si>
  <si>
    <t>23260661659196000115550010000006151731853821</t>
  </si>
  <si>
    <t>612</t>
  </si>
  <si>
    <t>23260661659196000115550010000006121757136963</t>
  </si>
  <si>
    <t>629</t>
  </si>
  <si>
    <t>23260661659196000115550010000006291965970455</t>
  </si>
  <si>
    <t>648</t>
  </si>
  <si>
    <t>23260661659196000115550010000006481407384278</t>
  </si>
  <si>
    <t>637</t>
  </si>
  <si>
    <t>23260661659196000115550010000006371646765970</t>
  </si>
  <si>
    <t>646</t>
  </si>
  <si>
    <t>23260661659196000115550010000006461153612679</t>
  </si>
  <si>
    <t>628</t>
  </si>
  <si>
    <t>23260661659196000115550010000006281031913030</t>
  </si>
  <si>
    <t>614</t>
  </si>
  <si>
    <t>23260661659196000115550010000006141553356234</t>
  </si>
  <si>
    <t>633</t>
  </si>
  <si>
    <t>23260661659196000115550010000006331729961777</t>
  </si>
  <si>
    <t>644</t>
  </si>
  <si>
    <t>23260661659196000115550010000006441487743149</t>
  </si>
  <si>
    <t>626</t>
  </si>
  <si>
    <t>23260661659196000115550010000006261663640086</t>
  </si>
  <si>
    <t>23260661659196000115550010000006171679321385</t>
  </si>
  <si>
    <t>23260661659196000115550010000006391751972917</t>
  </si>
  <si>
    <t>632</t>
  </si>
  <si>
    <t>23260661659196000115550010000006321744629268</t>
  </si>
  <si>
    <t>619</t>
  </si>
  <si>
    <t>23260661659196000115550010000006191678220989</t>
  </si>
  <si>
    <t>643</t>
  </si>
  <si>
    <t>23260661659196000115550010000006431738827510</t>
  </si>
  <si>
    <t>23260661659196000115550010000006381015087461</t>
  </si>
  <si>
    <t>623</t>
  </si>
  <si>
    <t>23260661659196000115550010000006231149559527</t>
  </si>
  <si>
    <t>371755</t>
  </si>
  <si>
    <t>23260662166848001114550100003717551797729911</t>
  </si>
  <si>
    <t>622</t>
  </si>
  <si>
    <t>23260661659196000115550010000006221633565796</t>
  </si>
  <si>
    <t>613</t>
  </si>
  <si>
    <t>23260661659196000115550010000006131819125851</t>
  </si>
  <si>
    <t>634</t>
  </si>
  <si>
    <t>23260661659196000115550010000006341135837485</t>
  </si>
  <si>
    <t>610</t>
  </si>
  <si>
    <t>23260661659196000115550010000006101578224081</t>
  </si>
  <si>
    <t>616</t>
  </si>
  <si>
    <t>23260661659196000115550010000006161251782685</t>
  </si>
  <si>
    <t>630</t>
  </si>
  <si>
    <t>23260661659196000115550010000006301083947413</t>
  </si>
  <si>
    <t>625</t>
  </si>
  <si>
    <t>23260661659196000115550010000006251202641207</t>
  </si>
  <si>
    <t>627</t>
  </si>
  <si>
    <t>23260661659196000115550010000006271280905866</t>
  </si>
  <si>
    <t>618</t>
  </si>
  <si>
    <t>23260661659196000115550010000006181153275481</t>
  </si>
  <si>
    <t>621</t>
  </si>
  <si>
    <t>23260661659196000115550010000006211137266002</t>
  </si>
  <si>
    <t>620</t>
  </si>
  <si>
    <t>23260661659196000115550010000006201131256156</t>
  </si>
  <si>
    <t>649</t>
  </si>
  <si>
    <t>23260661659196000115550010000006491831805916</t>
  </si>
  <si>
    <t>611</t>
  </si>
  <si>
    <t>23260661659196000115550010000006111583340920</t>
  </si>
  <si>
    <t>640</t>
  </si>
  <si>
    <t>23260661659196000115550010000006401667490053</t>
  </si>
  <si>
    <t>642</t>
  </si>
  <si>
    <t>23260661659196000115550010000006421746180906</t>
  </si>
  <si>
    <t>635</t>
  </si>
  <si>
    <t>23260661659196000115550010000006351262063460</t>
  </si>
  <si>
    <t>624</t>
  </si>
  <si>
    <t>23260661659196000115550010000006241911338436</t>
  </si>
  <si>
    <t>647</t>
  </si>
  <si>
    <t>23260661659196000115550010000006471547671850</t>
  </si>
  <si>
    <t>23260661659196000115550010000006361292747755</t>
  </si>
  <si>
    <t>609</t>
  </si>
  <si>
    <t>23260661659196000115550010000006091161952021</t>
  </si>
  <si>
    <t>631</t>
  </si>
  <si>
    <t>23260661659196000115550010000006311577479256</t>
  </si>
  <si>
    <t>371754</t>
  </si>
  <si>
    <t>23260662166848001114550100003717541996300632</t>
  </si>
  <si>
    <t>645</t>
  </si>
  <si>
    <t>23260661659196000115550010000006451264511121</t>
  </si>
  <si>
    <t>398</t>
  </si>
  <si>
    <t>23260622996906000140550010000003981329380763</t>
  </si>
  <si>
    <t>5629</t>
  </si>
  <si>
    <t>23260645451012000170550010000056291661954564</t>
  </si>
  <si>
    <t>30167</t>
  </si>
  <si>
    <t>23260641550666000281550010000301671402622675</t>
  </si>
  <si>
    <t>30168</t>
  </si>
  <si>
    <t>23260641550666000281550010000301681582769030</t>
  </si>
  <si>
    <t>30194</t>
  </si>
  <si>
    <t>23260641550666000281550010000301941882140227</t>
  </si>
  <si>
    <t>23826</t>
  </si>
  <si>
    <t>23260603941821001001550010000238261074957949</t>
  </si>
  <si>
    <t>30195</t>
  </si>
  <si>
    <t>23260641550666000281550010000301951232554806</t>
  </si>
  <si>
    <t>29446</t>
  </si>
  <si>
    <t>23260631834934000152550010000294461166157192</t>
  </si>
  <si>
    <t>3449</t>
  </si>
  <si>
    <t>23260653673394000105550010000034491165400005</t>
  </si>
  <si>
    <t>30274</t>
  </si>
  <si>
    <t>23260641550666000281550010000302741048831776</t>
  </si>
  <si>
    <t>30276</t>
  </si>
  <si>
    <t>23260641550666000281550010000302761582038017</t>
  </si>
  <si>
    <t>174621</t>
  </si>
  <si>
    <t>23260604770484000109550010001746211224172038</t>
  </si>
  <si>
    <t>23829</t>
  </si>
  <si>
    <t>23260603941821001001550010000238291279879879</t>
  </si>
  <si>
    <t>345426</t>
  </si>
  <si>
    <t>23260628059980000117550040003454261311770284</t>
  </si>
  <si>
    <t>421144</t>
  </si>
  <si>
    <t>23260629143392000120550010004211441001907273</t>
  </si>
  <si>
    <t>3571205</t>
  </si>
  <si>
    <t>23260601914851000102550030035712051003103751</t>
  </si>
  <si>
    <t>3571207</t>
  </si>
  <si>
    <t>23260601914851000102550030035712071003103756</t>
  </si>
  <si>
    <t>3571206</t>
  </si>
  <si>
    <t>23260601914851000102550030035712061003103759</t>
  </si>
  <si>
    <t>3571208</t>
  </si>
  <si>
    <t>23260601914851000102550030035712081003103753</t>
  </si>
  <si>
    <t>3571209</t>
  </si>
  <si>
    <t>23260601914851000102550030035712091003103750</t>
  </si>
  <si>
    <t>1052692</t>
  </si>
  <si>
    <t>23260683044016007306550010010526921284578800</t>
  </si>
  <si>
    <t>62440</t>
  </si>
  <si>
    <t>23260607739675000104550010000624401266283240</t>
  </si>
  <si>
    <t>251590</t>
  </si>
  <si>
    <t>23260608811226001580550010002515901056448262</t>
  </si>
  <si>
    <t>62441</t>
  </si>
  <si>
    <t>23260607739675000104550010000624411784994931</t>
  </si>
  <si>
    <t>2618087</t>
  </si>
  <si>
    <t>23260604522065000158550010026180871251931858</t>
  </si>
  <si>
    <t>10083825</t>
  </si>
  <si>
    <t>23260610483444000260550010100838251090809060</t>
  </si>
  <si>
    <t>5195525</t>
  </si>
  <si>
    <t>23260623577851000105550010051955251236161145</t>
  </si>
  <si>
    <t>5195526</t>
  </si>
  <si>
    <t>23260623577851000105550010051955261482528227</t>
  </si>
  <si>
    <t>346303</t>
  </si>
  <si>
    <t>23260628059980000117550040003463031924828060</t>
  </si>
  <si>
    <t>23835</t>
  </si>
  <si>
    <t>23260603941821001001550010000238351418909868</t>
  </si>
  <si>
    <t>30345</t>
  </si>
  <si>
    <t>23260641550666000281550010000303451540034314</t>
  </si>
  <si>
    <t>3412824</t>
  </si>
  <si>
    <t>23260606850713000120550010034128241104248143</t>
  </si>
  <si>
    <t>515585</t>
  </si>
  <si>
    <t>23260609524502000196550100005155851552409065</t>
  </si>
  <si>
    <t>29478</t>
  </si>
  <si>
    <t>23260631834934000152550010000294781432091163</t>
  </si>
  <si>
    <t>332730</t>
  </si>
  <si>
    <t>23260641221516001034550010003327301120868730</t>
  </si>
  <si>
    <t>77117</t>
  </si>
  <si>
    <t>23260641221516002006550010000771171292158617</t>
  </si>
  <si>
    <t>536390</t>
  </si>
  <si>
    <t>23260608417568000114550020005363901650770113</t>
  </si>
  <si>
    <t>1713883</t>
  </si>
  <si>
    <t>23260607216054000642550070017138831782287253</t>
  </si>
  <si>
    <t>1713884</t>
  </si>
  <si>
    <t>23260607216054000642550070017138841288029165</t>
  </si>
  <si>
    <t>5464779</t>
  </si>
  <si>
    <t>23260603282301000143550010054647791111071271</t>
  </si>
  <si>
    <t>5465232</t>
  </si>
  <si>
    <t>23260603282301000143550010054652321584992766</t>
  </si>
  <si>
    <t>346321</t>
  </si>
  <si>
    <t>23260628059980000117550040003463211661310005</t>
  </si>
  <si>
    <t>346323</t>
  </si>
  <si>
    <t>23260628059980000117550040003463231809949066</t>
  </si>
  <si>
    <t>355858</t>
  </si>
  <si>
    <t>23260614998371002405550000003558581425223612</t>
  </si>
  <si>
    <t>1021366</t>
  </si>
  <si>
    <t>23260625757840006327550010010213661140695231</t>
  </si>
  <si>
    <t>8441</t>
  </si>
  <si>
    <t>23260602352544000148550020000084411404722368</t>
  </si>
  <si>
    <t>2662846</t>
  </si>
  <si>
    <t>23260615099833000129550010026628461940241771</t>
  </si>
  <si>
    <t>2146713</t>
  </si>
  <si>
    <t>23260608978365000105550000021467131015524169</t>
  </si>
  <si>
    <t>2146715</t>
  </si>
  <si>
    <t>23260608978365000105550000021467151122226611</t>
  </si>
  <si>
    <t>727945</t>
  </si>
  <si>
    <t>23260635229640000152550010007279451214062362</t>
  </si>
  <si>
    <t>30392</t>
  </si>
  <si>
    <t>23260641550666000281550010000303921058012135</t>
  </si>
  <si>
    <t>15288</t>
  </si>
  <si>
    <t>24260612497708000189550010000152881511107879</t>
  </si>
  <si>
    <t>1743686</t>
  </si>
  <si>
    <t>23260675315333011062550010017436861752346204</t>
  </si>
  <si>
    <t>1743687</t>
  </si>
  <si>
    <t>23260675315333011062550010017436871752350438</t>
  </si>
  <si>
    <t>28999</t>
  </si>
  <si>
    <t>23260630922123000221550010000289991289998768</t>
  </si>
  <si>
    <t>816362</t>
  </si>
  <si>
    <t>23260613931771000144550010008163621229213165</t>
  </si>
  <si>
    <t>35987</t>
  </si>
  <si>
    <t>23260602719657000139550010000359871000458634</t>
  </si>
  <si>
    <t>35988</t>
  </si>
  <si>
    <t>23260602719657000139550010000359881000458640</t>
  </si>
  <si>
    <t>35989</t>
  </si>
  <si>
    <t>23260602719657000139550010000359891000458655</t>
  </si>
  <si>
    <t>35990</t>
  </si>
  <si>
    <t>23260602719657000139550010000359901000458664</t>
  </si>
  <si>
    <t>35991</t>
  </si>
  <si>
    <t>23260602719657000139550010000359911000458670</t>
  </si>
  <si>
    <t>35992</t>
  </si>
  <si>
    <t>23260602719657000139550010000359921000458685</t>
  </si>
  <si>
    <t>3442</t>
  </si>
  <si>
    <t>23260606007033002436550010000034421276854901</t>
  </si>
  <si>
    <t>35993</t>
  </si>
  <si>
    <t>23260602719657000139550010000359931000458690</t>
  </si>
  <si>
    <t>35994</t>
  </si>
  <si>
    <t>23260602719657000139550010000359941000458701</t>
  </si>
  <si>
    <t>35995</t>
  </si>
  <si>
    <t>23260602719657000139550010000359951000458717</t>
  </si>
  <si>
    <t>35996</t>
  </si>
  <si>
    <t>23260602719657000139550010000359961000458722</t>
  </si>
  <si>
    <t>35997</t>
  </si>
  <si>
    <t>23260602719657000139550010000359971000458738</t>
  </si>
  <si>
    <t>94386</t>
  </si>
  <si>
    <t>23260600087009000181550010000943861740406862</t>
  </si>
  <si>
    <t>35998</t>
  </si>
  <si>
    <t>23260602719657000139550010000359981000458743</t>
  </si>
  <si>
    <t>248913</t>
  </si>
  <si>
    <t>23260607216054000561550060002489131458879760</t>
  </si>
  <si>
    <t>248916</t>
  </si>
  <si>
    <t>23260607216054000561550060002489161309667488</t>
  </si>
  <si>
    <t>3413700</t>
  </si>
  <si>
    <t>23260606850713000120550010034137001646016727</t>
  </si>
  <si>
    <t>651</t>
  </si>
  <si>
    <t>23260661659196000115550010000006511764820392</t>
  </si>
  <si>
    <t>663</t>
  </si>
  <si>
    <t>23260661659196000115550010000006631359140480</t>
  </si>
  <si>
    <t>660</t>
  </si>
  <si>
    <t>23260661659196000115550010000006601485731007</t>
  </si>
  <si>
    <t>23260661659196000115550010000006611585189775</t>
  </si>
  <si>
    <t>656</t>
  </si>
  <si>
    <t>23260661659196000115550010000006561664491741</t>
  </si>
  <si>
    <t>668</t>
  </si>
  <si>
    <t>23260661659196000115550010000006681999857730</t>
  </si>
  <si>
    <t>670</t>
  </si>
  <si>
    <t>23260661659196000115550010000006701478726970</t>
  </si>
  <si>
    <t>5199261</t>
  </si>
  <si>
    <t>23260623577851000105550010051992611561476611</t>
  </si>
  <si>
    <t>5199262</t>
  </si>
  <si>
    <t>23260623577851000105550010051992621116792445</t>
  </si>
  <si>
    <t>5199260</t>
  </si>
  <si>
    <t>23260623577851000105550010051992601305156320</t>
  </si>
  <si>
    <t>30456</t>
  </si>
  <si>
    <t>23260641550666000281550010000304561878134051</t>
  </si>
  <si>
    <t>59775</t>
  </si>
  <si>
    <t>23260607316197000626550010000597751210977358</t>
  </si>
  <si>
    <t>7178724</t>
  </si>
  <si>
    <t>23260607965809000520550010071787241655684910</t>
  </si>
  <si>
    <t>3383007</t>
  </si>
  <si>
    <t>23260660409075015931550010033830071370797256</t>
  </si>
  <si>
    <t>3383008</t>
  </si>
  <si>
    <t>23260660409075015931550010033830081025860205</t>
  </si>
  <si>
    <t>3383072</t>
  </si>
  <si>
    <t>23260660409075015931550010033830721353236550</t>
  </si>
  <si>
    <t>658016</t>
  </si>
  <si>
    <t>23260609497934000155550010006580161094800353</t>
  </si>
  <si>
    <t>3383455</t>
  </si>
  <si>
    <t>23260660409075015931550010033834551292459415</t>
  </si>
  <si>
    <t>1182</t>
  </si>
  <si>
    <t>23260697534486000180550010000011821001249716</t>
  </si>
  <si>
    <t>1715860</t>
  </si>
  <si>
    <t>23260607216054000642550070017158601163497730</t>
  </si>
  <si>
    <t>30468</t>
  </si>
  <si>
    <t>23260641550666000281550010000304681438176539</t>
  </si>
  <si>
    <t>103004</t>
  </si>
  <si>
    <t>23260626507379000114550010001030041223228229</t>
  </si>
  <si>
    <t>11500</t>
  </si>
  <si>
    <t>23260607202674000118550010000115001885964575</t>
  </si>
  <si>
    <t>7179513</t>
  </si>
  <si>
    <t>23260607965809000520550010071795131671951693</t>
  </si>
  <si>
    <t>29029</t>
  </si>
  <si>
    <t>23260630922123000221550010000290291290298767</t>
  </si>
  <si>
    <t>1716355</t>
  </si>
  <si>
    <t>23260607216054000642550070017163551263264661</t>
  </si>
  <si>
    <t>1110751</t>
  </si>
  <si>
    <t>23260610538296000152550030011107511559823197</t>
  </si>
  <si>
    <t>1110752</t>
  </si>
  <si>
    <t>23260610538296000152550030011107521201084822</t>
  </si>
  <si>
    <t>3414354</t>
  </si>
  <si>
    <t>23260606850713000120550010034143541631615550</t>
  </si>
  <si>
    <t>2357143</t>
  </si>
  <si>
    <t>23260601588098000102550000023571431153539830</t>
  </si>
  <si>
    <t>480816</t>
  </si>
  <si>
    <t>23260601588099000157550000004808161626768833</t>
  </si>
  <si>
    <t>2932</t>
  </si>
  <si>
    <t>29260608814961000494550020000029321472481617</t>
  </si>
  <si>
    <t>9049</t>
  </si>
  <si>
    <t>32260602125191000496550010000090491834552440</t>
  </si>
  <si>
    <t>2303</t>
  </si>
  <si>
    <t>23260647539776000148550010000023031002263091</t>
  </si>
  <si>
    <t>286177</t>
  </si>
  <si>
    <t>33260602464189000107550050002861771616904448</t>
  </si>
  <si>
    <t>112721</t>
  </si>
  <si>
    <t>23260673770273000199550010001127211032653768</t>
  </si>
  <si>
    <t>22997</t>
  </si>
  <si>
    <t>35260609571772000158550010000229971136129460</t>
  </si>
  <si>
    <t>35260648088937000197550010000011131944374610</t>
  </si>
  <si>
    <t>11806</t>
  </si>
  <si>
    <t>35260665852479000130550010000118061873773131</t>
  </si>
  <si>
    <t>1362179</t>
  </si>
  <si>
    <t>23260604984598000151550010013621791191104204</t>
  </si>
  <si>
    <t>5294210</t>
  </si>
  <si>
    <t>23260607224991000135550010052942101054536088</t>
  </si>
  <si>
    <t>279518</t>
  </si>
  <si>
    <t>23260602090238000180550010002795181729699084</t>
  </si>
  <si>
    <t>813878</t>
  </si>
  <si>
    <t>23260623455090000100550010008138781125766454</t>
  </si>
  <si>
    <t>5198388</t>
  </si>
  <si>
    <t>23260623577851000105550010051983881791651916</t>
  </si>
  <si>
    <t>Procuração ativa?</t>
  </si>
  <si>
    <t>NF-e de Entrada (Autorizada) - SIGA</t>
  </si>
  <si>
    <t>NF-e de Entrada (Cancelada) - SIGA</t>
  </si>
  <si>
    <t>Source.Name.3</t>
  </si>
  <si>
    <t>numDocumentoFiscal</t>
  </si>
  <si>
    <t>chaveAcesso</t>
  </si>
  <si>
    <t>vlrDocumento</t>
  </si>
  <si>
    <t>resultadoProcessamento</t>
  </si>
  <si>
    <t>datReferencia</t>
  </si>
  <si>
    <t>354</t>
  </si>
  <si>
    <t>23260633384059000180550030000003541015160962</t>
  </si>
  <si>
    <t>355</t>
  </si>
  <si>
    <t>23260633384059000180550030000003551814000939</t>
  </si>
  <si>
    <t>356</t>
  </si>
  <si>
    <t>23260633384059000180550030000003561330155214</t>
  </si>
  <si>
    <t>357</t>
  </si>
  <si>
    <t>23260633384059000180550030000003571513498550</t>
  </si>
  <si>
    <t>358</t>
  </si>
  <si>
    <t>23260633384059000180550030000003581457146700</t>
  </si>
  <si>
    <t>359</t>
  </si>
  <si>
    <t>23260633384059000180550030000003591360282305</t>
  </si>
  <si>
    <t>360</t>
  </si>
  <si>
    <t>23260633384059000180550030000003601731803724</t>
  </si>
  <si>
    <t>361</t>
  </si>
  <si>
    <t>23260633384059000180550030000003611623877817</t>
  </si>
  <si>
    <t>362</t>
  </si>
  <si>
    <t>23260633384059000180550030000003621495597857</t>
  </si>
  <si>
    <t>367</t>
  </si>
  <si>
    <t>23260632084111000110550020000003671951496868</t>
  </si>
  <si>
    <t>368</t>
  </si>
  <si>
    <t>23260632084111000110550020000003681476627751</t>
  </si>
  <si>
    <t>369</t>
  </si>
  <si>
    <t>23260632084111000110550020000003691231255344</t>
  </si>
  <si>
    <t>370</t>
  </si>
  <si>
    <t>23260632084111000110550020000003701676468930</t>
  </si>
  <si>
    <t>371</t>
  </si>
  <si>
    <t>23260632084111000110550020000003711156683699</t>
  </si>
  <si>
    <t>372</t>
  </si>
  <si>
    <t>23260632084111000110550020000003721492859311</t>
  </si>
  <si>
    <t>373</t>
  </si>
  <si>
    <t>23260632084111000110550020000003731465530298</t>
  </si>
  <si>
    <t>374</t>
  </si>
  <si>
    <t>23260632084111000110550020000003741158932922</t>
  </si>
  <si>
    <t>375</t>
  </si>
  <si>
    <t>23260632084111000110550020000003751999245204</t>
  </si>
  <si>
    <t>376</t>
  </si>
  <si>
    <t>23260632084111000110550020000003761848766776</t>
  </si>
  <si>
    <t>377</t>
  </si>
  <si>
    <t>23260632084111000110550020000003771161317267</t>
  </si>
  <si>
    <t>378</t>
  </si>
  <si>
    <t>23260632084111000110550020000003781434646622</t>
  </si>
  <si>
    <t>379</t>
  </si>
  <si>
    <t>23260632084111000110550020000003791440501786</t>
  </si>
  <si>
    <t>380</t>
  </si>
  <si>
    <t>23260632084111000110550020000003801783309794</t>
  </si>
  <si>
    <t>381</t>
  </si>
  <si>
    <t>23260632084111000110550020000003811536544980</t>
  </si>
  <si>
    <t>7785</t>
  </si>
  <si>
    <t>23260611618173000437550020000077851004970724</t>
  </si>
  <si>
    <t>7786</t>
  </si>
  <si>
    <t>23260611618173000437550020000077861004970748</t>
  </si>
  <si>
    <t>5953</t>
  </si>
  <si>
    <t>23260611618173000437550010000059531004971951</t>
  </si>
  <si>
    <t>7788</t>
  </si>
  <si>
    <t>23260611618173000437550020000077881004972460</t>
  </si>
  <si>
    <t>5957</t>
  </si>
  <si>
    <t>23260611618173000437550010000059571004976260</t>
  </si>
  <si>
    <t>7799</t>
  </si>
  <si>
    <t>23260611618173000437550020000077991004986090</t>
  </si>
  <si>
    <t>5959</t>
  </si>
  <si>
    <t>23260611618173000437550010000059591004992391</t>
  </si>
  <si>
    <t>5963</t>
  </si>
  <si>
    <t>23260611618173000437550010000059631005000867</t>
  </si>
  <si>
    <t>5965</t>
  </si>
  <si>
    <t>23260611618173000437550010000059651005005740</t>
  </si>
  <si>
    <t>5966</t>
  </si>
  <si>
    <t>23260611618173000437550010000059661005011003</t>
  </si>
  <si>
    <t>7826</t>
  </si>
  <si>
    <t>23260611618173000437550020000078261005017081</t>
  </si>
  <si>
    <t>17988</t>
  </si>
  <si>
    <t>23260620951181000149550030000179881004970390</t>
  </si>
  <si>
    <t>17989</t>
  </si>
  <si>
    <t>23260620951181000149550030000179891004970584</t>
  </si>
  <si>
    <t>17990</t>
  </si>
  <si>
    <t>23260620951181000149550030000179901004970607</t>
  </si>
  <si>
    <t>17991</t>
  </si>
  <si>
    <t>23260620951181000149550030000179911004970876</t>
  </si>
  <si>
    <t>17992</t>
  </si>
  <si>
    <t>23260620951181000149550030000179921004970890</t>
  </si>
  <si>
    <t>17993</t>
  </si>
  <si>
    <t>23260620951181000149550030000179931004970935</t>
  </si>
  <si>
    <t>17994</t>
  </si>
  <si>
    <t>23260620951181000149550030000179941004971017</t>
  </si>
  <si>
    <t>17997</t>
  </si>
  <si>
    <t>23260620951181000149550030000179971004971108</t>
  </si>
  <si>
    <t>17998</t>
  </si>
  <si>
    <t>23260620951181000149550030000179981004971237</t>
  </si>
  <si>
    <t>17999</t>
  </si>
  <si>
    <t>23260620951181000149550030000179991004971242</t>
  </si>
  <si>
    <t>18000</t>
  </si>
  <si>
    <t>23260620951181000149550030000180001004971547</t>
  </si>
  <si>
    <t>18001</t>
  </si>
  <si>
    <t>23260620951181000149550030000180011004971579</t>
  </si>
  <si>
    <t>18002</t>
  </si>
  <si>
    <t>23260620951181000149550030000180021004973439</t>
  </si>
  <si>
    <t>18003</t>
  </si>
  <si>
    <t>23260620951181000149550030000180031004973673</t>
  </si>
  <si>
    <t>18004</t>
  </si>
  <si>
    <t>23260620951181000149550030000180041004974006</t>
  </si>
  <si>
    <t>18005</t>
  </si>
  <si>
    <t>23260620951181000149550030000180051004974135</t>
  </si>
  <si>
    <t>18006</t>
  </si>
  <si>
    <t>23260620951181000149550030000180061004974973</t>
  </si>
  <si>
    <t>18007</t>
  </si>
  <si>
    <t>23260620951181000149550030000180071004975160</t>
  </si>
  <si>
    <t>18008</t>
  </si>
  <si>
    <t>23260620951181000149550030000180081004975605</t>
  </si>
  <si>
    <t>18009</t>
  </si>
  <si>
    <t>23260620951181000149550030000180091004975815</t>
  </si>
  <si>
    <t>18010</t>
  </si>
  <si>
    <t>23260620951181000149550030000180101004976243</t>
  </si>
  <si>
    <t>18011</t>
  </si>
  <si>
    <t>23260620951181000149550030000180111004976496</t>
  </si>
  <si>
    <t>18012</t>
  </si>
  <si>
    <t>23260620951181000149550030000180121004976515</t>
  </si>
  <si>
    <t>18013</t>
  </si>
  <si>
    <t>23260620951181000149550030000180131004976733</t>
  </si>
  <si>
    <t>18014</t>
  </si>
  <si>
    <t>23260620951181000149550030000180141004976978</t>
  </si>
  <si>
    <t>18015</t>
  </si>
  <si>
    <t>23260620951181000149550030000180151004980085</t>
  </si>
  <si>
    <t>2158</t>
  </si>
  <si>
    <t>23260620951181000149550010000021581004980262</t>
  </si>
  <si>
    <t>18016</t>
  </si>
  <si>
    <t>23260620951181000149550030000180161004980341</t>
  </si>
  <si>
    <t>18017</t>
  </si>
  <si>
    <t>23260620951181000149550030000180171004980594</t>
  </si>
  <si>
    <t>18019</t>
  </si>
  <si>
    <t>23260620951181000149550030000180191004981641</t>
  </si>
  <si>
    <t>18020</t>
  </si>
  <si>
    <t>23260620951181000149550030000180201004981944</t>
  </si>
  <si>
    <t>18021</t>
  </si>
  <si>
    <t>23260620951181000149550030000180211004982077</t>
  </si>
  <si>
    <t>18023</t>
  </si>
  <si>
    <t>23260620951181000149550030000180231004982136</t>
  </si>
  <si>
    <t>18024</t>
  </si>
  <si>
    <t>23260620951181000149550030000180241004982176</t>
  </si>
  <si>
    <t>18025</t>
  </si>
  <si>
    <t>23260620951181000149550030000180251004982327</t>
  </si>
  <si>
    <t>18026</t>
  </si>
  <si>
    <t>23260620951181000149550030000180261004982367</t>
  </si>
  <si>
    <t>18027</t>
  </si>
  <si>
    <t>23260620951181000149550030000180271004982445</t>
  </si>
  <si>
    <t>18028</t>
  </si>
  <si>
    <t>23260620951181000149550030000180281004982531</t>
  </si>
  <si>
    <t>18029</t>
  </si>
  <si>
    <t>23260620951181000149550030000180291004982806</t>
  </si>
  <si>
    <t>18030</t>
  </si>
  <si>
    <t>23260620951181000149550030000180301004983170</t>
  </si>
  <si>
    <t>18032</t>
  </si>
  <si>
    <t>23260620951181000149550030000180321004983220</t>
  </si>
  <si>
    <t>18033</t>
  </si>
  <si>
    <t>23260620951181000149550030000180331004984038</t>
  </si>
  <si>
    <t>18035</t>
  </si>
  <si>
    <t>23260620951181000149550030000180351004984199</t>
  </si>
  <si>
    <t>18036</t>
  </si>
  <si>
    <t>23260620951181000149550030000180361004984269</t>
  </si>
  <si>
    <t>18037</t>
  </si>
  <si>
    <t>23260620951181000149550030000180371004984401</t>
  </si>
  <si>
    <t>18038</t>
  </si>
  <si>
    <t>23260620951181000149550030000180381004984778</t>
  </si>
  <si>
    <t>18039</t>
  </si>
  <si>
    <t>23260620951181000149550030000180391004984791</t>
  </si>
  <si>
    <t>2163</t>
  </si>
  <si>
    <t>23260620951181000149550010000021631004991221</t>
  </si>
  <si>
    <t>18040</t>
  </si>
  <si>
    <t>23260620951181000149550030000180401004991233</t>
  </si>
  <si>
    <t>18041</t>
  </si>
  <si>
    <t>23260620951181000149550030000180411004991249</t>
  </si>
  <si>
    <t>2164</t>
  </si>
  <si>
    <t>23260620951181000149550010000021641004991253</t>
  </si>
  <si>
    <t>18042</t>
  </si>
  <si>
    <t>23260620951181000149550030000180421004991270</t>
  </si>
  <si>
    <t>18043</t>
  </si>
  <si>
    <t>23260620951181000149550030000180431004991308</t>
  </si>
  <si>
    <t>2165</t>
  </si>
  <si>
    <t>23260620951181000149550010000021651004991374</t>
  </si>
  <si>
    <t>18044</t>
  </si>
  <si>
    <t>23260620951181000149550030000180441004991380</t>
  </si>
  <si>
    <t>18045</t>
  </si>
  <si>
    <t>23260620951181000149550030000180451004991485</t>
  </si>
  <si>
    <t>2166</t>
  </si>
  <si>
    <t>23260620951181000149550010000021661004991509</t>
  </si>
  <si>
    <t>18046</t>
  </si>
  <si>
    <t>23260620951181000149550030000180461004991520</t>
  </si>
  <si>
    <t>2167</t>
  </si>
  <si>
    <t>23260620951181000149550010000021671004991581</t>
  </si>
  <si>
    <t>2168</t>
  </si>
  <si>
    <t>23260620951181000149550010000021681004992070</t>
  </si>
  <si>
    <t>23260620951181000149550010000021691004992221</t>
  </si>
  <si>
    <t>18047</t>
  </si>
  <si>
    <t>23260620951181000149550030000180471004992419</t>
  </si>
  <si>
    <t>18048</t>
  </si>
  <si>
    <t>23260620951181000149550030000180481004992602</t>
  </si>
  <si>
    <t>18049</t>
  </si>
  <si>
    <t>23260620951181000149550030000180491004992901</t>
  </si>
  <si>
    <t>18050</t>
  </si>
  <si>
    <t>23260620951181000149550030000180501004993224</t>
  </si>
  <si>
    <t>2170</t>
  </si>
  <si>
    <t>23260620951181000149550010000021701004992230</t>
  </si>
  <si>
    <t>18051</t>
  </si>
  <si>
    <t>23260620951181000149550030000180511004993310</t>
  </si>
  <si>
    <t>18052</t>
  </si>
  <si>
    <t>23260620951181000149550030000180521004993393</t>
  </si>
  <si>
    <t>18055</t>
  </si>
  <si>
    <t>23260620951181000149550030000180551004994693</t>
  </si>
  <si>
    <t>18056</t>
  </si>
  <si>
    <t>23260620951181000149550030000180561004995085</t>
  </si>
  <si>
    <t>18057</t>
  </si>
  <si>
    <t>23260620951181000149550030000180571004995090</t>
  </si>
  <si>
    <t>18058</t>
  </si>
  <si>
    <t>23260620951181000149550030000180581004995101</t>
  </si>
  <si>
    <t>18059</t>
  </si>
  <si>
    <t>23260620951181000149550030000180591004995176</t>
  </si>
  <si>
    <t>18060</t>
  </si>
  <si>
    <t>23260620951181000149550030000180601004995223</t>
  </si>
  <si>
    <t>18061</t>
  </si>
  <si>
    <t>23260620951181000149550030000180611004995816</t>
  </si>
  <si>
    <t>18063</t>
  </si>
  <si>
    <t>23260620951181000149550030000180631004995853</t>
  </si>
  <si>
    <t>18064</t>
  </si>
  <si>
    <t>23260620951181000149550030000180641004995990</t>
  </si>
  <si>
    <t>2173</t>
  </si>
  <si>
    <t>23260620951181000149550010000021731004996025</t>
  </si>
  <si>
    <t>18065</t>
  </si>
  <si>
    <t>23260620951181000149550030000180651004996056</t>
  </si>
  <si>
    <t>2174</t>
  </si>
  <si>
    <t>23260620951181000149550010000021741004996073</t>
  </si>
  <si>
    <t>18066</t>
  </si>
  <si>
    <t>23260620951181000149550030000180661004996096</t>
  </si>
  <si>
    <t>2175</t>
  </si>
  <si>
    <t>23260620951181000149550010000021751004996127</t>
  </si>
  <si>
    <t>18067</t>
  </si>
  <si>
    <t>23260620951181000149550030000180671004996166</t>
  </si>
  <si>
    <t>2176</t>
  </si>
  <si>
    <t>23260620951181000149550010000021761004996175</t>
  </si>
  <si>
    <t>18068</t>
  </si>
  <si>
    <t>23260620951181000149550030000180681004996228</t>
  </si>
  <si>
    <t>18069</t>
  </si>
  <si>
    <t>23260620951181000149550030000180691004996241</t>
  </si>
  <si>
    <t>18070</t>
  </si>
  <si>
    <t>23260620951181000149550030000180701004997079</t>
  </si>
  <si>
    <t>18071</t>
  </si>
  <si>
    <t>23260620951181000149550030000180711004997092</t>
  </si>
  <si>
    <t>2177</t>
  </si>
  <si>
    <t>23260620951181000149550010000021771004997381</t>
  </si>
  <si>
    <t>2178</t>
  </si>
  <si>
    <t>23260620951181000149550010000021781004997435</t>
  </si>
  <si>
    <t>18072</t>
  </si>
  <si>
    <t>23260620951181000149550030000180721004997510</t>
  </si>
  <si>
    <t>18073</t>
  </si>
  <si>
    <t>23260620951181000149550030000180731004997720</t>
  </si>
  <si>
    <t>18074</t>
  </si>
  <si>
    <t>23260620951181000149550030000180741004997795</t>
  </si>
  <si>
    <t>2180</t>
  </si>
  <si>
    <t>23260620951181000149550010000021801004998154</t>
  </si>
  <si>
    <t>18075</t>
  </si>
  <si>
    <t>23260620951181000149550030000180751004998306</t>
  </si>
  <si>
    <t>18076</t>
  </si>
  <si>
    <t>23260620951181000149550030000180761004998443</t>
  </si>
  <si>
    <t>2181</t>
  </si>
  <si>
    <t>23260620951181000149550010000021811004998518</t>
  </si>
  <si>
    <t>2182</t>
  </si>
  <si>
    <t>23260620951181000149550010000021821004998604</t>
  </si>
  <si>
    <t>2183</t>
  </si>
  <si>
    <t>23260620951181000149550010000021831004998679</t>
  </si>
  <si>
    <t>18077</t>
  </si>
  <si>
    <t>23260620951181000149550030000180771004999226</t>
  </si>
  <si>
    <t>18080</t>
  </si>
  <si>
    <t>23260620951181000149550030000180801004999418</t>
  </si>
  <si>
    <t>23260620951181000149550010000021841004999486</t>
  </si>
  <si>
    <t>23260620951181000149550010000021851004999629</t>
  </si>
  <si>
    <t>23260620951181000149550010000021861004999634</t>
  </si>
  <si>
    <t>18081</t>
  </si>
  <si>
    <t>23260620951181000149550030000180811005000730</t>
  </si>
  <si>
    <t>2187</t>
  </si>
  <si>
    <t>23260620951181000149550010000021871005000964</t>
  </si>
  <si>
    <t>23260620951181000149550010000021891005001035</t>
  </si>
  <si>
    <t>2190</t>
  </si>
  <si>
    <t>23260620951181000149550010000021901005001214</t>
  </si>
  <si>
    <t>18082</t>
  </si>
  <si>
    <t>23260620951181000149550030000180821005001482</t>
  </si>
  <si>
    <t>2191</t>
  </si>
  <si>
    <t>23260620951181000149550010000021911005001700</t>
  </si>
  <si>
    <t>2192</t>
  </si>
  <si>
    <t>23260620951181000149550010000021921005001715</t>
  </si>
  <si>
    <t>2193</t>
  </si>
  <si>
    <t>23260620951181000149550010000021931005002336</t>
  </si>
  <si>
    <t>2194</t>
  </si>
  <si>
    <t>23260620951181000149550010000021941005002406</t>
  </si>
  <si>
    <t>18083</t>
  </si>
  <si>
    <t>23260620951181000149550030000180831005002796</t>
  </si>
  <si>
    <t>18084</t>
  </si>
  <si>
    <t>23260620951181000149550030000180841005003331</t>
  </si>
  <si>
    <t>2195</t>
  </si>
  <si>
    <t>23260620951181000149550010000021951005003787</t>
  </si>
  <si>
    <t>23260620951181000149550030000180851005003908</t>
  </si>
  <si>
    <t>2196</t>
  </si>
  <si>
    <t>23260620951181000149550010000021961005003962</t>
  </si>
  <si>
    <t>18086</t>
  </si>
  <si>
    <t>23260620951181000149550030000180861005004103</t>
  </si>
  <si>
    <t>18087</t>
  </si>
  <si>
    <t>23260620951181000149550030000180871005004330</t>
  </si>
  <si>
    <t>2197</t>
  </si>
  <si>
    <t>23260620951181000149550010000021971005004400</t>
  </si>
  <si>
    <t>18088</t>
  </si>
  <si>
    <t>23260620951181000149550030000180881005004531</t>
  </si>
  <si>
    <t>2198</t>
  </si>
  <si>
    <t>23260620951181000149550010000021981005004653</t>
  </si>
  <si>
    <t>2199</t>
  </si>
  <si>
    <t>23260620951181000149550010000021991005006378</t>
  </si>
  <si>
    <t>18089</t>
  </si>
  <si>
    <t>23260620951181000149550030000180891005006604</t>
  </si>
  <si>
    <t>18090</t>
  </si>
  <si>
    <t>23260620951181000149550030000180901005006613</t>
  </si>
  <si>
    <t>18091</t>
  </si>
  <si>
    <t>23260620951181000149550030000180911005006645</t>
  </si>
  <si>
    <t>2200</t>
  </si>
  <si>
    <t>23260620951181000149550010000022001005006672</t>
  </si>
  <si>
    <t>2201</t>
  </si>
  <si>
    <t>23260620951181000149550010000022011005006726</t>
  </si>
  <si>
    <t>23260620951181000149550010000022021005006758</t>
  </si>
  <si>
    <t>18092</t>
  </si>
  <si>
    <t>23260620951181000149550030000180921005006839</t>
  </si>
  <si>
    <t>2203</t>
  </si>
  <si>
    <t>23260620951181000149550010000022031005006992</t>
  </si>
  <si>
    <t>2206</t>
  </si>
  <si>
    <t>23260620951181000149550010000022061005010150</t>
  </si>
  <si>
    <t>18093</t>
  </si>
  <si>
    <t>23260620951181000149550030000180931005010221</t>
  </si>
  <si>
    <t>2207</t>
  </si>
  <si>
    <t>23260620951181000149550010000022071005010530</t>
  </si>
  <si>
    <t>2210</t>
  </si>
  <si>
    <t>23260620951181000149550010000022101005010609</t>
  </si>
  <si>
    <t>2211</t>
  </si>
  <si>
    <t>23260620951181000149550010000022111005011122</t>
  </si>
  <si>
    <t>18095</t>
  </si>
  <si>
    <t>23260620951181000149550030000180951005011621</t>
  </si>
  <si>
    <t>18096</t>
  </si>
  <si>
    <t>23260620951181000149550030000180961005012510</t>
  </si>
  <si>
    <t>18098</t>
  </si>
  <si>
    <t>23260620951181000149550030000180981005012948</t>
  </si>
  <si>
    <t>2214</t>
  </si>
  <si>
    <t>23260620951181000149550010000022141005013011</t>
  </si>
  <si>
    <t>18099</t>
  </si>
  <si>
    <t>23260620951181000149550030000180991005013070</t>
  </si>
  <si>
    <t>18100</t>
  </si>
  <si>
    <t>23260620951181000149550030000181001005013081</t>
  </si>
  <si>
    <t>2215</t>
  </si>
  <si>
    <t>23260620951181000149550010000022151005013213</t>
  </si>
  <si>
    <t>18101</t>
  </si>
  <si>
    <t>23260620951181000149550030000181011005013267</t>
  </si>
  <si>
    <t>2216</t>
  </si>
  <si>
    <t>23260620951181000149550010000022161005013369</t>
  </si>
  <si>
    <t>2217</t>
  </si>
  <si>
    <t>23260620951181000149550010000022171005013714</t>
  </si>
  <si>
    <t>18102</t>
  </si>
  <si>
    <t>23260620951181000149550030000181021005014040</t>
  </si>
  <si>
    <t>18104</t>
  </si>
  <si>
    <t>23260620951181000149550030000181041005014982</t>
  </si>
  <si>
    <t>18105</t>
  </si>
  <si>
    <t>23260620951181000149550030000181051005015013</t>
  </si>
  <si>
    <t>2218</t>
  </si>
  <si>
    <t>23260620951181000149550010000022181005015072</t>
  </si>
  <si>
    <t>2220</t>
  </si>
  <si>
    <t>23260620951181000149550010000022201005016034</t>
  </si>
  <si>
    <t>2221</t>
  </si>
  <si>
    <t>23260620951181000149550010000022211005016082</t>
  </si>
  <si>
    <t>2222</t>
  </si>
  <si>
    <t>23260620951181000149550010000022221005016136</t>
  </si>
  <si>
    <t>2223</t>
  </si>
  <si>
    <t>23260620951181000149550010000022231005016265</t>
  </si>
  <si>
    <t>18109</t>
  </si>
  <si>
    <t>23260620951181000149550030000181091005016450</t>
  </si>
  <si>
    <t>18113</t>
  </si>
  <si>
    <t>23260620951181000149550030000181131005017000</t>
  </si>
  <si>
    <t>2228</t>
  </si>
  <si>
    <t>23260620951181000149550010000022281005017381</t>
  </si>
  <si>
    <t>18114</t>
  </si>
  <si>
    <t>23260620951181000149550030000181141005017520</t>
  </si>
  <si>
    <t>23260620951181000149550010000022291005018881</t>
  </si>
  <si>
    <t>23260620951181000149550010000022301005018920</t>
  </si>
  <si>
    <t>2232</t>
  </si>
  <si>
    <t>23260620951181000149550010000022321005019204</t>
  </si>
  <si>
    <t>18115</t>
  </si>
  <si>
    <t>23260620951181000149550030000181151005019376</t>
  </si>
  <si>
    <t>2233</t>
  </si>
  <si>
    <t>23260620951181000149550010000022331005019600</t>
  </si>
  <si>
    <t>2234</t>
  </si>
  <si>
    <t>23260620951181000149550010000022341005019829</t>
  </si>
  <si>
    <t>18117</t>
  </si>
  <si>
    <t>23260620951181000149550030000181171005020689</t>
  </si>
  <si>
    <t>2239</t>
  </si>
  <si>
    <t>23260620951181000149550010000022391005020874</t>
  </si>
  <si>
    <t>18120</t>
  </si>
  <si>
    <t>23260620951181000149550030000181201005020900</t>
  </si>
  <si>
    <t>2240</t>
  </si>
  <si>
    <t>23260620951181000149550010000022401005020913</t>
  </si>
  <si>
    <t>18121</t>
  </si>
  <si>
    <t>23260620951181000149550030000181211005021130</t>
  </si>
  <si>
    <t>2243</t>
  </si>
  <si>
    <t>23260620951181000149550010000022431005021555</t>
  </si>
  <si>
    <t>2244</t>
  </si>
  <si>
    <t>23260620951181000149550010000022441005021668</t>
  </si>
  <si>
    <t>2245</t>
  </si>
  <si>
    <t>23260620951181000149550010000022451005021703</t>
  </si>
  <si>
    <t>2247</t>
  </si>
  <si>
    <t>23260620951181000149550010000022471005024308</t>
  </si>
  <si>
    <t>2248</t>
  </si>
  <si>
    <t>23260620951181000149550010000022481005024348</t>
  </si>
  <si>
    <t>18123</t>
  </si>
  <si>
    <t>23260620951181000149550030000181231005024797</t>
  </si>
  <si>
    <t>18125</t>
  </si>
  <si>
    <t>23260620951181000149550030000181251005025372</t>
  </si>
  <si>
    <t>18126</t>
  </si>
  <si>
    <t>23260620951181000149550030000181261005025485</t>
  </si>
  <si>
    <t>23260620951181000149550010000022541005025538</t>
  </si>
  <si>
    <t>18127</t>
  </si>
  <si>
    <t>23260620951181000149550030000181271005025601</t>
  </si>
  <si>
    <t>2256</t>
  </si>
  <si>
    <t>23260620951181000149550010000022561005025893</t>
  </si>
  <si>
    <t>2259</t>
  </si>
  <si>
    <t>23260620951181000149550010000022591005026280</t>
  </si>
  <si>
    <t>2260</t>
  </si>
  <si>
    <t>23260620951181000149550010000022601005026507</t>
  </si>
  <si>
    <t>26397</t>
  </si>
  <si>
    <t>23260620951181000491550010000263971004970642</t>
  </si>
  <si>
    <t>26398</t>
  </si>
  <si>
    <t>23260620951181000491550010000263981004970658</t>
  </si>
  <si>
    <t>26438</t>
  </si>
  <si>
    <t>23260620951181000491550010000264381004989003</t>
  </si>
  <si>
    <t>26457</t>
  </si>
  <si>
    <t>23260620951181000491550010000264571004994290</t>
  </si>
  <si>
    <t>26459</t>
  </si>
  <si>
    <t>23260620951181000491550010000264591004994350</t>
  </si>
  <si>
    <t>26470</t>
  </si>
  <si>
    <t>23260620951181000491550010000264701005001068</t>
  </si>
  <si>
    <t>26497</t>
  </si>
  <si>
    <t>23260620951181000491550010000264971005010915</t>
  </si>
  <si>
    <t>26499</t>
  </si>
  <si>
    <t>23260620951181000491550010000264991005011215</t>
  </si>
  <si>
    <t>26517</t>
  </si>
  <si>
    <t>23260620951181000491550010000265171005023906</t>
  </si>
  <si>
    <t>26522</t>
  </si>
  <si>
    <t>23260620951181000491550010000265221005026751</t>
  </si>
  <si>
    <t>26524</t>
  </si>
  <si>
    <t>23260620951181000491550010000265241005026985</t>
  </si>
  <si>
    <t>1131</t>
  </si>
  <si>
    <t>23260633912498000118550010000011311401008701</t>
  </si>
  <si>
    <t>1132</t>
  </si>
  <si>
    <t>23260633912498000118550010000011321750186866</t>
  </si>
  <si>
    <t>23260633912498000118550010000011331594190323</t>
  </si>
  <si>
    <t>1134</t>
  </si>
  <si>
    <t>23260633912498000118550010000011341201512173</t>
  </si>
  <si>
    <t>1135</t>
  </si>
  <si>
    <t>23260633912498000118550010000011351112093946</t>
  </si>
  <si>
    <t>1136</t>
  </si>
  <si>
    <t>23260633912498000118550010000011361157683588</t>
  </si>
  <si>
    <t>1137</t>
  </si>
  <si>
    <t>23260633912498000118550010000011371908580837</t>
  </si>
  <si>
    <t>1138</t>
  </si>
  <si>
    <t>23260633912498000118550010000011381803504852</t>
  </si>
  <si>
    <t>1139</t>
  </si>
  <si>
    <t>23260633912498000118550010000011391148230330</t>
  </si>
  <si>
    <t>1140</t>
  </si>
  <si>
    <t>23260633912498000118550010000011401196244487</t>
  </si>
  <si>
    <t>1141</t>
  </si>
  <si>
    <t>23260633912498000118550010000011411866447592</t>
  </si>
  <si>
    <t>1142</t>
  </si>
  <si>
    <t>23260633912498000118550010000011421783612755</t>
  </si>
  <si>
    <t>23260633912498000118550010000011431489771946</t>
  </si>
  <si>
    <t>1144</t>
  </si>
  <si>
    <t>23260633912498000118550010000011441507858170</t>
  </si>
  <si>
    <t>23260633912498000118550010000011451895126641</t>
  </si>
  <si>
    <t>1146</t>
  </si>
  <si>
    <t>23260633912498000118550010000011461496766377</t>
  </si>
  <si>
    <t>1147</t>
  </si>
  <si>
    <t>23260633912498000118550010000011471386071428</t>
  </si>
  <si>
    <t>1148</t>
  </si>
  <si>
    <t>23260633912498000118550010000011481629706900</t>
  </si>
  <si>
    <t>1149</t>
  </si>
  <si>
    <t>23260633912498000118550010000011491162995728</t>
  </si>
  <si>
    <t>1150</t>
  </si>
  <si>
    <t>23260633912498000118550010000011501424856755</t>
  </si>
  <si>
    <t>1151</t>
  </si>
  <si>
    <t>23260633912498000118550010000011511138165018</t>
  </si>
  <si>
    <t>1152</t>
  </si>
  <si>
    <t>23260633912498000118550010000011521732271310</t>
  </si>
  <si>
    <t>23260633912498000118550010000011531423176876</t>
  </si>
  <si>
    <t>1154</t>
  </si>
  <si>
    <t>23260633912498000118550010000011541165505152</t>
  </si>
  <si>
    <t>1155</t>
  </si>
  <si>
    <t>23260633912498000118550010000011551448676451</t>
  </si>
  <si>
    <t>1156</t>
  </si>
  <si>
    <t>23260633912498000118550010000011561490795355</t>
  </si>
  <si>
    <t>23260633912498000118550010000011571582235337</t>
  </si>
  <si>
    <t>1158</t>
  </si>
  <si>
    <t>23260633912498000118550010000011581569987921</t>
  </si>
  <si>
    <t>1159</t>
  </si>
  <si>
    <t>23260633912498000118550010000011591439601451</t>
  </si>
  <si>
    <t>23260633912498000118550010000011611140964875</t>
  </si>
  <si>
    <t>1162</t>
  </si>
  <si>
    <t>23260633912498000118550010000011621968825740</t>
  </si>
  <si>
    <t>1164</t>
  </si>
  <si>
    <t>23260633912498000118550010000011641402008323</t>
  </si>
  <si>
    <t>NF-e de Saída (Autorizada) - SIGA</t>
  </si>
  <si>
    <t>NF-e de Saída (Cancelada) - SIGA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</si>
</sst>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44" fontId="0" fillId="0" borderId="0" xfId="1" applyFont="1"/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Código Domínio" tableColumnId="1"/>
      <queryTableField id="2" name="CNPJ" tableColumnId="2"/>
      <queryTableField id="3" name="Numero" tableColumnId="3"/>
      <queryTableField id="4" name="Chave de Acesso" tableColumnId="4"/>
      <queryTableField id="5" name="Número" tableColumnId="5"/>
      <queryTableField id="6" name="Status" tableColumnId="6"/>
      <queryTableField id="7" name="Tipo" tableColumnId="7"/>
      <queryTableField id="8" name="Data" tableColumnId="8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Source.Name.3" tableColumnId="15"/>
      <queryTableField id="2" name="cnpj" tableColumnId="16"/>
      <queryTableField id="3" name="numDocumentoFiscal" tableColumnId="17"/>
      <queryTableField id="4" name="chaveAcesso" tableColumnId="18"/>
      <queryTableField id="5" name="vlrDocumento" tableColumnId="19"/>
      <queryTableField id="6" name="resultadoProcessamento" tableColumnId="20"/>
      <queryTableField id="7" name="datReferencia" tableColumnId="21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cnpj" tableColumnId="1"/>
      <queryTableField id="2" name="cgf" tableColumnId="2"/>
      <queryTableField id="3" name="razaoSocial" tableColumnId="3"/>
      <queryTableField id="4" name="regime" tableColumnId="4"/>
      <queryTableField id="5" name="cadastro_domini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entradas_competencia" displayName="entradas_competencia" ref="A1:H2763" tableType="queryTable" totalsRowShown="0">
  <autoFilter ref="A1:H2763"/>
  <tableColumns count="8">
    <tableColumn id="1" uniqueName="1" name="Código Domínio" queryTableFieldId="1"/>
    <tableColumn id="2" uniqueName="2" name="CNPJ" queryTableFieldId="2"/>
    <tableColumn id="3" uniqueName="3" name="Numero" queryTableFieldId="3"/>
    <tableColumn id="4" uniqueName="4" name="Chave de Acesso" queryTableFieldId="4"/>
    <tableColumn id="5" uniqueName="5" name="Número" queryTableFieldId="5"/>
    <tableColumn id="6" uniqueName="6" name="Status" queryTableFieldId="6"/>
    <tableColumn id="7" uniqueName="7" name="Tipo" queryTableFieldId="7"/>
    <tableColumn id="8" uniqueName="8" name="Data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saidas_competencia" displayName="saidas_competencia" ref="A1:G324" tableType="queryTable" totalsRowShown="0">
  <autoFilter ref="A1:G324"/>
  <tableColumns count="7">
    <tableColumn id="15" uniqueName="15" name="Source.Name.3" queryTableFieldId="1"/>
    <tableColumn id="16" uniqueName="16" name="cnpj" queryTableFieldId="2"/>
    <tableColumn id="17" uniqueName="17" name="numDocumentoFiscal" queryTableFieldId="3"/>
    <tableColumn id="18" uniqueName="18" name="chaveAcesso" queryTableFieldId="4"/>
    <tableColumn id="19" uniqueName="19" name="vlrDocumento" queryTableFieldId="5"/>
    <tableColumn id="20" uniqueName="20" name="resultadoProcessamento" queryTableFieldId="6"/>
    <tableColumn id="21" uniqueName="21" name="datReferencia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cadastro_empresas" displayName="cadastro_empresas" ref="A1:E308" tableType="queryTable" totalsRowShown="0">
  <autoFilter ref="A1:E308"/>
  <tableColumns count="5">
    <tableColumn id="1" uniqueName="1" name="cnpj" queryTableFieldId="1" dataDxfId="4"/>
    <tableColumn id="2" uniqueName="2" name="cgf" queryTableFieldId="2" dataDxfId="3"/>
    <tableColumn id="3" uniqueName="3" name="razaoSocial" queryTableFieldId="3" dataDxfId="2"/>
    <tableColumn id="4" uniqueName="4" name="regime" queryTableFieldId="4" dataDxfId="1"/>
    <tableColumn id="5" uniqueName="5" name="cadastro_domini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90"/>
  <sheetViews>
    <sheetView tabSelected="1" topLeftCell="E1" workbookViewId="0">
      <selection activeCell="I1" sqref="I1"/>
    </sheetView>
  </sheetViews>
  <sheetFormatPr defaultRowHeight="14.4" x14ac:dyDescent="0.3"/>
  <cols>
    <col min="2" max="3" width="18" bestFit="1" customWidth="1"/>
    <col min="4" max="4" width="82.88671875" bestFit="1" customWidth="1"/>
    <col min="5" max="5" width="18" bestFit="1" customWidth="1"/>
    <col min="6" max="7" width="33.88671875" style="2" bestFit="1" customWidth="1"/>
    <col min="8" max="8" width="30.77734375" style="2" bestFit="1" customWidth="1"/>
    <col min="9" max="9" width="30.33203125" style="2" bestFit="1" customWidth="1"/>
  </cols>
  <sheetData>
    <row r="1" spans="2:9" x14ac:dyDescent="0.3">
      <c r="F1" s="2">
        <f>SUM(F3:F590)</f>
        <v>13982439.930000005</v>
      </c>
      <c r="G1" s="2">
        <f>SUM(G3:G590)</f>
        <v>336470.45999999996</v>
      </c>
      <c r="H1" s="2">
        <f t="shared" ref="H1:I1" si="0">SUM(H3:H590)</f>
        <v>251380.30000000002</v>
      </c>
      <c r="I1" s="2">
        <f t="shared" si="0"/>
        <v>5274.93</v>
      </c>
    </row>
    <row r="2" spans="2:9" x14ac:dyDescent="0.3">
      <c r="B2" s="3" t="s">
        <v>2800</v>
      </c>
      <c r="C2" s="3" t="s">
        <v>1</v>
      </c>
      <c r="D2" s="3" t="s">
        <v>3387</v>
      </c>
      <c r="E2" s="3" t="s">
        <v>6821</v>
      </c>
      <c r="F2" s="4" t="s">
        <v>6822</v>
      </c>
      <c r="G2" s="4" t="s">
        <v>6823</v>
      </c>
      <c r="H2" s="4" t="s">
        <v>7336</v>
      </c>
      <c r="I2" s="4" t="s">
        <v>7337</v>
      </c>
    </row>
    <row r="3" spans="2:9" x14ac:dyDescent="0.3">
      <c r="B3">
        <v>3</v>
      </c>
      <c r="C3" t="s">
        <v>2801</v>
      </c>
      <c r="D3" t="s">
        <v>2483</v>
      </c>
      <c r="E3" t="str">
        <f>IF(COUNTIF(Sheet3!E:E,Dash!B3)&gt;0,"Sim","Não")</f>
        <v>Sim</v>
      </c>
      <c r="F3" s="2">
        <f>SUMIFS('NF-e de Entrada'!E:E,'NF-e de Entrada'!A:A,Dash!B3,'NF-e de Entrada'!F:F,"Autorizada")</f>
        <v>15148.5</v>
      </c>
      <c r="G3" s="2">
        <f>SUMIFS('NF-e de Entrada'!E:E,'NF-e de Entrada'!A:A,Dash!B3,'NF-e de Entrada'!F:F,"Cancelada")</f>
        <v>0</v>
      </c>
      <c r="H3" s="2">
        <f>SUMIFS('NF-e de Saída'!E:E,'NF-e de Saída'!A:A,Dash!B3,'NF-e de Saída'!F:F,"AUTORIZADA")</f>
        <v>0</v>
      </c>
      <c r="I3" s="2">
        <f>SUMIFS('NF-e de Saída'!E:E,'NF-e de Saída'!A:A,Dash!B3,'NF-e de Saída'!F:F,"CANCELADA")</f>
        <v>0</v>
      </c>
    </row>
    <row r="4" spans="2:9" x14ac:dyDescent="0.3">
      <c r="B4">
        <v>5</v>
      </c>
      <c r="C4" t="s">
        <v>2802</v>
      </c>
      <c r="D4" t="s">
        <v>3388</v>
      </c>
      <c r="E4" t="str">
        <f>IF(COUNTIF(Sheet3!E:E,Dash!B4)&gt;0,"Sim","Não")</f>
        <v>Sim</v>
      </c>
      <c r="F4" s="2">
        <f>SUMIFS('NF-e de Entrada'!E:E,'NF-e de Entrada'!A:A,Dash!B4,'NF-e de Entrada'!F:F,"Autorizada")</f>
        <v>0</v>
      </c>
      <c r="G4" s="2">
        <f>SUMIFS('NF-e de Entrada'!E:E,'NF-e de Entrada'!A:A,Dash!B4,'NF-e de Entrada'!F:F,"Cancelada")</f>
        <v>0</v>
      </c>
      <c r="H4" s="2">
        <f>SUMIFS('NF-e de Saída'!E:E,'NF-e de Saída'!A:A,Dash!B4,'NF-e de Saída'!F:F,"AUTORIZADA")</f>
        <v>0</v>
      </c>
      <c r="I4" s="2">
        <f>SUMIFS('NF-e de Saída'!E:E,'NF-e de Saída'!A:A,Dash!B4,'NF-e de Saída'!F:F,"CANCELADA")</f>
        <v>0</v>
      </c>
    </row>
    <row r="5" spans="2:9" x14ac:dyDescent="0.3">
      <c r="B5">
        <v>6</v>
      </c>
      <c r="C5" t="s">
        <v>2803</v>
      </c>
      <c r="D5" t="s">
        <v>3389</v>
      </c>
      <c r="E5" t="str">
        <f>IF(COUNTIF(Sheet3!E:E,Dash!B5)&gt;0,"Sim","Não")</f>
        <v>Não</v>
      </c>
      <c r="F5" s="2">
        <f>SUMIFS('NF-e de Entrada'!E:E,'NF-e de Entrada'!A:A,Dash!B5,'NF-e de Entrada'!F:F,"Autorizada")</f>
        <v>0</v>
      </c>
      <c r="G5" s="2">
        <f>SUMIFS('NF-e de Entrada'!E:E,'NF-e de Entrada'!A:A,Dash!B5,'NF-e de Entrada'!F:F,"Cancelada")</f>
        <v>0</v>
      </c>
      <c r="H5" s="2">
        <f>SUMIFS('NF-e de Saída'!E:E,'NF-e de Saída'!A:A,Dash!B5,'NF-e de Saída'!F:F,"AUTORIZADA")</f>
        <v>0</v>
      </c>
      <c r="I5" s="2">
        <f>SUMIFS('NF-e de Saída'!E:E,'NF-e de Saída'!A:A,Dash!B5,'NF-e de Saída'!F:F,"CANCELADA")</f>
        <v>0</v>
      </c>
    </row>
    <row r="6" spans="2:9" x14ac:dyDescent="0.3">
      <c r="B6">
        <v>9</v>
      </c>
      <c r="C6" t="s">
        <v>2804</v>
      </c>
      <c r="D6" t="s">
        <v>3390</v>
      </c>
      <c r="E6" t="str">
        <f>IF(COUNTIF(Sheet3!E:E,Dash!B6)&gt;0,"Sim","Não")</f>
        <v>Sim</v>
      </c>
      <c r="F6" s="2">
        <f>SUMIFS('NF-e de Entrada'!E:E,'NF-e de Entrada'!A:A,Dash!B6,'NF-e de Entrada'!F:F,"Autorizada")</f>
        <v>0</v>
      </c>
      <c r="G6" s="2">
        <f>SUMIFS('NF-e de Entrada'!E:E,'NF-e de Entrada'!A:A,Dash!B6,'NF-e de Entrada'!F:F,"Cancelada")</f>
        <v>0</v>
      </c>
      <c r="H6" s="2">
        <f>SUMIFS('NF-e de Saída'!E:E,'NF-e de Saída'!A:A,Dash!B6,'NF-e de Saída'!F:F,"AUTORIZADA")</f>
        <v>0</v>
      </c>
      <c r="I6" s="2">
        <f>SUMIFS('NF-e de Saída'!E:E,'NF-e de Saída'!A:A,Dash!B6,'NF-e de Saída'!F:F,"CANCELADA")</f>
        <v>0</v>
      </c>
    </row>
    <row r="7" spans="2:9" x14ac:dyDescent="0.3">
      <c r="B7">
        <v>14</v>
      </c>
      <c r="C7" t="s">
        <v>2805</v>
      </c>
      <c r="D7" t="s">
        <v>2743</v>
      </c>
      <c r="E7" t="str">
        <f>IF(COUNTIF(Sheet3!E:E,Dash!B7)&gt;0,"Sim","Não")</f>
        <v>Sim</v>
      </c>
      <c r="F7" s="2">
        <f>SUMIFS('NF-e de Entrada'!E:E,'NF-e de Entrada'!A:A,Dash!B7,'NF-e de Entrada'!F:F,"Autorizada")</f>
        <v>0</v>
      </c>
      <c r="G7" s="2">
        <f>SUMIFS('NF-e de Entrada'!E:E,'NF-e de Entrada'!A:A,Dash!B7,'NF-e de Entrada'!F:F,"Cancelada")</f>
        <v>0</v>
      </c>
      <c r="H7" s="2">
        <f>SUMIFS('NF-e de Saída'!E:E,'NF-e de Saída'!A:A,Dash!B7,'NF-e de Saída'!F:F,"AUTORIZADA")</f>
        <v>0</v>
      </c>
      <c r="I7" s="2">
        <f>SUMIFS('NF-e de Saída'!E:E,'NF-e de Saída'!A:A,Dash!B7,'NF-e de Saída'!F:F,"CANCELADA")</f>
        <v>0</v>
      </c>
    </row>
    <row r="8" spans="2:9" x14ac:dyDescent="0.3">
      <c r="B8">
        <v>15</v>
      </c>
      <c r="C8" t="s">
        <v>2806</v>
      </c>
      <c r="D8" t="s">
        <v>3391</v>
      </c>
      <c r="E8" t="str">
        <f>IF(COUNTIF(Sheet3!E:E,Dash!B8)&gt;0,"Sim","Não")</f>
        <v>Não</v>
      </c>
      <c r="F8" s="2">
        <f>SUMIFS('NF-e de Entrada'!E:E,'NF-e de Entrada'!A:A,Dash!B8,'NF-e de Entrada'!F:F,"Autorizada")</f>
        <v>0</v>
      </c>
      <c r="G8" s="2">
        <f>SUMIFS('NF-e de Entrada'!E:E,'NF-e de Entrada'!A:A,Dash!B8,'NF-e de Entrada'!F:F,"Cancelada")</f>
        <v>0</v>
      </c>
      <c r="H8" s="2">
        <f>SUMIFS('NF-e de Saída'!E:E,'NF-e de Saída'!A:A,Dash!B8,'NF-e de Saída'!F:F,"AUTORIZADA")</f>
        <v>0</v>
      </c>
      <c r="I8" s="2">
        <f>SUMIFS('NF-e de Saída'!E:E,'NF-e de Saída'!A:A,Dash!B8,'NF-e de Saída'!F:F,"CANCELADA")</f>
        <v>0</v>
      </c>
    </row>
    <row r="9" spans="2:9" x14ac:dyDescent="0.3">
      <c r="B9">
        <v>19</v>
      </c>
      <c r="C9" t="s">
        <v>2807</v>
      </c>
      <c r="D9" t="s">
        <v>2541</v>
      </c>
      <c r="E9" t="str">
        <f>IF(COUNTIF(Sheet3!E:E,Dash!B9)&gt;0,"Sim","Não")</f>
        <v>Sim</v>
      </c>
      <c r="F9" s="2">
        <f>SUMIFS('NF-e de Entrada'!E:E,'NF-e de Entrada'!A:A,Dash!B9,'NF-e de Entrada'!F:F,"Autorizada")</f>
        <v>0</v>
      </c>
      <c r="G9" s="2">
        <f>SUMIFS('NF-e de Entrada'!E:E,'NF-e de Entrada'!A:A,Dash!B9,'NF-e de Entrada'!F:F,"Cancelada")</f>
        <v>0</v>
      </c>
      <c r="H9" s="2">
        <f>SUMIFS('NF-e de Saída'!E:E,'NF-e de Saída'!A:A,Dash!B9,'NF-e de Saída'!F:F,"AUTORIZADA")</f>
        <v>0</v>
      </c>
      <c r="I9" s="2">
        <f>SUMIFS('NF-e de Saída'!E:E,'NF-e de Saída'!A:A,Dash!B9,'NF-e de Saída'!F:F,"CANCELADA")</f>
        <v>0</v>
      </c>
    </row>
    <row r="10" spans="2:9" x14ac:dyDescent="0.3">
      <c r="B10">
        <v>21</v>
      </c>
      <c r="C10" t="s">
        <v>2808</v>
      </c>
      <c r="D10" t="s">
        <v>2608</v>
      </c>
      <c r="E10" t="str">
        <f>IF(COUNTIF(Sheet3!E:E,Dash!B10)&gt;0,"Sim","Não")</f>
        <v>Sim</v>
      </c>
      <c r="F10" s="2">
        <f>SUMIFS('NF-e de Entrada'!E:E,'NF-e de Entrada'!A:A,Dash!B10,'NF-e de Entrada'!F:F,"Autorizada")</f>
        <v>0</v>
      </c>
      <c r="G10" s="2">
        <f>SUMIFS('NF-e de Entrada'!E:E,'NF-e de Entrada'!A:A,Dash!B10,'NF-e de Entrada'!F:F,"Cancelada")</f>
        <v>0</v>
      </c>
      <c r="H10" s="2">
        <f>SUMIFS('NF-e de Saída'!E:E,'NF-e de Saída'!A:A,Dash!B10,'NF-e de Saída'!F:F,"AUTORIZADA")</f>
        <v>0</v>
      </c>
      <c r="I10" s="2">
        <f>SUMIFS('NF-e de Saída'!E:E,'NF-e de Saída'!A:A,Dash!B10,'NF-e de Saída'!F:F,"CANCELADA")</f>
        <v>0</v>
      </c>
    </row>
    <row r="11" spans="2:9" x14ac:dyDescent="0.3">
      <c r="B11">
        <v>22</v>
      </c>
      <c r="C11" t="s">
        <v>2809</v>
      </c>
      <c r="D11" t="s">
        <v>3392</v>
      </c>
      <c r="E11" t="str">
        <f>IF(COUNTIF(Sheet3!E:E,Dash!B11)&gt;0,"Sim","Não")</f>
        <v>Sim</v>
      </c>
      <c r="F11" s="2">
        <f>SUMIFS('NF-e de Entrada'!E:E,'NF-e de Entrada'!A:A,Dash!B11,'NF-e de Entrada'!F:F,"Autorizada")</f>
        <v>29296.559999999994</v>
      </c>
      <c r="G11" s="2">
        <f>SUMIFS('NF-e de Entrada'!E:E,'NF-e de Entrada'!A:A,Dash!B11,'NF-e de Entrada'!F:F,"Cancelada")</f>
        <v>0</v>
      </c>
      <c r="H11" s="2">
        <f>SUMIFS('NF-e de Saída'!E:E,'NF-e de Saída'!A:A,Dash!B11,'NF-e de Saída'!F:F,"AUTORIZADA")</f>
        <v>0</v>
      </c>
      <c r="I11" s="2">
        <f>SUMIFS('NF-e de Saída'!E:E,'NF-e de Saída'!A:A,Dash!B11,'NF-e de Saída'!F:F,"CANCELADA")</f>
        <v>0</v>
      </c>
    </row>
    <row r="12" spans="2:9" x14ac:dyDescent="0.3">
      <c r="B12">
        <v>29</v>
      </c>
      <c r="C12" t="s">
        <v>2810</v>
      </c>
      <c r="D12" t="s">
        <v>3393</v>
      </c>
      <c r="E12" t="str">
        <f>IF(COUNTIF(Sheet3!E:E,Dash!B12)&gt;0,"Sim","Não")</f>
        <v>Sim</v>
      </c>
      <c r="F12" s="2">
        <f>SUMIFS('NF-e de Entrada'!E:E,'NF-e de Entrada'!A:A,Dash!B12,'NF-e de Entrada'!F:F,"Autorizada")</f>
        <v>141969.28</v>
      </c>
      <c r="G12" s="2">
        <f>SUMIFS('NF-e de Entrada'!E:E,'NF-e de Entrada'!A:A,Dash!B12,'NF-e de Entrada'!F:F,"Cancelada")</f>
        <v>0</v>
      </c>
      <c r="H12" s="2">
        <f>SUMIFS('NF-e de Saída'!E:E,'NF-e de Saída'!A:A,Dash!B12,'NF-e de Saída'!F:F,"AUTORIZADA")</f>
        <v>0</v>
      </c>
      <c r="I12" s="2">
        <f>SUMIFS('NF-e de Saída'!E:E,'NF-e de Saída'!A:A,Dash!B12,'NF-e de Saída'!F:F,"CANCELADA")</f>
        <v>0</v>
      </c>
    </row>
    <row r="13" spans="2:9" x14ac:dyDescent="0.3">
      <c r="B13">
        <v>31</v>
      </c>
      <c r="C13" t="s">
        <v>2811</v>
      </c>
      <c r="D13" t="s">
        <v>3394</v>
      </c>
      <c r="E13" t="str">
        <f>IF(COUNTIF(Sheet3!E:E,Dash!B13)&gt;0,"Sim","Não")</f>
        <v>Não</v>
      </c>
      <c r="F13" s="2">
        <f>SUMIFS('NF-e de Entrada'!E:E,'NF-e de Entrada'!A:A,Dash!B13,'NF-e de Entrada'!F:F,"Autorizada")</f>
        <v>0</v>
      </c>
      <c r="G13" s="2">
        <f>SUMIFS('NF-e de Entrada'!E:E,'NF-e de Entrada'!A:A,Dash!B13,'NF-e de Entrada'!F:F,"Cancelada")</f>
        <v>0</v>
      </c>
      <c r="H13" s="2">
        <f>SUMIFS('NF-e de Saída'!E:E,'NF-e de Saída'!A:A,Dash!B13,'NF-e de Saída'!F:F,"AUTORIZADA")</f>
        <v>0</v>
      </c>
      <c r="I13" s="2">
        <f>SUMIFS('NF-e de Saída'!E:E,'NF-e de Saída'!A:A,Dash!B13,'NF-e de Saída'!F:F,"CANCELADA")</f>
        <v>0</v>
      </c>
    </row>
    <row r="14" spans="2:9" x14ac:dyDescent="0.3">
      <c r="B14">
        <v>33</v>
      </c>
      <c r="C14" t="s">
        <v>2812</v>
      </c>
      <c r="D14" t="s">
        <v>2498</v>
      </c>
      <c r="E14" t="str">
        <f>IF(COUNTIF(Sheet3!E:E,Dash!B14)&gt;0,"Sim","Não")</f>
        <v>Sim</v>
      </c>
      <c r="F14" s="2">
        <f>SUMIFS('NF-e de Entrada'!E:E,'NF-e de Entrada'!A:A,Dash!B14,'NF-e de Entrada'!F:F,"Autorizada")</f>
        <v>1537.77</v>
      </c>
      <c r="G14" s="2">
        <f>SUMIFS('NF-e de Entrada'!E:E,'NF-e de Entrada'!A:A,Dash!B14,'NF-e de Entrada'!F:F,"Cancelada")</f>
        <v>0</v>
      </c>
      <c r="H14" s="2">
        <f>SUMIFS('NF-e de Saída'!E:E,'NF-e de Saída'!A:A,Dash!B14,'NF-e de Saída'!F:F,"AUTORIZADA")</f>
        <v>0</v>
      </c>
      <c r="I14" s="2">
        <f>SUMIFS('NF-e de Saída'!E:E,'NF-e de Saída'!A:A,Dash!B14,'NF-e de Saída'!F:F,"CANCELADA")</f>
        <v>0</v>
      </c>
    </row>
    <row r="15" spans="2:9" x14ac:dyDescent="0.3">
      <c r="B15">
        <v>36</v>
      </c>
      <c r="C15" t="s">
        <v>2813</v>
      </c>
      <c r="D15" t="s">
        <v>3395</v>
      </c>
      <c r="E15" t="str">
        <f>IF(COUNTIF(Sheet3!E:E,Dash!B15)&gt;0,"Sim","Não")</f>
        <v>Sim</v>
      </c>
      <c r="F15" s="2">
        <f>SUMIFS('NF-e de Entrada'!E:E,'NF-e de Entrada'!A:A,Dash!B15,'NF-e de Entrada'!F:F,"Autorizada")</f>
        <v>0</v>
      </c>
      <c r="G15" s="2">
        <f>SUMIFS('NF-e de Entrada'!E:E,'NF-e de Entrada'!A:A,Dash!B15,'NF-e de Entrada'!F:F,"Cancelada")</f>
        <v>0</v>
      </c>
      <c r="H15" s="2">
        <f>SUMIFS('NF-e de Saída'!E:E,'NF-e de Saída'!A:A,Dash!B15,'NF-e de Saída'!F:F,"AUTORIZADA")</f>
        <v>0</v>
      </c>
      <c r="I15" s="2">
        <f>SUMIFS('NF-e de Saída'!E:E,'NF-e de Saída'!A:A,Dash!B15,'NF-e de Saída'!F:F,"CANCELADA")</f>
        <v>0</v>
      </c>
    </row>
    <row r="16" spans="2:9" x14ac:dyDescent="0.3">
      <c r="B16">
        <v>37</v>
      </c>
      <c r="C16" t="s">
        <v>2814</v>
      </c>
      <c r="D16" t="s">
        <v>3395</v>
      </c>
      <c r="E16" t="str">
        <f>IF(COUNTIF(Sheet3!E:E,Dash!B16)&gt;0,"Sim","Não")</f>
        <v>Sim</v>
      </c>
      <c r="F16" s="2">
        <f>SUMIFS('NF-e de Entrada'!E:E,'NF-e de Entrada'!A:A,Dash!B16,'NF-e de Entrada'!F:F,"Autorizada")</f>
        <v>0</v>
      </c>
      <c r="G16" s="2">
        <f>SUMIFS('NF-e de Entrada'!E:E,'NF-e de Entrada'!A:A,Dash!B16,'NF-e de Entrada'!F:F,"Cancelada")</f>
        <v>0</v>
      </c>
      <c r="H16" s="2">
        <f>SUMIFS('NF-e de Saída'!E:E,'NF-e de Saída'!A:A,Dash!B16,'NF-e de Saída'!F:F,"AUTORIZADA")</f>
        <v>0</v>
      </c>
      <c r="I16" s="2">
        <f>SUMIFS('NF-e de Saída'!E:E,'NF-e de Saída'!A:A,Dash!B16,'NF-e de Saída'!F:F,"CANCELADA")</f>
        <v>0</v>
      </c>
    </row>
    <row r="17" spans="2:9" x14ac:dyDescent="0.3">
      <c r="B17">
        <v>38</v>
      </c>
      <c r="C17" t="s">
        <v>2815</v>
      </c>
      <c r="D17" t="s">
        <v>2623</v>
      </c>
      <c r="E17" t="str">
        <f>IF(COUNTIF(Sheet3!E:E,Dash!B17)&gt;0,"Sim","Não")</f>
        <v>Sim</v>
      </c>
      <c r="F17" s="2">
        <f>SUMIFS('NF-e de Entrada'!E:E,'NF-e de Entrada'!A:A,Dash!B17,'NF-e de Entrada'!F:F,"Autorizada")</f>
        <v>0</v>
      </c>
      <c r="G17" s="2">
        <f>SUMIFS('NF-e de Entrada'!E:E,'NF-e de Entrada'!A:A,Dash!B17,'NF-e de Entrada'!F:F,"Cancelada")</f>
        <v>0</v>
      </c>
      <c r="H17" s="2">
        <f>SUMIFS('NF-e de Saída'!E:E,'NF-e de Saída'!A:A,Dash!B17,'NF-e de Saída'!F:F,"AUTORIZADA")</f>
        <v>0</v>
      </c>
      <c r="I17" s="2">
        <f>SUMIFS('NF-e de Saída'!E:E,'NF-e de Saída'!A:A,Dash!B17,'NF-e de Saída'!F:F,"CANCELADA")</f>
        <v>0</v>
      </c>
    </row>
    <row r="18" spans="2:9" x14ac:dyDescent="0.3">
      <c r="B18">
        <v>40</v>
      </c>
      <c r="C18" t="s">
        <v>2816</v>
      </c>
      <c r="D18" t="s">
        <v>3396</v>
      </c>
      <c r="E18" t="str">
        <f>IF(COUNTIF(Sheet3!E:E,Dash!B18)&gt;0,"Sim","Não")</f>
        <v>Sim</v>
      </c>
      <c r="F18" s="2">
        <f>SUMIFS('NF-e de Entrada'!E:E,'NF-e de Entrada'!A:A,Dash!B18,'NF-e de Entrada'!F:F,"Autorizada")</f>
        <v>0</v>
      </c>
      <c r="G18" s="2">
        <f>SUMIFS('NF-e de Entrada'!E:E,'NF-e de Entrada'!A:A,Dash!B18,'NF-e de Entrada'!F:F,"Cancelada")</f>
        <v>0</v>
      </c>
      <c r="H18" s="2">
        <f>SUMIFS('NF-e de Saída'!E:E,'NF-e de Saída'!A:A,Dash!B18,'NF-e de Saída'!F:F,"AUTORIZADA")</f>
        <v>0</v>
      </c>
      <c r="I18" s="2">
        <f>SUMIFS('NF-e de Saída'!E:E,'NF-e de Saída'!A:A,Dash!B18,'NF-e de Saída'!F:F,"CANCELADA")</f>
        <v>0</v>
      </c>
    </row>
    <row r="19" spans="2:9" x14ac:dyDescent="0.3">
      <c r="B19">
        <v>41</v>
      </c>
      <c r="C19" t="s">
        <v>2817</v>
      </c>
      <c r="D19" t="s">
        <v>3397</v>
      </c>
      <c r="E19" t="str">
        <f>IF(COUNTIF(Sheet3!E:E,Dash!B19)&gt;0,"Sim","Não")</f>
        <v>Sim</v>
      </c>
      <c r="F19" s="2">
        <f>SUMIFS('NF-e de Entrada'!E:E,'NF-e de Entrada'!A:A,Dash!B19,'NF-e de Entrada'!F:F,"Autorizada")</f>
        <v>0</v>
      </c>
      <c r="G19" s="2">
        <f>SUMIFS('NF-e de Entrada'!E:E,'NF-e de Entrada'!A:A,Dash!B19,'NF-e de Entrada'!F:F,"Cancelada")</f>
        <v>0</v>
      </c>
      <c r="H19" s="2">
        <f>SUMIFS('NF-e de Saída'!E:E,'NF-e de Saída'!A:A,Dash!B19,'NF-e de Saída'!F:F,"AUTORIZADA")</f>
        <v>0</v>
      </c>
      <c r="I19" s="2">
        <f>SUMIFS('NF-e de Saída'!E:E,'NF-e de Saída'!A:A,Dash!B19,'NF-e de Saída'!F:F,"CANCELADA")</f>
        <v>0</v>
      </c>
    </row>
    <row r="20" spans="2:9" x14ac:dyDescent="0.3">
      <c r="B20">
        <v>42</v>
      </c>
      <c r="C20" t="s">
        <v>2818</v>
      </c>
      <c r="D20" t="s">
        <v>3397</v>
      </c>
      <c r="E20" t="str">
        <f>IF(COUNTIF(Sheet3!E:E,Dash!B20)&gt;0,"Sim","Não")</f>
        <v>Sim</v>
      </c>
      <c r="F20" s="2">
        <f>SUMIFS('NF-e de Entrada'!E:E,'NF-e de Entrada'!A:A,Dash!B20,'NF-e de Entrada'!F:F,"Autorizada")</f>
        <v>0</v>
      </c>
      <c r="G20" s="2">
        <f>SUMIFS('NF-e de Entrada'!E:E,'NF-e de Entrada'!A:A,Dash!B20,'NF-e de Entrada'!F:F,"Cancelada")</f>
        <v>0</v>
      </c>
      <c r="H20" s="2">
        <f>SUMIFS('NF-e de Saída'!E:E,'NF-e de Saída'!A:A,Dash!B20,'NF-e de Saída'!F:F,"AUTORIZADA")</f>
        <v>0</v>
      </c>
      <c r="I20" s="2">
        <f>SUMIFS('NF-e de Saída'!E:E,'NF-e de Saída'!A:A,Dash!B20,'NF-e de Saída'!F:F,"CANCELADA")</f>
        <v>0</v>
      </c>
    </row>
    <row r="21" spans="2:9" x14ac:dyDescent="0.3">
      <c r="B21">
        <v>43</v>
      </c>
      <c r="C21" t="s">
        <v>2819</v>
      </c>
      <c r="D21" t="s">
        <v>2626</v>
      </c>
      <c r="E21" t="str">
        <f>IF(COUNTIF(Sheet3!E:E,Dash!B21)&gt;0,"Sim","Não")</f>
        <v>Sim</v>
      </c>
      <c r="F21" s="2">
        <f>SUMIFS('NF-e de Entrada'!E:E,'NF-e de Entrada'!A:A,Dash!B21,'NF-e de Entrada'!F:F,"Autorizada")</f>
        <v>0</v>
      </c>
      <c r="G21" s="2">
        <f>SUMIFS('NF-e de Entrada'!E:E,'NF-e de Entrada'!A:A,Dash!B21,'NF-e de Entrada'!F:F,"Cancelada")</f>
        <v>0</v>
      </c>
      <c r="H21" s="2">
        <f>SUMIFS('NF-e de Saída'!E:E,'NF-e de Saída'!A:A,Dash!B21,'NF-e de Saída'!F:F,"AUTORIZADA")</f>
        <v>0</v>
      </c>
      <c r="I21" s="2">
        <f>SUMIFS('NF-e de Saída'!E:E,'NF-e de Saída'!A:A,Dash!B21,'NF-e de Saída'!F:F,"CANCELADA")</f>
        <v>0</v>
      </c>
    </row>
    <row r="22" spans="2:9" x14ac:dyDescent="0.3">
      <c r="B22">
        <v>46</v>
      </c>
      <c r="C22" t="s">
        <v>2820</v>
      </c>
      <c r="D22" t="s">
        <v>3398</v>
      </c>
      <c r="E22" t="str">
        <f>IF(COUNTIF(Sheet3!E:E,Dash!B22)&gt;0,"Sim","Não")</f>
        <v>Não</v>
      </c>
      <c r="F22" s="2">
        <f>SUMIFS('NF-e de Entrada'!E:E,'NF-e de Entrada'!A:A,Dash!B22,'NF-e de Entrada'!F:F,"Autorizada")</f>
        <v>0</v>
      </c>
      <c r="G22" s="2">
        <f>SUMIFS('NF-e de Entrada'!E:E,'NF-e de Entrada'!A:A,Dash!B22,'NF-e de Entrada'!F:F,"Cancelada")</f>
        <v>0</v>
      </c>
      <c r="H22" s="2">
        <f>SUMIFS('NF-e de Saída'!E:E,'NF-e de Saída'!A:A,Dash!B22,'NF-e de Saída'!F:F,"AUTORIZADA")</f>
        <v>0</v>
      </c>
      <c r="I22" s="2">
        <f>SUMIFS('NF-e de Saída'!E:E,'NF-e de Saída'!A:A,Dash!B22,'NF-e de Saída'!F:F,"CANCELADA")</f>
        <v>0</v>
      </c>
    </row>
    <row r="23" spans="2:9" x14ac:dyDescent="0.3">
      <c r="B23">
        <v>48</v>
      </c>
      <c r="C23" t="s">
        <v>2821</v>
      </c>
      <c r="D23" t="s">
        <v>3399</v>
      </c>
      <c r="E23" t="str">
        <f>IF(COUNTIF(Sheet3!E:E,Dash!B23)&gt;0,"Sim","Não")</f>
        <v>Sim</v>
      </c>
      <c r="F23" s="2">
        <f>SUMIFS('NF-e de Entrada'!E:E,'NF-e de Entrada'!A:A,Dash!B23,'NF-e de Entrada'!F:F,"Autorizada")</f>
        <v>0</v>
      </c>
      <c r="G23" s="2">
        <f>SUMIFS('NF-e de Entrada'!E:E,'NF-e de Entrada'!A:A,Dash!B23,'NF-e de Entrada'!F:F,"Cancelada")</f>
        <v>0</v>
      </c>
      <c r="H23" s="2">
        <f>SUMIFS('NF-e de Saída'!E:E,'NF-e de Saída'!A:A,Dash!B23,'NF-e de Saída'!F:F,"AUTORIZADA")</f>
        <v>0</v>
      </c>
      <c r="I23" s="2">
        <f>SUMIFS('NF-e de Saída'!E:E,'NF-e de Saída'!A:A,Dash!B23,'NF-e de Saída'!F:F,"CANCELADA")</f>
        <v>0</v>
      </c>
    </row>
    <row r="24" spans="2:9" x14ac:dyDescent="0.3">
      <c r="B24">
        <v>49</v>
      </c>
      <c r="C24" t="s">
        <v>2822</v>
      </c>
      <c r="D24" t="s">
        <v>2536</v>
      </c>
      <c r="E24" t="str">
        <f>IF(COUNTIF(Sheet3!E:E,Dash!B24)&gt;0,"Sim","Não")</f>
        <v>Sim</v>
      </c>
      <c r="F24" s="2">
        <f>SUMIFS('NF-e de Entrada'!E:E,'NF-e de Entrada'!A:A,Dash!B24,'NF-e de Entrada'!F:F,"Autorizada")</f>
        <v>0</v>
      </c>
      <c r="G24" s="2">
        <f>SUMIFS('NF-e de Entrada'!E:E,'NF-e de Entrada'!A:A,Dash!B24,'NF-e de Entrada'!F:F,"Cancelada")</f>
        <v>0</v>
      </c>
      <c r="H24" s="2">
        <f>SUMIFS('NF-e de Saída'!E:E,'NF-e de Saída'!A:A,Dash!B24,'NF-e de Saída'!F:F,"AUTORIZADA")</f>
        <v>0</v>
      </c>
      <c r="I24" s="2">
        <f>SUMIFS('NF-e de Saída'!E:E,'NF-e de Saída'!A:A,Dash!B24,'NF-e de Saída'!F:F,"CANCELADA")</f>
        <v>0</v>
      </c>
    </row>
    <row r="25" spans="2:9" x14ac:dyDescent="0.3">
      <c r="B25">
        <v>50</v>
      </c>
      <c r="C25" t="s">
        <v>2823</v>
      </c>
      <c r="D25" t="s">
        <v>3400</v>
      </c>
      <c r="E25" t="str">
        <f>IF(COUNTIF(Sheet3!E:E,Dash!B25)&gt;0,"Sim","Não")</f>
        <v>Sim</v>
      </c>
      <c r="F25" s="2">
        <f>SUMIFS('NF-e de Entrada'!E:E,'NF-e de Entrada'!A:A,Dash!B25,'NF-e de Entrada'!F:F,"Autorizada")</f>
        <v>0</v>
      </c>
      <c r="G25" s="2">
        <f>SUMIFS('NF-e de Entrada'!E:E,'NF-e de Entrada'!A:A,Dash!B25,'NF-e de Entrada'!F:F,"Cancelada")</f>
        <v>0</v>
      </c>
      <c r="H25" s="2">
        <f>SUMIFS('NF-e de Saída'!E:E,'NF-e de Saída'!A:A,Dash!B25,'NF-e de Saída'!F:F,"AUTORIZADA")</f>
        <v>0</v>
      </c>
      <c r="I25" s="2">
        <f>SUMIFS('NF-e de Saída'!E:E,'NF-e de Saída'!A:A,Dash!B25,'NF-e de Saída'!F:F,"CANCELADA")</f>
        <v>0</v>
      </c>
    </row>
    <row r="26" spans="2:9" x14ac:dyDescent="0.3">
      <c r="B26">
        <v>51</v>
      </c>
      <c r="C26" t="s">
        <v>2824</v>
      </c>
      <c r="D26" t="s">
        <v>3401</v>
      </c>
      <c r="E26" t="str">
        <f>IF(COUNTIF(Sheet3!E:E,Dash!B26)&gt;0,"Sim","Não")</f>
        <v>Não</v>
      </c>
      <c r="F26" s="2">
        <f>SUMIFS('NF-e de Entrada'!E:E,'NF-e de Entrada'!A:A,Dash!B26,'NF-e de Entrada'!F:F,"Autorizada")</f>
        <v>0</v>
      </c>
      <c r="G26" s="2">
        <f>SUMIFS('NF-e de Entrada'!E:E,'NF-e de Entrada'!A:A,Dash!B26,'NF-e de Entrada'!F:F,"Cancelada")</f>
        <v>0</v>
      </c>
      <c r="H26" s="2">
        <f>SUMIFS('NF-e de Saída'!E:E,'NF-e de Saída'!A:A,Dash!B26,'NF-e de Saída'!F:F,"AUTORIZADA")</f>
        <v>0</v>
      </c>
      <c r="I26" s="2">
        <f>SUMIFS('NF-e de Saída'!E:E,'NF-e de Saída'!A:A,Dash!B26,'NF-e de Saída'!F:F,"CANCELADA")</f>
        <v>0</v>
      </c>
    </row>
    <row r="27" spans="2:9" x14ac:dyDescent="0.3">
      <c r="B27">
        <v>52</v>
      </c>
      <c r="C27" t="s">
        <v>2825</v>
      </c>
      <c r="D27" t="s">
        <v>2544</v>
      </c>
      <c r="E27" t="str">
        <f>IF(COUNTIF(Sheet3!E:E,Dash!B27)&gt;0,"Sim","Não")</f>
        <v>Sim</v>
      </c>
      <c r="F27" s="2">
        <f>SUMIFS('NF-e de Entrada'!E:E,'NF-e de Entrada'!A:A,Dash!B27,'NF-e de Entrada'!F:F,"Autorizada")</f>
        <v>0</v>
      </c>
      <c r="G27" s="2">
        <f>SUMIFS('NF-e de Entrada'!E:E,'NF-e de Entrada'!A:A,Dash!B27,'NF-e de Entrada'!F:F,"Cancelada")</f>
        <v>0</v>
      </c>
      <c r="H27" s="2">
        <f>SUMIFS('NF-e de Saída'!E:E,'NF-e de Saída'!A:A,Dash!B27,'NF-e de Saída'!F:F,"AUTORIZADA")</f>
        <v>0</v>
      </c>
      <c r="I27" s="2">
        <f>SUMIFS('NF-e de Saída'!E:E,'NF-e de Saída'!A:A,Dash!B27,'NF-e de Saída'!F:F,"CANCELADA")</f>
        <v>0</v>
      </c>
    </row>
    <row r="28" spans="2:9" x14ac:dyDescent="0.3">
      <c r="B28">
        <v>54</v>
      </c>
      <c r="C28" t="s">
        <v>2826</v>
      </c>
      <c r="D28" t="s">
        <v>2631</v>
      </c>
      <c r="E28" t="str">
        <f>IF(COUNTIF(Sheet3!E:E,Dash!B28)&gt;0,"Sim","Não")</f>
        <v>Sim</v>
      </c>
      <c r="F28" s="2">
        <f>SUMIFS('NF-e de Entrada'!E:E,'NF-e de Entrada'!A:A,Dash!B28,'NF-e de Entrada'!F:F,"Autorizada")</f>
        <v>0</v>
      </c>
      <c r="G28" s="2">
        <f>SUMIFS('NF-e de Entrada'!E:E,'NF-e de Entrada'!A:A,Dash!B28,'NF-e de Entrada'!F:F,"Cancelada")</f>
        <v>0</v>
      </c>
      <c r="H28" s="2">
        <f>SUMIFS('NF-e de Saída'!E:E,'NF-e de Saída'!A:A,Dash!B28,'NF-e de Saída'!F:F,"AUTORIZADA")</f>
        <v>0</v>
      </c>
      <c r="I28" s="2">
        <f>SUMIFS('NF-e de Saída'!E:E,'NF-e de Saída'!A:A,Dash!B28,'NF-e de Saída'!F:F,"CANCELADA")</f>
        <v>0</v>
      </c>
    </row>
    <row r="29" spans="2:9" x14ac:dyDescent="0.3">
      <c r="B29">
        <v>57</v>
      </c>
      <c r="C29" t="s">
        <v>2827</v>
      </c>
      <c r="D29" t="s">
        <v>3402</v>
      </c>
      <c r="E29" t="str">
        <f>IF(COUNTIF(Sheet3!E:E,Dash!B29)&gt;0,"Sim","Não")</f>
        <v>Não</v>
      </c>
      <c r="F29" s="2">
        <f>SUMIFS('NF-e de Entrada'!E:E,'NF-e de Entrada'!A:A,Dash!B29,'NF-e de Entrada'!F:F,"Autorizada")</f>
        <v>0</v>
      </c>
      <c r="G29" s="2">
        <f>SUMIFS('NF-e de Entrada'!E:E,'NF-e de Entrada'!A:A,Dash!B29,'NF-e de Entrada'!F:F,"Cancelada")</f>
        <v>0</v>
      </c>
      <c r="H29" s="2">
        <f>SUMIFS('NF-e de Saída'!E:E,'NF-e de Saída'!A:A,Dash!B29,'NF-e de Saída'!F:F,"AUTORIZADA")</f>
        <v>0</v>
      </c>
      <c r="I29" s="2">
        <f>SUMIFS('NF-e de Saída'!E:E,'NF-e de Saída'!A:A,Dash!B29,'NF-e de Saída'!F:F,"CANCELADA")</f>
        <v>0</v>
      </c>
    </row>
    <row r="30" spans="2:9" x14ac:dyDescent="0.3">
      <c r="B30">
        <v>58</v>
      </c>
      <c r="C30" t="s">
        <v>2828</v>
      </c>
      <c r="D30" t="s">
        <v>3403</v>
      </c>
      <c r="E30" t="str">
        <f>IF(COUNTIF(Sheet3!E:E,Dash!B30)&gt;0,"Sim","Não")</f>
        <v>Não</v>
      </c>
      <c r="F30" s="2">
        <f>SUMIFS('NF-e de Entrada'!E:E,'NF-e de Entrada'!A:A,Dash!B30,'NF-e de Entrada'!F:F,"Autorizada")</f>
        <v>0</v>
      </c>
      <c r="G30" s="2">
        <f>SUMIFS('NF-e de Entrada'!E:E,'NF-e de Entrada'!A:A,Dash!B30,'NF-e de Entrada'!F:F,"Cancelada")</f>
        <v>0</v>
      </c>
      <c r="H30" s="2">
        <f>SUMIFS('NF-e de Saída'!E:E,'NF-e de Saída'!A:A,Dash!B30,'NF-e de Saída'!F:F,"AUTORIZADA")</f>
        <v>0</v>
      </c>
      <c r="I30" s="2">
        <f>SUMIFS('NF-e de Saída'!E:E,'NF-e de Saída'!A:A,Dash!B30,'NF-e de Saída'!F:F,"CANCELADA")</f>
        <v>0</v>
      </c>
    </row>
    <row r="31" spans="2:9" x14ac:dyDescent="0.3">
      <c r="B31">
        <v>59</v>
      </c>
      <c r="C31" t="s">
        <v>2829</v>
      </c>
      <c r="D31" t="s">
        <v>3404</v>
      </c>
      <c r="E31" t="str">
        <f>IF(COUNTIF(Sheet3!E:E,Dash!B31)&gt;0,"Sim","Não")</f>
        <v>Sim</v>
      </c>
      <c r="F31" s="2">
        <f>SUMIFS('NF-e de Entrada'!E:E,'NF-e de Entrada'!A:A,Dash!B31,'NF-e de Entrada'!F:F,"Autorizada")</f>
        <v>0</v>
      </c>
      <c r="G31" s="2">
        <f>SUMIFS('NF-e de Entrada'!E:E,'NF-e de Entrada'!A:A,Dash!B31,'NF-e de Entrada'!F:F,"Cancelada")</f>
        <v>0</v>
      </c>
      <c r="H31" s="2">
        <f>SUMIFS('NF-e de Saída'!E:E,'NF-e de Saída'!A:A,Dash!B31,'NF-e de Saída'!F:F,"AUTORIZADA")</f>
        <v>0</v>
      </c>
      <c r="I31" s="2">
        <f>SUMIFS('NF-e de Saída'!E:E,'NF-e de Saída'!A:A,Dash!B31,'NF-e de Saída'!F:F,"CANCELADA")</f>
        <v>0</v>
      </c>
    </row>
    <row r="32" spans="2:9" x14ac:dyDescent="0.3">
      <c r="B32">
        <v>61</v>
      </c>
      <c r="C32" t="s">
        <v>2830</v>
      </c>
      <c r="D32" t="s">
        <v>2646</v>
      </c>
      <c r="E32" t="str">
        <f>IF(COUNTIF(Sheet3!E:E,Dash!B32)&gt;0,"Sim","Não")</f>
        <v>Sim</v>
      </c>
      <c r="F32" s="2">
        <f>SUMIFS('NF-e de Entrada'!E:E,'NF-e de Entrada'!A:A,Dash!B32,'NF-e de Entrada'!F:F,"Autorizada")</f>
        <v>0</v>
      </c>
      <c r="G32" s="2">
        <f>SUMIFS('NF-e de Entrada'!E:E,'NF-e de Entrada'!A:A,Dash!B32,'NF-e de Entrada'!F:F,"Cancelada")</f>
        <v>0</v>
      </c>
      <c r="H32" s="2">
        <f>SUMIFS('NF-e de Saída'!E:E,'NF-e de Saída'!A:A,Dash!B32,'NF-e de Saída'!F:F,"AUTORIZADA")</f>
        <v>0</v>
      </c>
      <c r="I32" s="2">
        <f>SUMIFS('NF-e de Saída'!E:E,'NF-e de Saída'!A:A,Dash!B32,'NF-e de Saída'!F:F,"CANCELADA")</f>
        <v>0</v>
      </c>
    </row>
    <row r="33" spans="2:9" x14ac:dyDescent="0.3">
      <c r="B33">
        <v>62</v>
      </c>
      <c r="C33" t="s">
        <v>2831</v>
      </c>
      <c r="D33" t="s">
        <v>3405</v>
      </c>
      <c r="E33" t="str">
        <f>IF(COUNTIF(Sheet3!E:E,Dash!B33)&gt;0,"Sim","Não")</f>
        <v>Não</v>
      </c>
      <c r="F33" s="2">
        <f>SUMIFS('NF-e de Entrada'!E:E,'NF-e de Entrada'!A:A,Dash!B33,'NF-e de Entrada'!F:F,"Autorizada")</f>
        <v>0</v>
      </c>
      <c r="G33" s="2">
        <f>SUMIFS('NF-e de Entrada'!E:E,'NF-e de Entrada'!A:A,Dash!B33,'NF-e de Entrada'!F:F,"Cancelada")</f>
        <v>0</v>
      </c>
      <c r="H33" s="2">
        <f>SUMIFS('NF-e de Saída'!E:E,'NF-e de Saída'!A:A,Dash!B33,'NF-e de Saída'!F:F,"AUTORIZADA")</f>
        <v>0</v>
      </c>
      <c r="I33" s="2">
        <f>SUMIFS('NF-e de Saída'!E:E,'NF-e de Saída'!A:A,Dash!B33,'NF-e de Saída'!F:F,"CANCELADA")</f>
        <v>0</v>
      </c>
    </row>
    <row r="34" spans="2:9" x14ac:dyDescent="0.3">
      <c r="B34">
        <v>64</v>
      </c>
      <c r="C34" t="s">
        <v>2832</v>
      </c>
      <c r="D34" t="s">
        <v>3406</v>
      </c>
      <c r="E34" t="str">
        <f>IF(COUNTIF(Sheet3!E:E,Dash!B34)&gt;0,"Sim","Não")</f>
        <v>Não</v>
      </c>
      <c r="F34" s="2">
        <f>SUMIFS('NF-e de Entrada'!E:E,'NF-e de Entrada'!A:A,Dash!B34,'NF-e de Entrada'!F:F,"Autorizada")</f>
        <v>0</v>
      </c>
      <c r="G34" s="2">
        <f>SUMIFS('NF-e de Entrada'!E:E,'NF-e de Entrada'!A:A,Dash!B34,'NF-e de Entrada'!F:F,"Cancelada")</f>
        <v>0</v>
      </c>
      <c r="H34" s="2">
        <f>SUMIFS('NF-e de Saída'!E:E,'NF-e de Saída'!A:A,Dash!B34,'NF-e de Saída'!F:F,"AUTORIZADA")</f>
        <v>0</v>
      </c>
      <c r="I34" s="2">
        <f>SUMIFS('NF-e de Saída'!E:E,'NF-e de Saída'!A:A,Dash!B34,'NF-e de Saída'!F:F,"CANCELADA")</f>
        <v>0</v>
      </c>
    </row>
    <row r="35" spans="2:9" x14ac:dyDescent="0.3">
      <c r="B35">
        <v>68</v>
      </c>
      <c r="C35" t="s">
        <v>2833</v>
      </c>
      <c r="D35" t="s">
        <v>3407</v>
      </c>
      <c r="E35" t="str">
        <f>IF(COUNTIF(Sheet3!E:E,Dash!B35)&gt;0,"Sim","Não")</f>
        <v>Não</v>
      </c>
      <c r="F35" s="2">
        <f>SUMIFS('NF-e de Entrada'!E:E,'NF-e de Entrada'!A:A,Dash!B35,'NF-e de Entrada'!F:F,"Autorizada")</f>
        <v>0</v>
      </c>
      <c r="G35" s="2">
        <f>SUMIFS('NF-e de Entrada'!E:E,'NF-e de Entrada'!A:A,Dash!B35,'NF-e de Entrada'!F:F,"Cancelada")</f>
        <v>0</v>
      </c>
      <c r="H35" s="2">
        <f>SUMIFS('NF-e de Saída'!E:E,'NF-e de Saída'!A:A,Dash!B35,'NF-e de Saída'!F:F,"AUTORIZADA")</f>
        <v>0</v>
      </c>
      <c r="I35" s="2">
        <f>SUMIFS('NF-e de Saída'!E:E,'NF-e de Saída'!A:A,Dash!B35,'NF-e de Saída'!F:F,"CANCELADA")</f>
        <v>0</v>
      </c>
    </row>
    <row r="36" spans="2:9" x14ac:dyDescent="0.3">
      <c r="B36">
        <v>69</v>
      </c>
      <c r="C36" t="s">
        <v>2834</v>
      </c>
      <c r="D36" t="s">
        <v>3408</v>
      </c>
      <c r="E36" t="str">
        <f>IF(COUNTIF(Sheet3!E:E,Dash!B36)&gt;0,"Sim","Não")</f>
        <v>Não</v>
      </c>
      <c r="F36" s="2">
        <f>SUMIFS('NF-e de Entrada'!E:E,'NF-e de Entrada'!A:A,Dash!B36,'NF-e de Entrada'!F:F,"Autorizada")</f>
        <v>0</v>
      </c>
      <c r="G36" s="2">
        <f>SUMIFS('NF-e de Entrada'!E:E,'NF-e de Entrada'!A:A,Dash!B36,'NF-e de Entrada'!F:F,"Cancelada")</f>
        <v>0</v>
      </c>
      <c r="H36" s="2">
        <f>SUMIFS('NF-e de Saída'!E:E,'NF-e de Saída'!A:A,Dash!B36,'NF-e de Saída'!F:F,"AUTORIZADA")</f>
        <v>0</v>
      </c>
      <c r="I36" s="2">
        <f>SUMIFS('NF-e de Saída'!E:E,'NF-e de Saída'!A:A,Dash!B36,'NF-e de Saída'!F:F,"CANCELADA")</f>
        <v>0</v>
      </c>
    </row>
    <row r="37" spans="2:9" x14ac:dyDescent="0.3">
      <c r="B37">
        <v>70</v>
      </c>
      <c r="C37" t="s">
        <v>2835</v>
      </c>
      <c r="D37" t="s">
        <v>3409</v>
      </c>
      <c r="E37" t="str">
        <f>IF(COUNTIF(Sheet3!E:E,Dash!B37)&gt;0,"Sim","Não")</f>
        <v>Não</v>
      </c>
      <c r="F37" s="2">
        <f>SUMIFS('NF-e de Entrada'!E:E,'NF-e de Entrada'!A:A,Dash!B37,'NF-e de Entrada'!F:F,"Autorizada")</f>
        <v>0</v>
      </c>
      <c r="G37" s="2">
        <f>SUMIFS('NF-e de Entrada'!E:E,'NF-e de Entrada'!A:A,Dash!B37,'NF-e de Entrada'!F:F,"Cancelada")</f>
        <v>0</v>
      </c>
      <c r="H37" s="2">
        <f>SUMIFS('NF-e de Saída'!E:E,'NF-e de Saída'!A:A,Dash!B37,'NF-e de Saída'!F:F,"AUTORIZADA")</f>
        <v>0</v>
      </c>
      <c r="I37" s="2">
        <f>SUMIFS('NF-e de Saída'!E:E,'NF-e de Saída'!A:A,Dash!B37,'NF-e de Saída'!F:F,"CANCELADA")</f>
        <v>0</v>
      </c>
    </row>
    <row r="38" spans="2:9" x14ac:dyDescent="0.3">
      <c r="B38">
        <v>71</v>
      </c>
      <c r="C38" t="s">
        <v>2836</v>
      </c>
      <c r="D38" t="s">
        <v>3410</v>
      </c>
      <c r="E38" t="str">
        <f>IF(COUNTIF(Sheet3!E:E,Dash!B38)&gt;0,"Sim","Não")</f>
        <v>Não</v>
      </c>
      <c r="F38" s="2">
        <f>SUMIFS('NF-e de Entrada'!E:E,'NF-e de Entrada'!A:A,Dash!B38,'NF-e de Entrada'!F:F,"Autorizada")</f>
        <v>0</v>
      </c>
      <c r="G38" s="2">
        <f>SUMIFS('NF-e de Entrada'!E:E,'NF-e de Entrada'!A:A,Dash!B38,'NF-e de Entrada'!F:F,"Cancelada")</f>
        <v>0</v>
      </c>
      <c r="H38" s="2">
        <f>SUMIFS('NF-e de Saída'!E:E,'NF-e de Saída'!A:A,Dash!B38,'NF-e de Saída'!F:F,"AUTORIZADA")</f>
        <v>0</v>
      </c>
      <c r="I38" s="2">
        <f>SUMIFS('NF-e de Saída'!E:E,'NF-e de Saída'!A:A,Dash!B38,'NF-e de Saída'!F:F,"CANCELADA")</f>
        <v>0</v>
      </c>
    </row>
    <row r="39" spans="2:9" x14ac:dyDescent="0.3">
      <c r="B39">
        <v>73</v>
      </c>
      <c r="C39" t="s">
        <v>2837</v>
      </c>
      <c r="D39" t="s">
        <v>3411</v>
      </c>
      <c r="E39" t="str">
        <f>IF(COUNTIF(Sheet3!E:E,Dash!B39)&gt;0,"Sim","Não")</f>
        <v>Não</v>
      </c>
      <c r="F39" s="2">
        <f>SUMIFS('NF-e de Entrada'!E:E,'NF-e de Entrada'!A:A,Dash!B39,'NF-e de Entrada'!F:F,"Autorizada")</f>
        <v>0</v>
      </c>
      <c r="G39" s="2">
        <f>SUMIFS('NF-e de Entrada'!E:E,'NF-e de Entrada'!A:A,Dash!B39,'NF-e de Entrada'!F:F,"Cancelada")</f>
        <v>0</v>
      </c>
      <c r="H39" s="2">
        <f>SUMIFS('NF-e de Saída'!E:E,'NF-e de Saída'!A:A,Dash!B39,'NF-e de Saída'!F:F,"AUTORIZADA")</f>
        <v>0</v>
      </c>
      <c r="I39" s="2">
        <f>SUMIFS('NF-e de Saída'!E:E,'NF-e de Saída'!A:A,Dash!B39,'NF-e de Saída'!F:F,"CANCELADA")</f>
        <v>0</v>
      </c>
    </row>
    <row r="40" spans="2:9" x14ac:dyDescent="0.3">
      <c r="B40">
        <v>81</v>
      </c>
      <c r="C40" t="s">
        <v>2838</v>
      </c>
      <c r="D40" t="s">
        <v>3412</v>
      </c>
      <c r="E40" t="str">
        <f>IF(COUNTIF(Sheet3!E:E,Dash!B40)&gt;0,"Sim","Não")</f>
        <v>Não</v>
      </c>
      <c r="F40" s="2">
        <f>SUMIFS('NF-e de Entrada'!E:E,'NF-e de Entrada'!A:A,Dash!B40,'NF-e de Entrada'!F:F,"Autorizada")</f>
        <v>0</v>
      </c>
      <c r="G40" s="2">
        <f>SUMIFS('NF-e de Entrada'!E:E,'NF-e de Entrada'!A:A,Dash!B40,'NF-e de Entrada'!F:F,"Cancelada")</f>
        <v>0</v>
      </c>
      <c r="H40" s="2">
        <f>SUMIFS('NF-e de Saída'!E:E,'NF-e de Saída'!A:A,Dash!B40,'NF-e de Saída'!F:F,"AUTORIZADA")</f>
        <v>0</v>
      </c>
      <c r="I40" s="2">
        <f>SUMIFS('NF-e de Saída'!E:E,'NF-e de Saída'!A:A,Dash!B40,'NF-e de Saída'!F:F,"CANCELADA")</f>
        <v>0</v>
      </c>
    </row>
    <row r="41" spans="2:9" x14ac:dyDescent="0.3">
      <c r="B41">
        <v>82</v>
      </c>
      <c r="C41" t="s">
        <v>2839</v>
      </c>
      <c r="D41" t="s">
        <v>3413</v>
      </c>
      <c r="E41" t="str">
        <f>IF(COUNTIF(Sheet3!E:E,Dash!B41)&gt;0,"Sim","Não")</f>
        <v>Não</v>
      </c>
      <c r="F41" s="2">
        <f>SUMIFS('NF-e de Entrada'!E:E,'NF-e de Entrada'!A:A,Dash!B41,'NF-e de Entrada'!F:F,"Autorizada")</f>
        <v>0</v>
      </c>
      <c r="G41" s="2">
        <f>SUMIFS('NF-e de Entrada'!E:E,'NF-e de Entrada'!A:A,Dash!B41,'NF-e de Entrada'!F:F,"Cancelada")</f>
        <v>0</v>
      </c>
      <c r="H41" s="2">
        <f>SUMIFS('NF-e de Saída'!E:E,'NF-e de Saída'!A:A,Dash!B41,'NF-e de Saída'!F:F,"AUTORIZADA")</f>
        <v>0</v>
      </c>
      <c r="I41" s="2">
        <f>SUMIFS('NF-e de Saída'!E:E,'NF-e de Saída'!A:A,Dash!B41,'NF-e de Saída'!F:F,"CANCELADA")</f>
        <v>0</v>
      </c>
    </row>
    <row r="42" spans="2:9" x14ac:dyDescent="0.3">
      <c r="B42">
        <v>85</v>
      </c>
      <c r="C42" t="s">
        <v>2840</v>
      </c>
      <c r="D42" t="s">
        <v>3414</v>
      </c>
      <c r="E42" t="str">
        <f>IF(COUNTIF(Sheet3!E:E,Dash!B42)&gt;0,"Sim","Não")</f>
        <v>Não</v>
      </c>
      <c r="F42" s="2">
        <f>SUMIFS('NF-e de Entrada'!E:E,'NF-e de Entrada'!A:A,Dash!B42,'NF-e de Entrada'!F:F,"Autorizada")</f>
        <v>0</v>
      </c>
      <c r="G42" s="2">
        <f>SUMIFS('NF-e de Entrada'!E:E,'NF-e de Entrada'!A:A,Dash!B42,'NF-e de Entrada'!F:F,"Cancelada")</f>
        <v>0</v>
      </c>
      <c r="H42" s="2">
        <f>SUMIFS('NF-e de Saída'!E:E,'NF-e de Saída'!A:A,Dash!B42,'NF-e de Saída'!F:F,"AUTORIZADA")</f>
        <v>0</v>
      </c>
      <c r="I42" s="2">
        <f>SUMIFS('NF-e de Saída'!E:E,'NF-e de Saída'!A:A,Dash!B42,'NF-e de Saída'!F:F,"CANCELADA")</f>
        <v>0</v>
      </c>
    </row>
    <row r="43" spans="2:9" x14ac:dyDescent="0.3">
      <c r="B43">
        <v>86</v>
      </c>
      <c r="C43" t="s">
        <v>2841</v>
      </c>
      <c r="D43" t="s">
        <v>2658</v>
      </c>
      <c r="E43" t="str">
        <f>IF(COUNTIF(Sheet3!E:E,Dash!B43)&gt;0,"Sim","Não")</f>
        <v>Sim</v>
      </c>
      <c r="F43" s="2">
        <f>SUMIFS('NF-e de Entrada'!E:E,'NF-e de Entrada'!A:A,Dash!B43,'NF-e de Entrada'!F:F,"Autorizada")</f>
        <v>0</v>
      </c>
      <c r="G43" s="2">
        <f>SUMIFS('NF-e de Entrada'!E:E,'NF-e de Entrada'!A:A,Dash!B43,'NF-e de Entrada'!F:F,"Cancelada")</f>
        <v>0</v>
      </c>
      <c r="H43" s="2">
        <f>SUMIFS('NF-e de Saída'!E:E,'NF-e de Saída'!A:A,Dash!B43,'NF-e de Saída'!F:F,"AUTORIZADA")</f>
        <v>0</v>
      </c>
      <c r="I43" s="2">
        <f>SUMIFS('NF-e de Saída'!E:E,'NF-e de Saída'!A:A,Dash!B43,'NF-e de Saída'!F:F,"CANCELADA")</f>
        <v>0</v>
      </c>
    </row>
    <row r="44" spans="2:9" x14ac:dyDescent="0.3">
      <c r="B44">
        <v>88</v>
      </c>
      <c r="C44" t="s">
        <v>2842</v>
      </c>
      <c r="D44" t="s">
        <v>3415</v>
      </c>
      <c r="E44" t="str">
        <f>IF(COUNTIF(Sheet3!E:E,Dash!B44)&gt;0,"Sim","Não")</f>
        <v>Não</v>
      </c>
      <c r="F44" s="2">
        <f>SUMIFS('NF-e de Entrada'!E:E,'NF-e de Entrada'!A:A,Dash!B44,'NF-e de Entrada'!F:F,"Autorizada")</f>
        <v>0</v>
      </c>
      <c r="G44" s="2">
        <f>SUMIFS('NF-e de Entrada'!E:E,'NF-e de Entrada'!A:A,Dash!B44,'NF-e de Entrada'!F:F,"Cancelada")</f>
        <v>0</v>
      </c>
      <c r="H44" s="2">
        <f>SUMIFS('NF-e de Saída'!E:E,'NF-e de Saída'!A:A,Dash!B44,'NF-e de Saída'!F:F,"AUTORIZADA")</f>
        <v>0</v>
      </c>
      <c r="I44" s="2">
        <f>SUMIFS('NF-e de Saída'!E:E,'NF-e de Saída'!A:A,Dash!B44,'NF-e de Saída'!F:F,"CANCELADA")</f>
        <v>0</v>
      </c>
    </row>
    <row r="45" spans="2:9" x14ac:dyDescent="0.3">
      <c r="B45">
        <v>95</v>
      </c>
      <c r="C45" t="s">
        <v>2843</v>
      </c>
      <c r="D45" t="s">
        <v>3416</v>
      </c>
      <c r="E45" t="str">
        <f>IF(COUNTIF(Sheet3!E:E,Dash!B45)&gt;0,"Sim","Não")</f>
        <v>Não</v>
      </c>
      <c r="F45" s="2">
        <f>SUMIFS('NF-e de Entrada'!E:E,'NF-e de Entrada'!A:A,Dash!B45,'NF-e de Entrada'!F:F,"Autorizada")</f>
        <v>0</v>
      </c>
      <c r="G45" s="2">
        <f>SUMIFS('NF-e de Entrada'!E:E,'NF-e de Entrada'!A:A,Dash!B45,'NF-e de Entrada'!F:F,"Cancelada")</f>
        <v>0</v>
      </c>
      <c r="H45" s="2">
        <f>SUMIFS('NF-e de Saída'!E:E,'NF-e de Saída'!A:A,Dash!B45,'NF-e de Saída'!F:F,"AUTORIZADA")</f>
        <v>0</v>
      </c>
      <c r="I45" s="2">
        <f>SUMIFS('NF-e de Saída'!E:E,'NF-e de Saída'!A:A,Dash!B45,'NF-e de Saída'!F:F,"CANCELADA")</f>
        <v>0</v>
      </c>
    </row>
    <row r="46" spans="2:9" x14ac:dyDescent="0.3">
      <c r="B46">
        <v>105</v>
      </c>
      <c r="C46" t="s">
        <v>2844</v>
      </c>
      <c r="D46" t="s">
        <v>3417</v>
      </c>
      <c r="E46" t="str">
        <f>IF(COUNTIF(Sheet3!E:E,Dash!B46)&gt;0,"Sim","Não")</f>
        <v>Não</v>
      </c>
      <c r="F46" s="2">
        <f>SUMIFS('NF-e de Entrada'!E:E,'NF-e de Entrada'!A:A,Dash!B46,'NF-e de Entrada'!F:F,"Autorizada")</f>
        <v>0</v>
      </c>
      <c r="G46" s="2">
        <f>SUMIFS('NF-e de Entrada'!E:E,'NF-e de Entrada'!A:A,Dash!B46,'NF-e de Entrada'!F:F,"Cancelada")</f>
        <v>0</v>
      </c>
      <c r="H46" s="2">
        <f>SUMIFS('NF-e de Saída'!E:E,'NF-e de Saída'!A:A,Dash!B46,'NF-e de Saída'!F:F,"AUTORIZADA")</f>
        <v>0</v>
      </c>
      <c r="I46" s="2">
        <f>SUMIFS('NF-e de Saída'!E:E,'NF-e de Saída'!A:A,Dash!B46,'NF-e de Saída'!F:F,"CANCELADA")</f>
        <v>0</v>
      </c>
    </row>
    <row r="47" spans="2:9" x14ac:dyDescent="0.3">
      <c r="B47">
        <v>107</v>
      </c>
      <c r="C47" t="s">
        <v>2845</v>
      </c>
      <c r="D47" t="s">
        <v>3418</v>
      </c>
      <c r="E47" t="str">
        <f>IF(COUNTIF(Sheet3!E:E,Dash!B47)&gt;0,"Sim","Não")</f>
        <v>Não</v>
      </c>
      <c r="F47" s="2">
        <f>SUMIFS('NF-e de Entrada'!E:E,'NF-e de Entrada'!A:A,Dash!B47,'NF-e de Entrada'!F:F,"Autorizada")</f>
        <v>0</v>
      </c>
      <c r="G47" s="2">
        <f>SUMIFS('NF-e de Entrada'!E:E,'NF-e de Entrada'!A:A,Dash!B47,'NF-e de Entrada'!F:F,"Cancelada")</f>
        <v>0</v>
      </c>
      <c r="H47" s="2">
        <f>SUMIFS('NF-e de Saída'!E:E,'NF-e de Saída'!A:A,Dash!B47,'NF-e de Saída'!F:F,"AUTORIZADA")</f>
        <v>0</v>
      </c>
      <c r="I47" s="2">
        <f>SUMIFS('NF-e de Saída'!E:E,'NF-e de Saída'!A:A,Dash!B47,'NF-e de Saída'!F:F,"CANCELADA")</f>
        <v>0</v>
      </c>
    </row>
    <row r="48" spans="2:9" x14ac:dyDescent="0.3">
      <c r="B48">
        <v>110</v>
      </c>
      <c r="C48" t="s">
        <v>2846</v>
      </c>
      <c r="D48" t="s">
        <v>3419</v>
      </c>
      <c r="E48" t="str">
        <f>IF(COUNTIF(Sheet3!E:E,Dash!B48)&gt;0,"Sim","Não")</f>
        <v>Não</v>
      </c>
      <c r="F48" s="2">
        <f>SUMIFS('NF-e de Entrada'!E:E,'NF-e de Entrada'!A:A,Dash!B48,'NF-e de Entrada'!F:F,"Autorizada")</f>
        <v>0</v>
      </c>
      <c r="G48" s="2">
        <f>SUMIFS('NF-e de Entrada'!E:E,'NF-e de Entrada'!A:A,Dash!B48,'NF-e de Entrada'!F:F,"Cancelada")</f>
        <v>0</v>
      </c>
      <c r="H48" s="2">
        <f>SUMIFS('NF-e de Saída'!E:E,'NF-e de Saída'!A:A,Dash!B48,'NF-e de Saída'!F:F,"AUTORIZADA")</f>
        <v>0</v>
      </c>
      <c r="I48" s="2">
        <f>SUMIFS('NF-e de Saída'!E:E,'NF-e de Saída'!A:A,Dash!B48,'NF-e de Saída'!F:F,"CANCELADA")</f>
        <v>0</v>
      </c>
    </row>
    <row r="49" spans="2:9" x14ac:dyDescent="0.3">
      <c r="B49">
        <v>111</v>
      </c>
      <c r="C49" t="s">
        <v>2847</v>
      </c>
      <c r="D49" t="s">
        <v>2690</v>
      </c>
      <c r="E49" t="str">
        <f>IF(COUNTIF(Sheet3!E:E,Dash!B49)&gt;0,"Sim","Não")</f>
        <v>Sim</v>
      </c>
      <c r="F49" s="2">
        <f>SUMIFS('NF-e de Entrada'!E:E,'NF-e de Entrada'!A:A,Dash!B49,'NF-e de Entrada'!F:F,"Autorizada")</f>
        <v>0</v>
      </c>
      <c r="G49" s="2">
        <f>SUMIFS('NF-e de Entrada'!E:E,'NF-e de Entrada'!A:A,Dash!B49,'NF-e de Entrada'!F:F,"Cancelada")</f>
        <v>0</v>
      </c>
      <c r="H49" s="2">
        <f>SUMIFS('NF-e de Saída'!E:E,'NF-e de Saída'!A:A,Dash!B49,'NF-e de Saída'!F:F,"AUTORIZADA")</f>
        <v>0</v>
      </c>
      <c r="I49" s="2">
        <f>SUMIFS('NF-e de Saída'!E:E,'NF-e de Saída'!A:A,Dash!B49,'NF-e de Saída'!F:F,"CANCELADA")</f>
        <v>0</v>
      </c>
    </row>
    <row r="50" spans="2:9" x14ac:dyDescent="0.3">
      <c r="B50">
        <v>113</v>
      </c>
      <c r="C50" t="s">
        <v>2848</v>
      </c>
      <c r="D50" t="s">
        <v>3420</v>
      </c>
      <c r="E50" t="str">
        <f>IF(COUNTIF(Sheet3!E:E,Dash!B50)&gt;0,"Sim","Não")</f>
        <v>Não</v>
      </c>
      <c r="F50" s="2">
        <f>SUMIFS('NF-e de Entrada'!E:E,'NF-e de Entrada'!A:A,Dash!B50,'NF-e de Entrada'!F:F,"Autorizada")</f>
        <v>0</v>
      </c>
      <c r="G50" s="2">
        <f>SUMIFS('NF-e de Entrada'!E:E,'NF-e de Entrada'!A:A,Dash!B50,'NF-e de Entrada'!F:F,"Cancelada")</f>
        <v>0</v>
      </c>
      <c r="H50" s="2">
        <f>SUMIFS('NF-e de Saída'!E:E,'NF-e de Saída'!A:A,Dash!B50,'NF-e de Saída'!F:F,"AUTORIZADA")</f>
        <v>0</v>
      </c>
      <c r="I50" s="2">
        <f>SUMIFS('NF-e de Saída'!E:E,'NF-e de Saída'!A:A,Dash!B50,'NF-e de Saída'!F:F,"CANCELADA")</f>
        <v>0</v>
      </c>
    </row>
    <row r="51" spans="2:9" x14ac:dyDescent="0.3">
      <c r="B51">
        <v>116</v>
      </c>
      <c r="C51" t="s">
        <v>2849</v>
      </c>
      <c r="D51" t="s">
        <v>2648</v>
      </c>
      <c r="E51" t="str">
        <f>IF(COUNTIF(Sheet3!E:E,Dash!B51)&gt;0,"Sim","Não")</f>
        <v>Sim</v>
      </c>
      <c r="F51" s="2">
        <f>SUMIFS('NF-e de Entrada'!E:E,'NF-e de Entrada'!A:A,Dash!B51,'NF-e de Entrada'!F:F,"Autorizada")</f>
        <v>0</v>
      </c>
      <c r="G51" s="2">
        <f>SUMIFS('NF-e de Entrada'!E:E,'NF-e de Entrada'!A:A,Dash!B51,'NF-e de Entrada'!F:F,"Cancelada")</f>
        <v>0</v>
      </c>
      <c r="H51" s="2">
        <f>SUMIFS('NF-e de Saída'!E:E,'NF-e de Saída'!A:A,Dash!B51,'NF-e de Saída'!F:F,"AUTORIZADA")</f>
        <v>0</v>
      </c>
      <c r="I51" s="2">
        <f>SUMIFS('NF-e de Saída'!E:E,'NF-e de Saída'!A:A,Dash!B51,'NF-e de Saída'!F:F,"CANCELADA")</f>
        <v>0</v>
      </c>
    </row>
    <row r="52" spans="2:9" x14ac:dyDescent="0.3">
      <c r="B52">
        <v>117</v>
      </c>
      <c r="C52" t="s">
        <v>2850</v>
      </c>
      <c r="D52" t="s">
        <v>2722</v>
      </c>
      <c r="E52" t="str">
        <f>IF(COUNTIF(Sheet3!E:E,Dash!B52)&gt;0,"Sim","Não")</f>
        <v>Sim</v>
      </c>
      <c r="F52" s="2">
        <f>SUMIFS('NF-e de Entrada'!E:E,'NF-e de Entrada'!A:A,Dash!B52,'NF-e de Entrada'!F:F,"Autorizada")</f>
        <v>0</v>
      </c>
      <c r="G52" s="2">
        <f>SUMIFS('NF-e de Entrada'!E:E,'NF-e de Entrada'!A:A,Dash!B52,'NF-e de Entrada'!F:F,"Cancelada")</f>
        <v>0</v>
      </c>
      <c r="H52" s="2">
        <f>SUMIFS('NF-e de Saída'!E:E,'NF-e de Saída'!A:A,Dash!B52,'NF-e de Saída'!F:F,"AUTORIZADA")</f>
        <v>0</v>
      </c>
      <c r="I52" s="2">
        <f>SUMIFS('NF-e de Saída'!E:E,'NF-e de Saída'!A:A,Dash!B52,'NF-e de Saída'!F:F,"CANCELADA")</f>
        <v>0</v>
      </c>
    </row>
    <row r="53" spans="2:9" x14ac:dyDescent="0.3">
      <c r="B53">
        <v>124</v>
      </c>
      <c r="C53" t="s">
        <v>2851</v>
      </c>
      <c r="D53" t="s">
        <v>3421</v>
      </c>
      <c r="E53" t="str">
        <f>IF(COUNTIF(Sheet3!E:E,Dash!B53)&gt;0,"Sim","Não")</f>
        <v>Sim</v>
      </c>
      <c r="F53" s="2">
        <f>SUMIFS('NF-e de Entrada'!E:E,'NF-e de Entrada'!A:A,Dash!B53,'NF-e de Entrada'!F:F,"Autorizada")</f>
        <v>0</v>
      </c>
      <c r="G53" s="2">
        <f>SUMIFS('NF-e de Entrada'!E:E,'NF-e de Entrada'!A:A,Dash!B53,'NF-e de Entrada'!F:F,"Cancelada")</f>
        <v>0</v>
      </c>
      <c r="H53" s="2">
        <f>SUMIFS('NF-e de Saída'!E:E,'NF-e de Saída'!A:A,Dash!B53,'NF-e de Saída'!F:F,"AUTORIZADA")</f>
        <v>0</v>
      </c>
      <c r="I53" s="2">
        <f>SUMIFS('NF-e de Saída'!E:E,'NF-e de Saída'!A:A,Dash!B53,'NF-e de Saída'!F:F,"CANCELADA")</f>
        <v>0</v>
      </c>
    </row>
    <row r="54" spans="2:9" x14ac:dyDescent="0.3">
      <c r="B54">
        <v>129</v>
      </c>
      <c r="C54" t="s">
        <v>2852</v>
      </c>
      <c r="D54" t="s">
        <v>3422</v>
      </c>
      <c r="E54" t="str">
        <f>IF(COUNTIF(Sheet3!E:E,Dash!B54)&gt;0,"Sim","Não")</f>
        <v>Não</v>
      </c>
      <c r="F54" s="2">
        <f>SUMIFS('NF-e de Entrada'!E:E,'NF-e de Entrada'!A:A,Dash!B54,'NF-e de Entrada'!F:F,"Autorizada")</f>
        <v>0</v>
      </c>
      <c r="G54" s="2">
        <f>SUMIFS('NF-e de Entrada'!E:E,'NF-e de Entrada'!A:A,Dash!B54,'NF-e de Entrada'!F:F,"Cancelada")</f>
        <v>0</v>
      </c>
      <c r="H54" s="2">
        <f>SUMIFS('NF-e de Saída'!E:E,'NF-e de Saída'!A:A,Dash!B54,'NF-e de Saída'!F:F,"AUTORIZADA")</f>
        <v>0</v>
      </c>
      <c r="I54" s="2">
        <f>SUMIFS('NF-e de Saída'!E:E,'NF-e de Saída'!A:A,Dash!B54,'NF-e de Saída'!F:F,"CANCELADA")</f>
        <v>0</v>
      </c>
    </row>
    <row r="55" spans="2:9" x14ac:dyDescent="0.3">
      <c r="B55">
        <v>132</v>
      </c>
      <c r="C55" t="s">
        <v>2853</v>
      </c>
      <c r="D55" t="s">
        <v>3423</v>
      </c>
      <c r="E55" t="str">
        <f>IF(COUNTIF(Sheet3!E:E,Dash!B55)&gt;0,"Sim","Não")</f>
        <v>Não</v>
      </c>
      <c r="F55" s="2">
        <f>SUMIFS('NF-e de Entrada'!E:E,'NF-e de Entrada'!A:A,Dash!B55,'NF-e de Entrada'!F:F,"Autorizada")</f>
        <v>0</v>
      </c>
      <c r="G55" s="2">
        <f>SUMIFS('NF-e de Entrada'!E:E,'NF-e de Entrada'!A:A,Dash!B55,'NF-e de Entrada'!F:F,"Cancelada")</f>
        <v>0</v>
      </c>
      <c r="H55" s="2">
        <f>SUMIFS('NF-e de Saída'!E:E,'NF-e de Saída'!A:A,Dash!B55,'NF-e de Saída'!F:F,"AUTORIZADA")</f>
        <v>0</v>
      </c>
      <c r="I55" s="2">
        <f>SUMIFS('NF-e de Saída'!E:E,'NF-e de Saída'!A:A,Dash!B55,'NF-e de Saída'!F:F,"CANCELADA")</f>
        <v>0</v>
      </c>
    </row>
    <row r="56" spans="2:9" x14ac:dyDescent="0.3">
      <c r="B56">
        <v>133</v>
      </c>
      <c r="C56" t="s">
        <v>2854</v>
      </c>
      <c r="D56" t="s">
        <v>2558</v>
      </c>
      <c r="E56" t="str">
        <f>IF(COUNTIF(Sheet3!E:E,Dash!B56)&gt;0,"Sim","Não")</f>
        <v>Sim</v>
      </c>
      <c r="F56" s="2">
        <f>SUMIFS('NF-e de Entrada'!E:E,'NF-e de Entrada'!A:A,Dash!B56,'NF-e de Entrada'!F:F,"Autorizada")</f>
        <v>0</v>
      </c>
      <c r="G56" s="2">
        <f>SUMIFS('NF-e de Entrada'!E:E,'NF-e de Entrada'!A:A,Dash!B56,'NF-e de Entrada'!F:F,"Cancelada")</f>
        <v>0</v>
      </c>
      <c r="H56" s="2">
        <f>SUMIFS('NF-e de Saída'!E:E,'NF-e de Saída'!A:A,Dash!B56,'NF-e de Saída'!F:F,"AUTORIZADA")</f>
        <v>0</v>
      </c>
      <c r="I56" s="2">
        <f>SUMIFS('NF-e de Saída'!E:E,'NF-e de Saída'!A:A,Dash!B56,'NF-e de Saída'!F:F,"CANCELADA")</f>
        <v>0</v>
      </c>
    </row>
    <row r="57" spans="2:9" x14ac:dyDescent="0.3">
      <c r="B57">
        <v>134</v>
      </c>
      <c r="C57" t="s">
        <v>2855</v>
      </c>
      <c r="D57" t="s">
        <v>3424</v>
      </c>
      <c r="E57" t="str">
        <f>IF(COUNTIF(Sheet3!E:E,Dash!B57)&gt;0,"Sim","Não")</f>
        <v>Sim</v>
      </c>
      <c r="F57" s="2">
        <f>SUMIFS('NF-e de Entrada'!E:E,'NF-e de Entrada'!A:A,Dash!B57,'NF-e de Entrada'!F:F,"Autorizada")</f>
        <v>0</v>
      </c>
      <c r="G57" s="2">
        <f>SUMIFS('NF-e de Entrada'!E:E,'NF-e de Entrada'!A:A,Dash!B57,'NF-e de Entrada'!F:F,"Cancelada")</f>
        <v>0</v>
      </c>
      <c r="H57" s="2">
        <f>SUMIFS('NF-e de Saída'!E:E,'NF-e de Saída'!A:A,Dash!B57,'NF-e de Saída'!F:F,"AUTORIZADA")</f>
        <v>0</v>
      </c>
      <c r="I57" s="2">
        <f>SUMIFS('NF-e de Saída'!E:E,'NF-e de Saída'!A:A,Dash!B57,'NF-e de Saída'!F:F,"CANCELADA")</f>
        <v>0</v>
      </c>
    </row>
    <row r="58" spans="2:9" x14ac:dyDescent="0.3">
      <c r="B58">
        <v>136</v>
      </c>
      <c r="C58" t="s">
        <v>2856</v>
      </c>
      <c r="D58" t="s">
        <v>3425</v>
      </c>
      <c r="E58" t="str">
        <f>IF(COUNTIF(Sheet3!E:E,Dash!B58)&gt;0,"Sim","Não")</f>
        <v>Sim</v>
      </c>
      <c r="F58" s="2">
        <f>SUMIFS('NF-e de Entrada'!E:E,'NF-e de Entrada'!A:A,Dash!B58,'NF-e de Entrada'!F:F,"Autorizada")</f>
        <v>0</v>
      </c>
      <c r="G58" s="2">
        <f>SUMIFS('NF-e de Entrada'!E:E,'NF-e de Entrada'!A:A,Dash!B58,'NF-e de Entrada'!F:F,"Cancelada")</f>
        <v>0</v>
      </c>
      <c r="H58" s="2">
        <f>SUMIFS('NF-e de Saída'!E:E,'NF-e de Saída'!A:A,Dash!B58,'NF-e de Saída'!F:F,"AUTORIZADA")</f>
        <v>0</v>
      </c>
      <c r="I58" s="2">
        <f>SUMIFS('NF-e de Saída'!E:E,'NF-e de Saída'!A:A,Dash!B58,'NF-e de Saída'!F:F,"CANCELADA")</f>
        <v>0</v>
      </c>
    </row>
    <row r="59" spans="2:9" x14ac:dyDescent="0.3">
      <c r="B59">
        <v>145</v>
      </c>
      <c r="C59" t="s">
        <v>2857</v>
      </c>
      <c r="D59" t="s">
        <v>2580</v>
      </c>
      <c r="E59" t="str">
        <f>IF(COUNTIF(Sheet3!E:E,Dash!B59)&gt;0,"Sim","Não")</f>
        <v>Sim</v>
      </c>
      <c r="F59" s="2">
        <f>SUMIFS('NF-e de Entrada'!E:E,'NF-e de Entrada'!A:A,Dash!B59,'NF-e de Entrada'!F:F,"Autorizada")</f>
        <v>0</v>
      </c>
      <c r="G59" s="2">
        <f>SUMIFS('NF-e de Entrada'!E:E,'NF-e de Entrada'!A:A,Dash!B59,'NF-e de Entrada'!F:F,"Cancelada")</f>
        <v>0</v>
      </c>
      <c r="H59" s="2">
        <f>SUMIFS('NF-e de Saída'!E:E,'NF-e de Saída'!A:A,Dash!B59,'NF-e de Saída'!F:F,"AUTORIZADA")</f>
        <v>0</v>
      </c>
      <c r="I59" s="2">
        <f>SUMIFS('NF-e de Saída'!E:E,'NF-e de Saída'!A:A,Dash!B59,'NF-e de Saída'!F:F,"CANCELADA")</f>
        <v>0</v>
      </c>
    </row>
    <row r="60" spans="2:9" x14ac:dyDescent="0.3">
      <c r="B60">
        <v>146</v>
      </c>
      <c r="C60" t="s">
        <v>2858</v>
      </c>
      <c r="D60" t="s">
        <v>3426</v>
      </c>
      <c r="E60" t="str">
        <f>IF(COUNTIF(Sheet3!E:E,Dash!B60)&gt;0,"Sim","Não")</f>
        <v>Não</v>
      </c>
      <c r="F60" s="2">
        <f>SUMIFS('NF-e de Entrada'!E:E,'NF-e de Entrada'!A:A,Dash!B60,'NF-e de Entrada'!F:F,"Autorizada")</f>
        <v>0</v>
      </c>
      <c r="G60" s="2">
        <f>SUMIFS('NF-e de Entrada'!E:E,'NF-e de Entrada'!A:A,Dash!B60,'NF-e de Entrada'!F:F,"Cancelada")</f>
        <v>0</v>
      </c>
      <c r="H60" s="2">
        <f>SUMIFS('NF-e de Saída'!E:E,'NF-e de Saída'!A:A,Dash!B60,'NF-e de Saída'!F:F,"AUTORIZADA")</f>
        <v>0</v>
      </c>
      <c r="I60" s="2">
        <f>SUMIFS('NF-e de Saída'!E:E,'NF-e de Saída'!A:A,Dash!B60,'NF-e de Saída'!F:F,"CANCELADA")</f>
        <v>0</v>
      </c>
    </row>
    <row r="61" spans="2:9" x14ac:dyDescent="0.3">
      <c r="B61">
        <v>149</v>
      </c>
      <c r="C61" t="s">
        <v>2859</v>
      </c>
      <c r="D61" t="s">
        <v>2474</v>
      </c>
      <c r="E61" t="str">
        <f>IF(COUNTIF(Sheet3!E:E,Dash!B61)&gt;0,"Sim","Não")</f>
        <v>Sim</v>
      </c>
      <c r="F61" s="2">
        <f>SUMIFS('NF-e de Entrada'!E:E,'NF-e de Entrada'!A:A,Dash!B61,'NF-e de Entrada'!F:F,"Autorizada")</f>
        <v>0</v>
      </c>
      <c r="G61" s="2">
        <f>SUMIFS('NF-e de Entrada'!E:E,'NF-e de Entrada'!A:A,Dash!B61,'NF-e de Entrada'!F:F,"Cancelada")</f>
        <v>0</v>
      </c>
      <c r="H61" s="2">
        <f>SUMIFS('NF-e de Saída'!E:E,'NF-e de Saída'!A:A,Dash!B61,'NF-e de Saída'!F:F,"AUTORIZADA")</f>
        <v>0</v>
      </c>
      <c r="I61" s="2">
        <f>SUMIFS('NF-e de Saída'!E:E,'NF-e de Saída'!A:A,Dash!B61,'NF-e de Saída'!F:F,"CANCELADA")</f>
        <v>0</v>
      </c>
    </row>
    <row r="62" spans="2:9" x14ac:dyDescent="0.3">
      <c r="B62">
        <v>150</v>
      </c>
      <c r="C62" t="s">
        <v>2860</v>
      </c>
      <c r="D62" t="s">
        <v>3427</v>
      </c>
      <c r="E62" t="str">
        <f>IF(COUNTIF(Sheet3!E:E,Dash!B62)&gt;0,"Sim","Não")</f>
        <v>Não</v>
      </c>
      <c r="F62" s="2">
        <f>SUMIFS('NF-e de Entrada'!E:E,'NF-e de Entrada'!A:A,Dash!B62,'NF-e de Entrada'!F:F,"Autorizada")</f>
        <v>0</v>
      </c>
      <c r="G62" s="2">
        <f>SUMIFS('NF-e de Entrada'!E:E,'NF-e de Entrada'!A:A,Dash!B62,'NF-e de Entrada'!F:F,"Cancelada")</f>
        <v>0</v>
      </c>
      <c r="H62" s="2">
        <f>SUMIFS('NF-e de Saída'!E:E,'NF-e de Saída'!A:A,Dash!B62,'NF-e de Saída'!F:F,"AUTORIZADA")</f>
        <v>0</v>
      </c>
      <c r="I62" s="2">
        <f>SUMIFS('NF-e de Saída'!E:E,'NF-e de Saída'!A:A,Dash!B62,'NF-e de Saída'!F:F,"CANCELADA")</f>
        <v>0</v>
      </c>
    </row>
    <row r="63" spans="2:9" x14ac:dyDescent="0.3">
      <c r="B63">
        <v>151</v>
      </c>
      <c r="C63" t="s">
        <v>2861</v>
      </c>
      <c r="D63" t="s">
        <v>3428</v>
      </c>
      <c r="E63" t="str">
        <f>IF(COUNTIF(Sheet3!E:E,Dash!B63)&gt;0,"Sim","Não")</f>
        <v>Não</v>
      </c>
      <c r="F63" s="2">
        <f>SUMIFS('NF-e de Entrada'!E:E,'NF-e de Entrada'!A:A,Dash!B63,'NF-e de Entrada'!F:F,"Autorizada")</f>
        <v>0</v>
      </c>
      <c r="G63" s="2">
        <f>SUMIFS('NF-e de Entrada'!E:E,'NF-e de Entrada'!A:A,Dash!B63,'NF-e de Entrada'!F:F,"Cancelada")</f>
        <v>0</v>
      </c>
      <c r="H63" s="2">
        <f>SUMIFS('NF-e de Saída'!E:E,'NF-e de Saída'!A:A,Dash!B63,'NF-e de Saída'!F:F,"AUTORIZADA")</f>
        <v>0</v>
      </c>
      <c r="I63" s="2">
        <f>SUMIFS('NF-e de Saída'!E:E,'NF-e de Saída'!A:A,Dash!B63,'NF-e de Saída'!F:F,"CANCELADA")</f>
        <v>0</v>
      </c>
    </row>
    <row r="64" spans="2:9" x14ac:dyDescent="0.3">
      <c r="B64">
        <v>152</v>
      </c>
      <c r="C64" t="s">
        <v>2862</v>
      </c>
      <c r="D64" t="s">
        <v>3429</v>
      </c>
      <c r="E64" t="str">
        <f>IF(COUNTIF(Sheet3!E:E,Dash!B64)&gt;0,"Sim","Não")</f>
        <v>Sim</v>
      </c>
      <c r="F64" s="2">
        <f>SUMIFS('NF-e de Entrada'!E:E,'NF-e de Entrada'!A:A,Dash!B64,'NF-e de Entrada'!F:F,"Autorizada")</f>
        <v>0</v>
      </c>
      <c r="G64" s="2">
        <f>SUMIFS('NF-e de Entrada'!E:E,'NF-e de Entrada'!A:A,Dash!B64,'NF-e de Entrada'!F:F,"Cancelada")</f>
        <v>0</v>
      </c>
      <c r="H64" s="2">
        <f>SUMIFS('NF-e de Saída'!E:E,'NF-e de Saída'!A:A,Dash!B64,'NF-e de Saída'!F:F,"AUTORIZADA")</f>
        <v>0</v>
      </c>
      <c r="I64" s="2">
        <f>SUMIFS('NF-e de Saída'!E:E,'NF-e de Saída'!A:A,Dash!B64,'NF-e de Saída'!F:F,"CANCELADA")</f>
        <v>0</v>
      </c>
    </row>
    <row r="65" spans="2:9" x14ac:dyDescent="0.3">
      <c r="B65">
        <v>154</v>
      </c>
      <c r="C65" t="s">
        <v>2863</v>
      </c>
      <c r="D65" t="s">
        <v>2523</v>
      </c>
      <c r="E65" t="str">
        <f>IF(COUNTIF(Sheet3!E:E,Dash!B65)&gt;0,"Sim","Não")</f>
        <v>Sim</v>
      </c>
      <c r="F65" s="2">
        <f>SUMIFS('NF-e de Entrada'!E:E,'NF-e de Entrada'!A:A,Dash!B65,'NF-e de Entrada'!F:F,"Autorizada")</f>
        <v>982899.96000000031</v>
      </c>
      <c r="G65" s="2">
        <f>SUMIFS('NF-e de Entrada'!E:E,'NF-e de Entrada'!A:A,Dash!B65,'NF-e de Entrada'!F:F,"Cancelada")</f>
        <v>15314.34</v>
      </c>
      <c r="H65" s="2">
        <f>SUMIFS('NF-e de Saída'!E:E,'NF-e de Saída'!A:A,Dash!B65,'NF-e de Saída'!F:F,"AUTORIZADA")</f>
        <v>0</v>
      </c>
      <c r="I65" s="2">
        <f>SUMIFS('NF-e de Saída'!E:E,'NF-e de Saída'!A:A,Dash!B65,'NF-e de Saída'!F:F,"CANCELADA")</f>
        <v>0</v>
      </c>
    </row>
    <row r="66" spans="2:9" x14ac:dyDescent="0.3">
      <c r="B66">
        <v>156</v>
      </c>
      <c r="C66" t="s">
        <v>2864</v>
      </c>
      <c r="D66" t="s">
        <v>3430</v>
      </c>
      <c r="E66" t="str">
        <f>IF(COUNTIF(Sheet3!E:E,Dash!B66)&gt;0,"Sim","Não")</f>
        <v>Não</v>
      </c>
      <c r="F66" s="2">
        <f>SUMIFS('NF-e de Entrada'!E:E,'NF-e de Entrada'!A:A,Dash!B66,'NF-e de Entrada'!F:F,"Autorizada")</f>
        <v>0</v>
      </c>
      <c r="G66" s="2">
        <f>SUMIFS('NF-e de Entrada'!E:E,'NF-e de Entrada'!A:A,Dash!B66,'NF-e de Entrada'!F:F,"Cancelada")</f>
        <v>0</v>
      </c>
      <c r="H66" s="2">
        <f>SUMIFS('NF-e de Saída'!E:E,'NF-e de Saída'!A:A,Dash!B66,'NF-e de Saída'!F:F,"AUTORIZADA")</f>
        <v>0</v>
      </c>
      <c r="I66" s="2">
        <f>SUMIFS('NF-e de Saída'!E:E,'NF-e de Saída'!A:A,Dash!B66,'NF-e de Saída'!F:F,"CANCELADA")</f>
        <v>0</v>
      </c>
    </row>
    <row r="67" spans="2:9" x14ac:dyDescent="0.3">
      <c r="B67">
        <v>157</v>
      </c>
      <c r="C67" t="s">
        <v>2865</v>
      </c>
      <c r="D67" t="s">
        <v>2523</v>
      </c>
      <c r="E67" t="str">
        <f>IF(COUNTIF(Sheet3!E:E,Dash!B67)&gt;0,"Sim","Não")</f>
        <v>Sim</v>
      </c>
      <c r="F67" s="2">
        <f>SUMIFS('NF-e de Entrada'!E:E,'NF-e de Entrada'!A:A,Dash!B67,'NF-e de Entrada'!F:F,"Autorizada")</f>
        <v>0</v>
      </c>
      <c r="G67" s="2">
        <f>SUMIFS('NF-e de Entrada'!E:E,'NF-e de Entrada'!A:A,Dash!B67,'NF-e de Entrada'!F:F,"Cancelada")</f>
        <v>0</v>
      </c>
      <c r="H67" s="2">
        <f>SUMIFS('NF-e de Saída'!E:E,'NF-e de Saída'!A:A,Dash!B67,'NF-e de Saída'!F:F,"AUTORIZADA")</f>
        <v>0</v>
      </c>
      <c r="I67" s="2">
        <f>SUMIFS('NF-e de Saída'!E:E,'NF-e de Saída'!A:A,Dash!B67,'NF-e de Saída'!F:F,"CANCELADA")</f>
        <v>0</v>
      </c>
    </row>
    <row r="68" spans="2:9" x14ac:dyDescent="0.3">
      <c r="B68">
        <v>158</v>
      </c>
      <c r="C68" t="s">
        <v>2866</v>
      </c>
      <c r="D68" t="s">
        <v>2523</v>
      </c>
      <c r="E68" t="str">
        <f>IF(COUNTIF(Sheet3!E:E,Dash!B68)&gt;0,"Sim","Não")</f>
        <v>Sim</v>
      </c>
      <c r="F68" s="2">
        <f>SUMIFS('NF-e de Entrada'!E:E,'NF-e de Entrada'!A:A,Dash!B68,'NF-e de Entrada'!F:F,"Autorizada")</f>
        <v>0</v>
      </c>
      <c r="G68" s="2">
        <f>SUMIFS('NF-e de Entrada'!E:E,'NF-e de Entrada'!A:A,Dash!B68,'NF-e de Entrada'!F:F,"Cancelada")</f>
        <v>0</v>
      </c>
      <c r="H68" s="2">
        <f>SUMIFS('NF-e de Saída'!E:E,'NF-e de Saída'!A:A,Dash!B68,'NF-e de Saída'!F:F,"AUTORIZADA")</f>
        <v>0</v>
      </c>
      <c r="I68" s="2">
        <f>SUMIFS('NF-e de Saída'!E:E,'NF-e de Saída'!A:A,Dash!B68,'NF-e de Saída'!F:F,"CANCELADA")</f>
        <v>0</v>
      </c>
    </row>
    <row r="69" spans="2:9" x14ac:dyDescent="0.3">
      <c r="B69">
        <v>159</v>
      </c>
      <c r="C69" t="s">
        <v>2867</v>
      </c>
      <c r="D69" t="s">
        <v>3431</v>
      </c>
      <c r="E69" t="str">
        <f>IF(COUNTIF(Sheet3!E:E,Dash!B69)&gt;0,"Sim","Não")</f>
        <v>Sim</v>
      </c>
      <c r="F69" s="2">
        <f>SUMIFS('NF-e de Entrada'!E:E,'NF-e de Entrada'!A:A,Dash!B69,'NF-e de Entrada'!F:F,"Autorizada")</f>
        <v>0</v>
      </c>
      <c r="G69" s="2">
        <f>SUMIFS('NF-e de Entrada'!E:E,'NF-e de Entrada'!A:A,Dash!B69,'NF-e de Entrada'!F:F,"Cancelada")</f>
        <v>0</v>
      </c>
      <c r="H69" s="2">
        <f>SUMIFS('NF-e de Saída'!E:E,'NF-e de Saída'!A:A,Dash!B69,'NF-e de Saída'!F:F,"AUTORIZADA")</f>
        <v>0</v>
      </c>
      <c r="I69" s="2">
        <f>SUMIFS('NF-e de Saída'!E:E,'NF-e de Saída'!A:A,Dash!B69,'NF-e de Saída'!F:F,"CANCELADA")</f>
        <v>0</v>
      </c>
    </row>
    <row r="70" spans="2:9" x14ac:dyDescent="0.3">
      <c r="B70">
        <v>161</v>
      </c>
      <c r="C70" t="s">
        <v>2868</v>
      </c>
      <c r="D70" t="s">
        <v>3432</v>
      </c>
      <c r="E70" t="str">
        <f>IF(COUNTIF(Sheet3!E:E,Dash!B70)&gt;0,"Sim","Não")</f>
        <v>Não</v>
      </c>
      <c r="F70" s="2">
        <f>SUMIFS('NF-e de Entrada'!E:E,'NF-e de Entrada'!A:A,Dash!B70,'NF-e de Entrada'!F:F,"Autorizada")</f>
        <v>0</v>
      </c>
      <c r="G70" s="2">
        <f>SUMIFS('NF-e de Entrada'!E:E,'NF-e de Entrada'!A:A,Dash!B70,'NF-e de Entrada'!F:F,"Cancelada")</f>
        <v>0</v>
      </c>
      <c r="H70" s="2">
        <f>SUMIFS('NF-e de Saída'!E:E,'NF-e de Saída'!A:A,Dash!B70,'NF-e de Saída'!F:F,"AUTORIZADA")</f>
        <v>0</v>
      </c>
      <c r="I70" s="2">
        <f>SUMIFS('NF-e de Saída'!E:E,'NF-e de Saída'!A:A,Dash!B70,'NF-e de Saída'!F:F,"CANCELADA")</f>
        <v>0</v>
      </c>
    </row>
    <row r="71" spans="2:9" x14ac:dyDescent="0.3">
      <c r="B71">
        <v>163</v>
      </c>
      <c r="C71" t="s">
        <v>2869</v>
      </c>
      <c r="D71" t="s">
        <v>3433</v>
      </c>
      <c r="E71" t="str">
        <f>IF(COUNTIF(Sheet3!E:E,Dash!B71)&gt;0,"Sim","Não")</f>
        <v>Não</v>
      </c>
      <c r="F71" s="2">
        <f>SUMIFS('NF-e de Entrada'!E:E,'NF-e de Entrada'!A:A,Dash!B71,'NF-e de Entrada'!F:F,"Autorizada")</f>
        <v>0</v>
      </c>
      <c r="G71" s="2">
        <f>SUMIFS('NF-e de Entrada'!E:E,'NF-e de Entrada'!A:A,Dash!B71,'NF-e de Entrada'!F:F,"Cancelada")</f>
        <v>0</v>
      </c>
      <c r="H71" s="2">
        <f>SUMIFS('NF-e de Saída'!E:E,'NF-e de Saída'!A:A,Dash!B71,'NF-e de Saída'!F:F,"AUTORIZADA")</f>
        <v>0</v>
      </c>
      <c r="I71" s="2">
        <f>SUMIFS('NF-e de Saída'!E:E,'NF-e de Saída'!A:A,Dash!B71,'NF-e de Saída'!F:F,"CANCELADA")</f>
        <v>0</v>
      </c>
    </row>
    <row r="72" spans="2:9" x14ac:dyDescent="0.3">
      <c r="B72">
        <v>165</v>
      </c>
      <c r="C72" t="s">
        <v>2870</v>
      </c>
      <c r="D72" t="s">
        <v>2782</v>
      </c>
      <c r="E72" t="str">
        <f>IF(COUNTIF(Sheet3!E:E,Dash!B72)&gt;0,"Sim","Não")</f>
        <v>Sim</v>
      </c>
      <c r="F72" s="2">
        <f>SUMIFS('NF-e de Entrada'!E:E,'NF-e de Entrada'!A:A,Dash!B72,'NF-e de Entrada'!F:F,"Autorizada")</f>
        <v>0</v>
      </c>
      <c r="G72" s="2">
        <f>SUMIFS('NF-e de Entrada'!E:E,'NF-e de Entrada'!A:A,Dash!B72,'NF-e de Entrada'!F:F,"Cancelada")</f>
        <v>0</v>
      </c>
      <c r="H72" s="2">
        <f>SUMIFS('NF-e de Saída'!E:E,'NF-e de Saída'!A:A,Dash!B72,'NF-e de Saída'!F:F,"AUTORIZADA")</f>
        <v>0</v>
      </c>
      <c r="I72" s="2">
        <f>SUMIFS('NF-e de Saída'!E:E,'NF-e de Saída'!A:A,Dash!B72,'NF-e de Saída'!F:F,"CANCELADA")</f>
        <v>0</v>
      </c>
    </row>
    <row r="73" spans="2:9" x14ac:dyDescent="0.3">
      <c r="B73">
        <v>168</v>
      </c>
      <c r="C73" t="s">
        <v>2871</v>
      </c>
      <c r="D73" t="s">
        <v>2767</v>
      </c>
      <c r="E73" t="str">
        <f>IF(COUNTIF(Sheet3!E:E,Dash!B73)&gt;0,"Sim","Não")</f>
        <v>Sim</v>
      </c>
      <c r="F73" s="2">
        <f>SUMIFS('NF-e de Entrada'!E:E,'NF-e de Entrada'!A:A,Dash!B73,'NF-e de Entrada'!F:F,"Autorizada")</f>
        <v>0</v>
      </c>
      <c r="G73" s="2">
        <f>SUMIFS('NF-e de Entrada'!E:E,'NF-e de Entrada'!A:A,Dash!B73,'NF-e de Entrada'!F:F,"Cancelada")</f>
        <v>0</v>
      </c>
      <c r="H73" s="2">
        <f>SUMIFS('NF-e de Saída'!E:E,'NF-e de Saída'!A:A,Dash!B73,'NF-e de Saída'!F:F,"AUTORIZADA")</f>
        <v>0</v>
      </c>
      <c r="I73" s="2">
        <f>SUMIFS('NF-e de Saída'!E:E,'NF-e de Saída'!A:A,Dash!B73,'NF-e de Saída'!F:F,"CANCELADA")</f>
        <v>0</v>
      </c>
    </row>
    <row r="74" spans="2:9" x14ac:dyDescent="0.3">
      <c r="B74">
        <v>169</v>
      </c>
      <c r="C74" t="s">
        <v>2872</v>
      </c>
      <c r="D74" t="s">
        <v>3434</v>
      </c>
      <c r="E74" t="str">
        <f>IF(COUNTIF(Sheet3!E:E,Dash!B74)&gt;0,"Sim","Não")</f>
        <v>Não</v>
      </c>
      <c r="F74" s="2">
        <f>SUMIFS('NF-e de Entrada'!E:E,'NF-e de Entrada'!A:A,Dash!B74,'NF-e de Entrada'!F:F,"Autorizada")</f>
        <v>0</v>
      </c>
      <c r="G74" s="2">
        <f>SUMIFS('NF-e de Entrada'!E:E,'NF-e de Entrada'!A:A,Dash!B74,'NF-e de Entrada'!F:F,"Cancelada")</f>
        <v>0</v>
      </c>
      <c r="H74" s="2">
        <f>SUMIFS('NF-e de Saída'!E:E,'NF-e de Saída'!A:A,Dash!B74,'NF-e de Saída'!F:F,"AUTORIZADA")</f>
        <v>0</v>
      </c>
      <c r="I74" s="2">
        <f>SUMIFS('NF-e de Saída'!E:E,'NF-e de Saída'!A:A,Dash!B74,'NF-e de Saída'!F:F,"CANCELADA")</f>
        <v>0</v>
      </c>
    </row>
    <row r="75" spans="2:9" x14ac:dyDescent="0.3">
      <c r="B75">
        <v>171</v>
      </c>
      <c r="C75" t="s">
        <v>2873</v>
      </c>
      <c r="D75" t="s">
        <v>3435</v>
      </c>
      <c r="E75" t="str">
        <f>IF(COUNTIF(Sheet3!E:E,Dash!B75)&gt;0,"Sim","Não")</f>
        <v>Não</v>
      </c>
      <c r="F75" s="2">
        <f>SUMIFS('NF-e de Entrada'!E:E,'NF-e de Entrada'!A:A,Dash!B75,'NF-e de Entrada'!F:F,"Autorizada")</f>
        <v>0</v>
      </c>
      <c r="G75" s="2">
        <f>SUMIFS('NF-e de Entrada'!E:E,'NF-e de Entrada'!A:A,Dash!B75,'NF-e de Entrada'!F:F,"Cancelada")</f>
        <v>0</v>
      </c>
      <c r="H75" s="2">
        <f>SUMIFS('NF-e de Saída'!E:E,'NF-e de Saída'!A:A,Dash!B75,'NF-e de Saída'!F:F,"AUTORIZADA")</f>
        <v>0</v>
      </c>
      <c r="I75" s="2">
        <f>SUMIFS('NF-e de Saída'!E:E,'NF-e de Saída'!A:A,Dash!B75,'NF-e de Saída'!F:F,"CANCELADA")</f>
        <v>0</v>
      </c>
    </row>
    <row r="76" spans="2:9" x14ac:dyDescent="0.3">
      <c r="B76">
        <v>173</v>
      </c>
      <c r="C76" t="s">
        <v>2874</v>
      </c>
      <c r="D76" t="s">
        <v>3436</v>
      </c>
      <c r="E76" t="str">
        <f>IF(COUNTIF(Sheet3!E:E,Dash!B76)&gt;0,"Sim","Não")</f>
        <v>Sim</v>
      </c>
      <c r="F76" s="2">
        <f>SUMIFS('NF-e de Entrada'!E:E,'NF-e de Entrada'!A:A,Dash!B76,'NF-e de Entrada'!F:F,"Autorizada")</f>
        <v>0</v>
      </c>
      <c r="G76" s="2">
        <f>SUMIFS('NF-e de Entrada'!E:E,'NF-e de Entrada'!A:A,Dash!B76,'NF-e de Entrada'!F:F,"Cancelada")</f>
        <v>0</v>
      </c>
      <c r="H76" s="2">
        <f>SUMIFS('NF-e de Saída'!E:E,'NF-e de Saída'!A:A,Dash!B76,'NF-e de Saída'!F:F,"AUTORIZADA")</f>
        <v>0</v>
      </c>
      <c r="I76" s="2">
        <f>SUMIFS('NF-e de Saída'!E:E,'NF-e de Saída'!A:A,Dash!B76,'NF-e de Saída'!F:F,"CANCELADA")</f>
        <v>0</v>
      </c>
    </row>
    <row r="77" spans="2:9" x14ac:dyDescent="0.3">
      <c r="B77">
        <v>180</v>
      </c>
      <c r="C77" t="s">
        <v>2875</v>
      </c>
      <c r="D77" t="s">
        <v>3437</v>
      </c>
      <c r="E77" t="str">
        <f>IF(COUNTIF(Sheet3!E:E,Dash!B77)&gt;0,"Sim","Não")</f>
        <v>Não</v>
      </c>
      <c r="F77" s="2">
        <f>SUMIFS('NF-e de Entrada'!E:E,'NF-e de Entrada'!A:A,Dash!B77,'NF-e de Entrada'!F:F,"Autorizada")</f>
        <v>0</v>
      </c>
      <c r="G77" s="2">
        <f>SUMIFS('NF-e de Entrada'!E:E,'NF-e de Entrada'!A:A,Dash!B77,'NF-e de Entrada'!F:F,"Cancelada")</f>
        <v>0</v>
      </c>
      <c r="H77" s="2">
        <f>SUMIFS('NF-e de Saída'!E:E,'NF-e de Saída'!A:A,Dash!B77,'NF-e de Saída'!F:F,"AUTORIZADA")</f>
        <v>0</v>
      </c>
      <c r="I77" s="2">
        <f>SUMIFS('NF-e de Saída'!E:E,'NF-e de Saída'!A:A,Dash!B77,'NF-e de Saída'!F:F,"CANCELADA")</f>
        <v>0</v>
      </c>
    </row>
    <row r="78" spans="2:9" x14ac:dyDescent="0.3">
      <c r="B78">
        <v>181</v>
      </c>
      <c r="C78" t="s">
        <v>2876</v>
      </c>
      <c r="D78" t="s">
        <v>3438</v>
      </c>
      <c r="E78" t="str">
        <f>IF(COUNTIF(Sheet3!E:E,Dash!B78)&gt;0,"Sim","Não")</f>
        <v>Sim</v>
      </c>
      <c r="F78" s="2">
        <f>SUMIFS('NF-e de Entrada'!E:E,'NF-e de Entrada'!A:A,Dash!B78,'NF-e de Entrada'!F:F,"Autorizada")</f>
        <v>0</v>
      </c>
      <c r="G78" s="2">
        <f>SUMIFS('NF-e de Entrada'!E:E,'NF-e de Entrada'!A:A,Dash!B78,'NF-e de Entrada'!F:F,"Cancelada")</f>
        <v>0</v>
      </c>
      <c r="H78" s="2">
        <f>SUMIFS('NF-e de Saída'!E:E,'NF-e de Saída'!A:A,Dash!B78,'NF-e de Saída'!F:F,"AUTORIZADA")</f>
        <v>0</v>
      </c>
      <c r="I78" s="2">
        <f>SUMIFS('NF-e de Saída'!E:E,'NF-e de Saída'!A:A,Dash!B78,'NF-e de Saída'!F:F,"CANCELADA")</f>
        <v>0</v>
      </c>
    </row>
    <row r="79" spans="2:9" x14ac:dyDescent="0.3">
      <c r="B79">
        <v>182</v>
      </c>
      <c r="C79" t="s">
        <v>2877</v>
      </c>
      <c r="D79" t="s">
        <v>3439</v>
      </c>
      <c r="E79" t="str">
        <f>IF(COUNTIF(Sheet3!E:E,Dash!B79)&gt;0,"Sim","Não")</f>
        <v>Sim</v>
      </c>
      <c r="F79" s="2">
        <f>SUMIFS('NF-e de Entrada'!E:E,'NF-e de Entrada'!A:A,Dash!B79,'NF-e de Entrada'!F:F,"Autorizada")</f>
        <v>0</v>
      </c>
      <c r="G79" s="2">
        <f>SUMIFS('NF-e de Entrada'!E:E,'NF-e de Entrada'!A:A,Dash!B79,'NF-e de Entrada'!F:F,"Cancelada")</f>
        <v>0</v>
      </c>
      <c r="H79" s="2">
        <f>SUMIFS('NF-e de Saída'!E:E,'NF-e de Saída'!A:A,Dash!B79,'NF-e de Saída'!F:F,"AUTORIZADA")</f>
        <v>0</v>
      </c>
      <c r="I79" s="2">
        <f>SUMIFS('NF-e de Saída'!E:E,'NF-e de Saída'!A:A,Dash!B79,'NF-e de Saída'!F:F,"CANCELADA")</f>
        <v>0</v>
      </c>
    </row>
    <row r="80" spans="2:9" x14ac:dyDescent="0.3">
      <c r="B80">
        <v>184</v>
      </c>
      <c r="C80" t="s">
        <v>2878</v>
      </c>
      <c r="D80" t="s">
        <v>3440</v>
      </c>
      <c r="E80" t="str">
        <f>IF(COUNTIF(Sheet3!E:E,Dash!B80)&gt;0,"Sim","Não")</f>
        <v>Não</v>
      </c>
      <c r="F80" s="2">
        <f>SUMIFS('NF-e de Entrada'!E:E,'NF-e de Entrada'!A:A,Dash!B80,'NF-e de Entrada'!F:F,"Autorizada")</f>
        <v>0</v>
      </c>
      <c r="G80" s="2">
        <f>SUMIFS('NF-e de Entrada'!E:E,'NF-e de Entrada'!A:A,Dash!B80,'NF-e de Entrada'!F:F,"Cancelada")</f>
        <v>0</v>
      </c>
      <c r="H80" s="2">
        <f>SUMIFS('NF-e de Saída'!E:E,'NF-e de Saída'!A:A,Dash!B80,'NF-e de Saída'!F:F,"AUTORIZADA")</f>
        <v>0</v>
      </c>
      <c r="I80" s="2">
        <f>SUMIFS('NF-e de Saída'!E:E,'NF-e de Saída'!A:A,Dash!B80,'NF-e de Saída'!F:F,"CANCELADA")</f>
        <v>0</v>
      </c>
    </row>
    <row r="81" spans="2:9" x14ac:dyDescent="0.3">
      <c r="B81">
        <v>185</v>
      </c>
      <c r="C81" t="s">
        <v>2879</v>
      </c>
      <c r="D81" t="s">
        <v>3441</v>
      </c>
      <c r="E81" t="str">
        <f>IF(COUNTIF(Sheet3!E:E,Dash!B81)&gt;0,"Sim","Não")</f>
        <v>Não</v>
      </c>
      <c r="F81" s="2">
        <f>SUMIFS('NF-e de Entrada'!E:E,'NF-e de Entrada'!A:A,Dash!B81,'NF-e de Entrada'!F:F,"Autorizada")</f>
        <v>0</v>
      </c>
      <c r="G81" s="2">
        <f>SUMIFS('NF-e de Entrada'!E:E,'NF-e de Entrada'!A:A,Dash!B81,'NF-e de Entrada'!F:F,"Cancelada")</f>
        <v>0</v>
      </c>
      <c r="H81" s="2">
        <f>SUMIFS('NF-e de Saída'!E:E,'NF-e de Saída'!A:A,Dash!B81,'NF-e de Saída'!F:F,"AUTORIZADA")</f>
        <v>0</v>
      </c>
      <c r="I81" s="2">
        <f>SUMIFS('NF-e de Saída'!E:E,'NF-e de Saída'!A:A,Dash!B81,'NF-e de Saída'!F:F,"CANCELADA")</f>
        <v>0</v>
      </c>
    </row>
    <row r="82" spans="2:9" x14ac:dyDescent="0.3">
      <c r="B82">
        <v>187</v>
      </c>
      <c r="C82" t="s">
        <v>2880</v>
      </c>
      <c r="D82" t="s">
        <v>2686</v>
      </c>
      <c r="E82" t="str">
        <f>IF(COUNTIF(Sheet3!E:E,Dash!B82)&gt;0,"Sim","Não")</f>
        <v>Sim</v>
      </c>
      <c r="F82" s="2">
        <f>SUMIFS('NF-e de Entrada'!E:E,'NF-e de Entrada'!A:A,Dash!B82,'NF-e de Entrada'!F:F,"Autorizada")</f>
        <v>0</v>
      </c>
      <c r="G82" s="2">
        <f>SUMIFS('NF-e de Entrada'!E:E,'NF-e de Entrada'!A:A,Dash!B82,'NF-e de Entrada'!F:F,"Cancelada")</f>
        <v>0</v>
      </c>
      <c r="H82" s="2">
        <f>SUMIFS('NF-e de Saída'!E:E,'NF-e de Saída'!A:A,Dash!B82,'NF-e de Saída'!F:F,"AUTORIZADA")</f>
        <v>0</v>
      </c>
      <c r="I82" s="2">
        <f>SUMIFS('NF-e de Saída'!E:E,'NF-e de Saída'!A:A,Dash!B82,'NF-e de Saída'!F:F,"CANCELADA")</f>
        <v>0</v>
      </c>
    </row>
    <row r="83" spans="2:9" x14ac:dyDescent="0.3">
      <c r="B83">
        <v>188</v>
      </c>
      <c r="C83" t="s">
        <v>2881</v>
      </c>
      <c r="D83" t="s">
        <v>2621</v>
      </c>
      <c r="E83" t="str">
        <f>IF(COUNTIF(Sheet3!E:E,Dash!B83)&gt;0,"Sim","Não")</f>
        <v>Sim</v>
      </c>
      <c r="F83" s="2">
        <f>SUMIFS('NF-e de Entrada'!E:E,'NF-e de Entrada'!A:A,Dash!B83,'NF-e de Entrada'!F:F,"Autorizada")</f>
        <v>0</v>
      </c>
      <c r="G83" s="2">
        <f>SUMIFS('NF-e de Entrada'!E:E,'NF-e de Entrada'!A:A,Dash!B83,'NF-e de Entrada'!F:F,"Cancelada")</f>
        <v>0</v>
      </c>
      <c r="H83" s="2">
        <f>SUMIFS('NF-e de Saída'!E:E,'NF-e de Saída'!A:A,Dash!B83,'NF-e de Saída'!F:F,"AUTORIZADA")</f>
        <v>0</v>
      </c>
      <c r="I83" s="2">
        <f>SUMIFS('NF-e de Saída'!E:E,'NF-e de Saída'!A:A,Dash!B83,'NF-e de Saída'!F:F,"CANCELADA")</f>
        <v>0</v>
      </c>
    </row>
    <row r="84" spans="2:9" x14ac:dyDescent="0.3">
      <c r="B84">
        <v>189</v>
      </c>
      <c r="C84" t="s">
        <v>2882</v>
      </c>
      <c r="D84" t="s">
        <v>3442</v>
      </c>
      <c r="E84" t="str">
        <f>IF(COUNTIF(Sheet3!E:E,Dash!B84)&gt;0,"Sim","Não")</f>
        <v>Não</v>
      </c>
      <c r="F84" s="2">
        <f>SUMIFS('NF-e de Entrada'!E:E,'NF-e de Entrada'!A:A,Dash!B84,'NF-e de Entrada'!F:F,"Autorizada")</f>
        <v>0</v>
      </c>
      <c r="G84" s="2">
        <f>SUMIFS('NF-e de Entrada'!E:E,'NF-e de Entrada'!A:A,Dash!B84,'NF-e de Entrada'!F:F,"Cancelada")</f>
        <v>0</v>
      </c>
      <c r="H84" s="2">
        <f>SUMIFS('NF-e de Saída'!E:E,'NF-e de Saída'!A:A,Dash!B84,'NF-e de Saída'!F:F,"AUTORIZADA")</f>
        <v>0</v>
      </c>
      <c r="I84" s="2">
        <f>SUMIFS('NF-e de Saída'!E:E,'NF-e de Saída'!A:A,Dash!B84,'NF-e de Saída'!F:F,"CANCELADA")</f>
        <v>0</v>
      </c>
    </row>
    <row r="85" spans="2:9" x14ac:dyDescent="0.3">
      <c r="B85">
        <v>190</v>
      </c>
      <c r="C85" t="s">
        <v>2883</v>
      </c>
      <c r="D85" t="s">
        <v>3443</v>
      </c>
      <c r="E85" t="str">
        <f>IF(COUNTIF(Sheet3!E:E,Dash!B85)&gt;0,"Sim","Não")</f>
        <v>Não</v>
      </c>
      <c r="F85" s="2">
        <f>SUMIFS('NF-e de Entrada'!E:E,'NF-e de Entrada'!A:A,Dash!B85,'NF-e de Entrada'!F:F,"Autorizada")</f>
        <v>0</v>
      </c>
      <c r="G85" s="2">
        <f>SUMIFS('NF-e de Entrada'!E:E,'NF-e de Entrada'!A:A,Dash!B85,'NF-e de Entrada'!F:F,"Cancelada")</f>
        <v>0</v>
      </c>
      <c r="H85" s="2">
        <f>SUMIFS('NF-e de Saída'!E:E,'NF-e de Saída'!A:A,Dash!B85,'NF-e de Saída'!F:F,"AUTORIZADA")</f>
        <v>0</v>
      </c>
      <c r="I85" s="2">
        <f>SUMIFS('NF-e de Saída'!E:E,'NF-e de Saída'!A:A,Dash!B85,'NF-e de Saída'!F:F,"CANCELADA")</f>
        <v>0</v>
      </c>
    </row>
    <row r="86" spans="2:9" x14ac:dyDescent="0.3">
      <c r="B86">
        <v>195</v>
      </c>
      <c r="C86" t="s">
        <v>2884</v>
      </c>
      <c r="D86" t="s">
        <v>3444</v>
      </c>
      <c r="E86" t="str">
        <f>IF(COUNTIF(Sheet3!E:E,Dash!B86)&gt;0,"Sim","Não")</f>
        <v>Sim</v>
      </c>
      <c r="F86" s="2">
        <f>SUMIFS('NF-e de Entrada'!E:E,'NF-e de Entrada'!A:A,Dash!B86,'NF-e de Entrada'!F:F,"Autorizada")</f>
        <v>0</v>
      </c>
      <c r="G86" s="2">
        <f>SUMIFS('NF-e de Entrada'!E:E,'NF-e de Entrada'!A:A,Dash!B86,'NF-e de Entrada'!F:F,"Cancelada")</f>
        <v>0</v>
      </c>
      <c r="H86" s="2">
        <f>SUMIFS('NF-e de Saída'!E:E,'NF-e de Saída'!A:A,Dash!B86,'NF-e de Saída'!F:F,"AUTORIZADA")</f>
        <v>0</v>
      </c>
      <c r="I86" s="2">
        <f>SUMIFS('NF-e de Saída'!E:E,'NF-e de Saída'!A:A,Dash!B86,'NF-e de Saída'!F:F,"CANCELADA")</f>
        <v>0</v>
      </c>
    </row>
    <row r="87" spans="2:9" x14ac:dyDescent="0.3">
      <c r="B87">
        <v>197</v>
      </c>
      <c r="C87" t="s">
        <v>2885</v>
      </c>
      <c r="D87" t="s">
        <v>3445</v>
      </c>
      <c r="E87" t="str">
        <f>IF(COUNTIF(Sheet3!E:E,Dash!B87)&gt;0,"Sim","Não")</f>
        <v>Não</v>
      </c>
      <c r="F87" s="2">
        <f>SUMIFS('NF-e de Entrada'!E:E,'NF-e de Entrada'!A:A,Dash!B87,'NF-e de Entrada'!F:F,"Autorizada")</f>
        <v>0</v>
      </c>
      <c r="G87" s="2">
        <f>SUMIFS('NF-e de Entrada'!E:E,'NF-e de Entrada'!A:A,Dash!B87,'NF-e de Entrada'!F:F,"Cancelada")</f>
        <v>0</v>
      </c>
      <c r="H87" s="2">
        <f>SUMIFS('NF-e de Saída'!E:E,'NF-e de Saída'!A:A,Dash!B87,'NF-e de Saída'!F:F,"AUTORIZADA")</f>
        <v>0</v>
      </c>
      <c r="I87" s="2">
        <f>SUMIFS('NF-e de Saída'!E:E,'NF-e de Saída'!A:A,Dash!B87,'NF-e de Saída'!F:F,"CANCELADA")</f>
        <v>0</v>
      </c>
    </row>
    <row r="88" spans="2:9" x14ac:dyDescent="0.3">
      <c r="B88">
        <v>200</v>
      </c>
      <c r="C88" t="s">
        <v>2886</v>
      </c>
      <c r="D88" t="s">
        <v>3446</v>
      </c>
      <c r="E88" t="str">
        <f>IF(COUNTIF(Sheet3!E:E,Dash!B88)&gt;0,"Sim","Não")</f>
        <v>Não</v>
      </c>
      <c r="F88" s="2">
        <f>SUMIFS('NF-e de Entrada'!E:E,'NF-e de Entrada'!A:A,Dash!B88,'NF-e de Entrada'!F:F,"Autorizada")</f>
        <v>0</v>
      </c>
      <c r="G88" s="2">
        <f>SUMIFS('NF-e de Entrada'!E:E,'NF-e de Entrada'!A:A,Dash!B88,'NF-e de Entrada'!F:F,"Cancelada")</f>
        <v>0</v>
      </c>
      <c r="H88" s="2">
        <f>SUMIFS('NF-e de Saída'!E:E,'NF-e de Saída'!A:A,Dash!B88,'NF-e de Saída'!F:F,"AUTORIZADA")</f>
        <v>0</v>
      </c>
      <c r="I88" s="2">
        <f>SUMIFS('NF-e de Saída'!E:E,'NF-e de Saída'!A:A,Dash!B88,'NF-e de Saída'!F:F,"CANCELADA")</f>
        <v>0</v>
      </c>
    </row>
    <row r="89" spans="2:9" x14ac:dyDescent="0.3">
      <c r="B89">
        <v>201</v>
      </c>
      <c r="C89" t="s">
        <v>2887</v>
      </c>
      <c r="D89" t="s">
        <v>3447</v>
      </c>
      <c r="E89" t="str">
        <f>IF(COUNTIF(Sheet3!E:E,Dash!B89)&gt;0,"Sim","Não")</f>
        <v>Não</v>
      </c>
      <c r="F89" s="2">
        <f>SUMIFS('NF-e de Entrada'!E:E,'NF-e de Entrada'!A:A,Dash!B89,'NF-e de Entrada'!F:F,"Autorizada")</f>
        <v>0</v>
      </c>
      <c r="G89" s="2">
        <f>SUMIFS('NF-e de Entrada'!E:E,'NF-e de Entrada'!A:A,Dash!B89,'NF-e de Entrada'!F:F,"Cancelada")</f>
        <v>0</v>
      </c>
      <c r="H89" s="2">
        <f>SUMIFS('NF-e de Saída'!E:E,'NF-e de Saída'!A:A,Dash!B89,'NF-e de Saída'!F:F,"AUTORIZADA")</f>
        <v>0</v>
      </c>
      <c r="I89" s="2">
        <f>SUMIFS('NF-e de Saída'!E:E,'NF-e de Saída'!A:A,Dash!B89,'NF-e de Saída'!F:F,"CANCELADA")</f>
        <v>0</v>
      </c>
    </row>
    <row r="90" spans="2:9" x14ac:dyDescent="0.3">
      <c r="B90">
        <v>204</v>
      </c>
      <c r="C90" t="s">
        <v>2888</v>
      </c>
      <c r="D90" t="s">
        <v>2466</v>
      </c>
      <c r="E90" t="str">
        <f>IF(COUNTIF(Sheet3!E:E,Dash!B90)&gt;0,"Sim","Não")</f>
        <v>Sim</v>
      </c>
      <c r="F90" s="2">
        <f>SUMIFS('NF-e de Entrada'!E:E,'NF-e de Entrada'!A:A,Dash!B90,'NF-e de Entrada'!F:F,"Autorizada")</f>
        <v>5334.5300000000007</v>
      </c>
      <c r="G90" s="2">
        <f>SUMIFS('NF-e de Entrada'!E:E,'NF-e de Entrada'!A:A,Dash!B90,'NF-e de Entrada'!F:F,"Cancelada")</f>
        <v>0</v>
      </c>
      <c r="H90" s="2">
        <f>SUMIFS('NF-e de Saída'!E:E,'NF-e de Saída'!A:A,Dash!B90,'NF-e de Saída'!F:F,"AUTORIZADA")</f>
        <v>7214.59</v>
      </c>
      <c r="I90" s="2">
        <f>SUMIFS('NF-e de Saída'!E:E,'NF-e de Saída'!A:A,Dash!B90,'NF-e de Saída'!F:F,"CANCELADA")</f>
        <v>2364.9299999999998</v>
      </c>
    </row>
    <row r="91" spans="2:9" x14ac:dyDescent="0.3">
      <c r="B91">
        <v>205</v>
      </c>
      <c r="C91" t="s">
        <v>2889</v>
      </c>
      <c r="D91" t="s">
        <v>3448</v>
      </c>
      <c r="E91" t="str">
        <f>IF(COUNTIF(Sheet3!E:E,Dash!B91)&gt;0,"Sim","Não")</f>
        <v>Não</v>
      </c>
      <c r="F91" s="2">
        <f>SUMIFS('NF-e de Entrada'!E:E,'NF-e de Entrada'!A:A,Dash!B91,'NF-e de Entrada'!F:F,"Autorizada")</f>
        <v>0</v>
      </c>
      <c r="G91" s="2">
        <f>SUMIFS('NF-e de Entrada'!E:E,'NF-e de Entrada'!A:A,Dash!B91,'NF-e de Entrada'!F:F,"Cancelada")</f>
        <v>0</v>
      </c>
      <c r="H91" s="2">
        <f>SUMIFS('NF-e de Saída'!E:E,'NF-e de Saída'!A:A,Dash!B91,'NF-e de Saída'!F:F,"AUTORIZADA")</f>
        <v>0</v>
      </c>
      <c r="I91" s="2">
        <f>SUMIFS('NF-e de Saída'!E:E,'NF-e de Saída'!A:A,Dash!B91,'NF-e de Saída'!F:F,"CANCELADA")</f>
        <v>0</v>
      </c>
    </row>
    <row r="92" spans="2:9" x14ac:dyDescent="0.3">
      <c r="B92">
        <v>208</v>
      </c>
      <c r="C92" t="s">
        <v>2890</v>
      </c>
      <c r="D92" t="s">
        <v>2639</v>
      </c>
      <c r="E92" t="str">
        <f>IF(COUNTIF(Sheet3!E:E,Dash!B92)&gt;0,"Sim","Não")</f>
        <v>Sim</v>
      </c>
      <c r="F92" s="2">
        <f>SUMIFS('NF-e de Entrada'!E:E,'NF-e de Entrada'!A:A,Dash!B92,'NF-e de Entrada'!F:F,"Autorizada")</f>
        <v>0</v>
      </c>
      <c r="G92" s="2">
        <f>SUMIFS('NF-e de Entrada'!E:E,'NF-e de Entrada'!A:A,Dash!B92,'NF-e de Entrada'!F:F,"Cancelada")</f>
        <v>0</v>
      </c>
      <c r="H92" s="2">
        <f>SUMIFS('NF-e de Saída'!E:E,'NF-e de Saída'!A:A,Dash!B92,'NF-e de Saída'!F:F,"AUTORIZADA")</f>
        <v>0</v>
      </c>
      <c r="I92" s="2">
        <f>SUMIFS('NF-e de Saída'!E:E,'NF-e de Saída'!A:A,Dash!B92,'NF-e de Saída'!F:F,"CANCELADA")</f>
        <v>0</v>
      </c>
    </row>
    <row r="93" spans="2:9" x14ac:dyDescent="0.3">
      <c r="B93">
        <v>210</v>
      </c>
      <c r="C93" t="s">
        <v>2891</v>
      </c>
      <c r="D93" t="s">
        <v>3449</v>
      </c>
      <c r="E93" t="str">
        <f>IF(COUNTIF(Sheet3!E:E,Dash!B93)&gt;0,"Sim","Não")</f>
        <v>Sim</v>
      </c>
      <c r="F93" s="2">
        <f>SUMIFS('NF-e de Entrada'!E:E,'NF-e de Entrada'!A:A,Dash!B93,'NF-e de Entrada'!F:F,"Autorizada")</f>
        <v>0</v>
      </c>
      <c r="G93" s="2">
        <f>SUMIFS('NF-e de Entrada'!E:E,'NF-e de Entrada'!A:A,Dash!B93,'NF-e de Entrada'!F:F,"Cancelada")</f>
        <v>0</v>
      </c>
      <c r="H93" s="2">
        <f>SUMIFS('NF-e de Saída'!E:E,'NF-e de Saída'!A:A,Dash!B93,'NF-e de Saída'!F:F,"AUTORIZADA")</f>
        <v>0</v>
      </c>
      <c r="I93" s="2">
        <f>SUMIFS('NF-e de Saída'!E:E,'NF-e de Saída'!A:A,Dash!B93,'NF-e de Saída'!F:F,"CANCELADA")</f>
        <v>0</v>
      </c>
    </row>
    <row r="94" spans="2:9" x14ac:dyDescent="0.3">
      <c r="B94">
        <v>216</v>
      </c>
      <c r="C94" t="s">
        <v>2892</v>
      </c>
      <c r="D94" t="s">
        <v>3450</v>
      </c>
      <c r="E94" t="str">
        <f>IF(COUNTIF(Sheet3!E:E,Dash!B94)&gt;0,"Sim","Não")</f>
        <v>Não</v>
      </c>
      <c r="F94" s="2">
        <f>SUMIFS('NF-e de Entrada'!E:E,'NF-e de Entrada'!A:A,Dash!B94,'NF-e de Entrada'!F:F,"Autorizada")</f>
        <v>0</v>
      </c>
      <c r="G94" s="2">
        <f>SUMIFS('NF-e de Entrada'!E:E,'NF-e de Entrada'!A:A,Dash!B94,'NF-e de Entrada'!F:F,"Cancelada")</f>
        <v>0</v>
      </c>
      <c r="H94" s="2">
        <f>SUMIFS('NF-e de Saída'!E:E,'NF-e de Saída'!A:A,Dash!B94,'NF-e de Saída'!F:F,"AUTORIZADA")</f>
        <v>0</v>
      </c>
      <c r="I94" s="2">
        <f>SUMIFS('NF-e de Saída'!E:E,'NF-e de Saída'!A:A,Dash!B94,'NF-e de Saída'!F:F,"CANCELADA")</f>
        <v>0</v>
      </c>
    </row>
    <row r="95" spans="2:9" x14ac:dyDescent="0.3">
      <c r="B95">
        <v>218</v>
      </c>
      <c r="C95" t="s">
        <v>2893</v>
      </c>
      <c r="D95" t="s">
        <v>2544</v>
      </c>
      <c r="E95" t="str">
        <f>IF(COUNTIF(Sheet3!E:E,Dash!B95)&gt;0,"Sim","Não")</f>
        <v>Sim</v>
      </c>
      <c r="F95" s="2">
        <f>SUMIFS('NF-e de Entrada'!E:E,'NF-e de Entrada'!A:A,Dash!B95,'NF-e de Entrada'!F:F,"Autorizada")</f>
        <v>0</v>
      </c>
      <c r="G95" s="2">
        <f>SUMIFS('NF-e de Entrada'!E:E,'NF-e de Entrada'!A:A,Dash!B95,'NF-e de Entrada'!F:F,"Cancelada")</f>
        <v>0</v>
      </c>
      <c r="H95" s="2">
        <f>SUMIFS('NF-e de Saída'!E:E,'NF-e de Saída'!A:A,Dash!B95,'NF-e de Saída'!F:F,"AUTORIZADA")</f>
        <v>0</v>
      </c>
      <c r="I95" s="2">
        <f>SUMIFS('NF-e de Saída'!E:E,'NF-e de Saída'!A:A,Dash!B95,'NF-e de Saída'!F:F,"CANCELADA")</f>
        <v>0</v>
      </c>
    </row>
    <row r="96" spans="2:9" x14ac:dyDescent="0.3">
      <c r="B96">
        <v>219</v>
      </c>
      <c r="C96" t="s">
        <v>2894</v>
      </c>
      <c r="D96" t="s">
        <v>3451</v>
      </c>
      <c r="E96" t="str">
        <f>IF(COUNTIF(Sheet3!E:E,Dash!B96)&gt;0,"Sim","Não")</f>
        <v>Sim</v>
      </c>
      <c r="F96" s="2">
        <f>SUMIFS('NF-e de Entrada'!E:E,'NF-e de Entrada'!A:A,Dash!B96,'NF-e de Entrada'!F:F,"Autorizada")</f>
        <v>0</v>
      </c>
      <c r="G96" s="2">
        <f>SUMIFS('NF-e de Entrada'!E:E,'NF-e de Entrada'!A:A,Dash!B96,'NF-e de Entrada'!F:F,"Cancelada")</f>
        <v>0</v>
      </c>
      <c r="H96" s="2">
        <f>SUMIFS('NF-e de Saída'!E:E,'NF-e de Saída'!A:A,Dash!B96,'NF-e de Saída'!F:F,"AUTORIZADA")</f>
        <v>0</v>
      </c>
      <c r="I96" s="2">
        <f>SUMIFS('NF-e de Saída'!E:E,'NF-e de Saída'!A:A,Dash!B96,'NF-e de Saída'!F:F,"CANCELADA")</f>
        <v>0</v>
      </c>
    </row>
    <row r="97" spans="2:9" x14ac:dyDescent="0.3">
      <c r="B97">
        <v>220</v>
      </c>
      <c r="C97" t="s">
        <v>2895</v>
      </c>
      <c r="D97" t="s">
        <v>3452</v>
      </c>
      <c r="E97" t="str">
        <f>IF(COUNTIF(Sheet3!E:E,Dash!B97)&gt;0,"Sim","Não")</f>
        <v>Não</v>
      </c>
      <c r="F97" s="2">
        <f>SUMIFS('NF-e de Entrada'!E:E,'NF-e de Entrada'!A:A,Dash!B97,'NF-e de Entrada'!F:F,"Autorizada")</f>
        <v>0</v>
      </c>
      <c r="G97" s="2">
        <f>SUMIFS('NF-e de Entrada'!E:E,'NF-e de Entrada'!A:A,Dash!B97,'NF-e de Entrada'!F:F,"Cancelada")</f>
        <v>0</v>
      </c>
      <c r="H97" s="2">
        <f>SUMIFS('NF-e de Saída'!E:E,'NF-e de Saída'!A:A,Dash!B97,'NF-e de Saída'!F:F,"AUTORIZADA")</f>
        <v>0</v>
      </c>
      <c r="I97" s="2">
        <f>SUMIFS('NF-e de Saída'!E:E,'NF-e de Saída'!A:A,Dash!B97,'NF-e de Saída'!F:F,"CANCELADA")</f>
        <v>0</v>
      </c>
    </row>
    <row r="98" spans="2:9" x14ac:dyDescent="0.3">
      <c r="B98">
        <v>223</v>
      </c>
      <c r="C98" t="s">
        <v>2896</v>
      </c>
      <c r="D98" t="s">
        <v>3453</v>
      </c>
      <c r="E98" t="str">
        <f>IF(COUNTIF(Sheet3!E:E,Dash!B98)&gt;0,"Sim","Não")</f>
        <v>Não</v>
      </c>
      <c r="F98" s="2">
        <f>SUMIFS('NF-e de Entrada'!E:E,'NF-e de Entrada'!A:A,Dash!B98,'NF-e de Entrada'!F:F,"Autorizada")</f>
        <v>0</v>
      </c>
      <c r="G98" s="2">
        <f>SUMIFS('NF-e de Entrada'!E:E,'NF-e de Entrada'!A:A,Dash!B98,'NF-e de Entrada'!F:F,"Cancelada")</f>
        <v>0</v>
      </c>
      <c r="H98" s="2">
        <f>SUMIFS('NF-e de Saída'!E:E,'NF-e de Saída'!A:A,Dash!B98,'NF-e de Saída'!F:F,"AUTORIZADA")</f>
        <v>0</v>
      </c>
      <c r="I98" s="2">
        <f>SUMIFS('NF-e de Saída'!E:E,'NF-e de Saída'!A:A,Dash!B98,'NF-e de Saída'!F:F,"CANCELADA")</f>
        <v>0</v>
      </c>
    </row>
    <row r="99" spans="2:9" x14ac:dyDescent="0.3">
      <c r="B99">
        <v>224</v>
      </c>
      <c r="C99" t="s">
        <v>2897</v>
      </c>
      <c r="D99" t="s">
        <v>3454</v>
      </c>
      <c r="E99" t="str">
        <f>IF(COUNTIF(Sheet3!E:E,Dash!B99)&gt;0,"Sim","Não")</f>
        <v>Não</v>
      </c>
      <c r="F99" s="2">
        <f>SUMIFS('NF-e de Entrada'!E:E,'NF-e de Entrada'!A:A,Dash!B99,'NF-e de Entrada'!F:F,"Autorizada")</f>
        <v>0</v>
      </c>
      <c r="G99" s="2">
        <f>SUMIFS('NF-e de Entrada'!E:E,'NF-e de Entrada'!A:A,Dash!B99,'NF-e de Entrada'!F:F,"Cancelada")</f>
        <v>0</v>
      </c>
      <c r="H99" s="2">
        <f>SUMIFS('NF-e de Saída'!E:E,'NF-e de Saída'!A:A,Dash!B99,'NF-e de Saída'!F:F,"AUTORIZADA")</f>
        <v>0</v>
      </c>
      <c r="I99" s="2">
        <f>SUMIFS('NF-e de Saída'!E:E,'NF-e de Saída'!A:A,Dash!B99,'NF-e de Saída'!F:F,"CANCELADA")</f>
        <v>0</v>
      </c>
    </row>
    <row r="100" spans="2:9" x14ac:dyDescent="0.3">
      <c r="B100">
        <v>226</v>
      </c>
      <c r="C100" t="s">
        <v>2898</v>
      </c>
      <c r="D100" t="s">
        <v>3455</v>
      </c>
      <c r="E100" t="str">
        <f>IF(COUNTIF(Sheet3!E:E,Dash!B100)&gt;0,"Sim","Não")</f>
        <v>Não</v>
      </c>
      <c r="F100" s="2">
        <f>SUMIFS('NF-e de Entrada'!E:E,'NF-e de Entrada'!A:A,Dash!B100,'NF-e de Entrada'!F:F,"Autorizada")</f>
        <v>0</v>
      </c>
      <c r="G100" s="2">
        <f>SUMIFS('NF-e de Entrada'!E:E,'NF-e de Entrada'!A:A,Dash!B100,'NF-e de Entrada'!F:F,"Cancelada")</f>
        <v>0</v>
      </c>
      <c r="H100" s="2">
        <f>SUMIFS('NF-e de Saída'!E:E,'NF-e de Saída'!A:A,Dash!B100,'NF-e de Saída'!F:F,"AUTORIZADA")</f>
        <v>0</v>
      </c>
      <c r="I100" s="2">
        <f>SUMIFS('NF-e de Saída'!E:E,'NF-e de Saída'!A:A,Dash!B100,'NF-e de Saída'!F:F,"CANCELADA")</f>
        <v>0</v>
      </c>
    </row>
    <row r="101" spans="2:9" x14ac:dyDescent="0.3">
      <c r="B101">
        <v>227</v>
      </c>
      <c r="C101" t="s">
        <v>2899</v>
      </c>
      <c r="D101" t="s">
        <v>3456</v>
      </c>
      <c r="E101" t="str">
        <f>IF(COUNTIF(Sheet3!E:E,Dash!B101)&gt;0,"Sim","Não")</f>
        <v>Sim</v>
      </c>
      <c r="F101" s="2">
        <f>SUMIFS('NF-e de Entrada'!E:E,'NF-e de Entrada'!A:A,Dash!B101,'NF-e de Entrada'!F:F,"Autorizada")</f>
        <v>0</v>
      </c>
      <c r="G101" s="2">
        <f>SUMIFS('NF-e de Entrada'!E:E,'NF-e de Entrada'!A:A,Dash!B101,'NF-e de Entrada'!F:F,"Cancelada")</f>
        <v>0</v>
      </c>
      <c r="H101" s="2">
        <f>SUMIFS('NF-e de Saída'!E:E,'NF-e de Saída'!A:A,Dash!B101,'NF-e de Saída'!F:F,"AUTORIZADA")</f>
        <v>0</v>
      </c>
      <c r="I101" s="2">
        <f>SUMIFS('NF-e de Saída'!E:E,'NF-e de Saída'!A:A,Dash!B101,'NF-e de Saída'!F:F,"CANCELADA")</f>
        <v>0</v>
      </c>
    </row>
    <row r="102" spans="2:9" x14ac:dyDescent="0.3">
      <c r="B102">
        <v>228</v>
      </c>
      <c r="C102" t="s">
        <v>2900</v>
      </c>
      <c r="D102" t="s">
        <v>2586</v>
      </c>
      <c r="E102" t="str">
        <f>IF(COUNTIF(Sheet3!E:E,Dash!B102)&gt;0,"Sim","Não")</f>
        <v>Sim</v>
      </c>
      <c r="F102" s="2">
        <f>SUMIFS('NF-e de Entrada'!E:E,'NF-e de Entrada'!A:A,Dash!B102,'NF-e de Entrada'!F:F,"Autorizada")</f>
        <v>0</v>
      </c>
      <c r="G102" s="2">
        <f>SUMIFS('NF-e de Entrada'!E:E,'NF-e de Entrada'!A:A,Dash!B102,'NF-e de Entrada'!F:F,"Cancelada")</f>
        <v>0</v>
      </c>
      <c r="H102" s="2">
        <f>SUMIFS('NF-e de Saída'!E:E,'NF-e de Saída'!A:A,Dash!B102,'NF-e de Saída'!F:F,"AUTORIZADA")</f>
        <v>0</v>
      </c>
      <c r="I102" s="2">
        <f>SUMIFS('NF-e de Saída'!E:E,'NF-e de Saída'!A:A,Dash!B102,'NF-e de Saída'!F:F,"CANCELADA")</f>
        <v>0</v>
      </c>
    </row>
    <row r="103" spans="2:9" x14ac:dyDescent="0.3">
      <c r="B103">
        <v>229</v>
      </c>
      <c r="C103" t="s">
        <v>2901</v>
      </c>
      <c r="D103" t="s">
        <v>3457</v>
      </c>
      <c r="E103" t="str">
        <f>IF(COUNTIF(Sheet3!E:E,Dash!B103)&gt;0,"Sim","Não")</f>
        <v>Sim</v>
      </c>
      <c r="F103" s="2">
        <f>SUMIFS('NF-e de Entrada'!E:E,'NF-e de Entrada'!A:A,Dash!B103,'NF-e de Entrada'!F:F,"Autorizada")</f>
        <v>0</v>
      </c>
      <c r="G103" s="2">
        <f>SUMIFS('NF-e de Entrada'!E:E,'NF-e de Entrada'!A:A,Dash!B103,'NF-e de Entrada'!F:F,"Cancelada")</f>
        <v>0</v>
      </c>
      <c r="H103" s="2">
        <f>SUMIFS('NF-e de Saída'!E:E,'NF-e de Saída'!A:A,Dash!B103,'NF-e de Saída'!F:F,"AUTORIZADA")</f>
        <v>0</v>
      </c>
      <c r="I103" s="2">
        <f>SUMIFS('NF-e de Saída'!E:E,'NF-e de Saída'!A:A,Dash!B103,'NF-e de Saída'!F:F,"CANCELADA")</f>
        <v>0</v>
      </c>
    </row>
    <row r="104" spans="2:9" x14ac:dyDescent="0.3">
      <c r="B104">
        <v>231</v>
      </c>
      <c r="C104" t="s">
        <v>2902</v>
      </c>
      <c r="D104" t="s">
        <v>3458</v>
      </c>
      <c r="E104" t="str">
        <f>IF(COUNTIF(Sheet3!E:E,Dash!B104)&gt;0,"Sim","Não")</f>
        <v>Não</v>
      </c>
      <c r="F104" s="2">
        <f>SUMIFS('NF-e de Entrada'!E:E,'NF-e de Entrada'!A:A,Dash!B104,'NF-e de Entrada'!F:F,"Autorizada")</f>
        <v>0</v>
      </c>
      <c r="G104" s="2">
        <f>SUMIFS('NF-e de Entrada'!E:E,'NF-e de Entrada'!A:A,Dash!B104,'NF-e de Entrada'!F:F,"Cancelada")</f>
        <v>0</v>
      </c>
      <c r="H104" s="2">
        <f>SUMIFS('NF-e de Saída'!E:E,'NF-e de Saída'!A:A,Dash!B104,'NF-e de Saída'!F:F,"AUTORIZADA")</f>
        <v>0</v>
      </c>
      <c r="I104" s="2">
        <f>SUMIFS('NF-e de Saída'!E:E,'NF-e de Saída'!A:A,Dash!B104,'NF-e de Saída'!F:F,"CANCELADA")</f>
        <v>0</v>
      </c>
    </row>
    <row r="105" spans="2:9" x14ac:dyDescent="0.3">
      <c r="B105">
        <v>232</v>
      </c>
      <c r="C105" t="s">
        <v>2903</v>
      </c>
      <c r="D105" t="s">
        <v>3459</v>
      </c>
      <c r="E105" t="str">
        <f>IF(COUNTIF(Sheet3!E:E,Dash!B105)&gt;0,"Sim","Não")</f>
        <v>Não</v>
      </c>
      <c r="F105" s="2">
        <f>SUMIFS('NF-e de Entrada'!E:E,'NF-e de Entrada'!A:A,Dash!B105,'NF-e de Entrada'!F:F,"Autorizada")</f>
        <v>0</v>
      </c>
      <c r="G105" s="2">
        <f>SUMIFS('NF-e de Entrada'!E:E,'NF-e de Entrada'!A:A,Dash!B105,'NF-e de Entrada'!F:F,"Cancelada")</f>
        <v>0</v>
      </c>
      <c r="H105" s="2">
        <f>SUMIFS('NF-e de Saída'!E:E,'NF-e de Saída'!A:A,Dash!B105,'NF-e de Saída'!F:F,"AUTORIZADA")</f>
        <v>0</v>
      </c>
      <c r="I105" s="2">
        <f>SUMIFS('NF-e de Saída'!E:E,'NF-e de Saída'!A:A,Dash!B105,'NF-e de Saída'!F:F,"CANCELADA")</f>
        <v>0</v>
      </c>
    </row>
    <row r="106" spans="2:9" x14ac:dyDescent="0.3">
      <c r="B106">
        <v>233</v>
      </c>
      <c r="C106" t="s">
        <v>2904</v>
      </c>
      <c r="D106" t="s">
        <v>2668</v>
      </c>
      <c r="E106" t="str">
        <f>IF(COUNTIF(Sheet3!E:E,Dash!B106)&gt;0,"Sim","Não")</f>
        <v>Sim</v>
      </c>
      <c r="F106" s="2">
        <f>SUMIFS('NF-e de Entrada'!E:E,'NF-e de Entrada'!A:A,Dash!B106,'NF-e de Entrada'!F:F,"Autorizada")</f>
        <v>0</v>
      </c>
      <c r="G106" s="2">
        <f>SUMIFS('NF-e de Entrada'!E:E,'NF-e de Entrada'!A:A,Dash!B106,'NF-e de Entrada'!F:F,"Cancelada")</f>
        <v>0</v>
      </c>
      <c r="H106" s="2">
        <f>SUMIFS('NF-e de Saída'!E:E,'NF-e de Saída'!A:A,Dash!B106,'NF-e de Saída'!F:F,"AUTORIZADA")</f>
        <v>0</v>
      </c>
      <c r="I106" s="2">
        <f>SUMIFS('NF-e de Saída'!E:E,'NF-e de Saída'!A:A,Dash!B106,'NF-e de Saída'!F:F,"CANCELADA")</f>
        <v>0</v>
      </c>
    </row>
    <row r="107" spans="2:9" x14ac:dyDescent="0.3">
      <c r="B107">
        <v>234</v>
      </c>
      <c r="C107" t="s">
        <v>2905</v>
      </c>
      <c r="D107" t="s">
        <v>3460</v>
      </c>
      <c r="E107" t="str">
        <f>IF(COUNTIF(Sheet3!E:E,Dash!B107)&gt;0,"Sim","Não")</f>
        <v>Não</v>
      </c>
      <c r="F107" s="2">
        <f>SUMIFS('NF-e de Entrada'!E:E,'NF-e de Entrada'!A:A,Dash!B107,'NF-e de Entrada'!F:F,"Autorizada")</f>
        <v>0</v>
      </c>
      <c r="G107" s="2">
        <f>SUMIFS('NF-e de Entrada'!E:E,'NF-e de Entrada'!A:A,Dash!B107,'NF-e de Entrada'!F:F,"Cancelada")</f>
        <v>0</v>
      </c>
      <c r="H107" s="2">
        <f>SUMIFS('NF-e de Saída'!E:E,'NF-e de Saída'!A:A,Dash!B107,'NF-e de Saída'!F:F,"AUTORIZADA")</f>
        <v>0</v>
      </c>
      <c r="I107" s="2">
        <f>SUMIFS('NF-e de Saída'!E:E,'NF-e de Saída'!A:A,Dash!B107,'NF-e de Saída'!F:F,"CANCELADA")</f>
        <v>0</v>
      </c>
    </row>
    <row r="108" spans="2:9" x14ac:dyDescent="0.3">
      <c r="B108">
        <v>235</v>
      </c>
      <c r="C108" t="s">
        <v>2906</v>
      </c>
      <c r="D108" t="s">
        <v>2475</v>
      </c>
      <c r="E108" t="str">
        <f>IF(COUNTIF(Sheet3!E:E,Dash!B108)&gt;0,"Sim","Não")</f>
        <v>Sim</v>
      </c>
      <c r="F108" s="2">
        <f>SUMIFS('NF-e de Entrada'!E:E,'NF-e de Entrada'!A:A,Dash!B108,'NF-e de Entrada'!F:F,"Autorizada")</f>
        <v>14856.569999999996</v>
      </c>
      <c r="G108" s="2">
        <f>SUMIFS('NF-e de Entrada'!E:E,'NF-e de Entrada'!A:A,Dash!B108,'NF-e de Entrada'!F:F,"Cancelada")</f>
        <v>358.08</v>
      </c>
      <c r="H108" s="2">
        <f>SUMIFS('NF-e de Saída'!E:E,'NF-e de Saída'!A:A,Dash!B108,'NF-e de Saída'!F:F,"AUTORIZADA")</f>
        <v>0</v>
      </c>
      <c r="I108" s="2">
        <f>SUMIFS('NF-e de Saída'!E:E,'NF-e de Saída'!A:A,Dash!B108,'NF-e de Saída'!F:F,"CANCELADA")</f>
        <v>0</v>
      </c>
    </row>
    <row r="109" spans="2:9" x14ac:dyDescent="0.3">
      <c r="B109">
        <v>239</v>
      </c>
      <c r="C109" t="s">
        <v>2907</v>
      </c>
      <c r="D109" t="s">
        <v>3461</v>
      </c>
      <c r="E109" t="str">
        <f>IF(COUNTIF(Sheet3!E:E,Dash!B109)&gt;0,"Sim","Não")</f>
        <v>Não</v>
      </c>
      <c r="F109" s="2">
        <f>SUMIFS('NF-e de Entrada'!E:E,'NF-e de Entrada'!A:A,Dash!B109,'NF-e de Entrada'!F:F,"Autorizada")</f>
        <v>0</v>
      </c>
      <c r="G109" s="2">
        <f>SUMIFS('NF-e de Entrada'!E:E,'NF-e de Entrada'!A:A,Dash!B109,'NF-e de Entrada'!F:F,"Cancelada")</f>
        <v>0</v>
      </c>
      <c r="H109" s="2">
        <f>SUMIFS('NF-e de Saída'!E:E,'NF-e de Saída'!A:A,Dash!B109,'NF-e de Saída'!F:F,"AUTORIZADA")</f>
        <v>0</v>
      </c>
      <c r="I109" s="2">
        <f>SUMIFS('NF-e de Saída'!E:E,'NF-e de Saída'!A:A,Dash!B109,'NF-e de Saída'!F:F,"CANCELADA")</f>
        <v>0</v>
      </c>
    </row>
    <row r="110" spans="2:9" x14ac:dyDescent="0.3">
      <c r="B110">
        <v>240</v>
      </c>
      <c r="C110" t="s">
        <v>2908</v>
      </c>
      <c r="D110" t="s">
        <v>3462</v>
      </c>
      <c r="E110" t="str">
        <f>IF(COUNTIF(Sheet3!E:E,Dash!B110)&gt;0,"Sim","Não")</f>
        <v>Não</v>
      </c>
      <c r="F110" s="2">
        <f>SUMIFS('NF-e de Entrada'!E:E,'NF-e de Entrada'!A:A,Dash!B110,'NF-e de Entrada'!F:F,"Autorizada")</f>
        <v>0</v>
      </c>
      <c r="G110" s="2">
        <f>SUMIFS('NF-e de Entrada'!E:E,'NF-e de Entrada'!A:A,Dash!B110,'NF-e de Entrada'!F:F,"Cancelada")</f>
        <v>0</v>
      </c>
      <c r="H110" s="2">
        <f>SUMIFS('NF-e de Saída'!E:E,'NF-e de Saída'!A:A,Dash!B110,'NF-e de Saída'!F:F,"AUTORIZADA")</f>
        <v>0</v>
      </c>
      <c r="I110" s="2">
        <f>SUMIFS('NF-e de Saída'!E:E,'NF-e de Saída'!A:A,Dash!B110,'NF-e de Saída'!F:F,"CANCELADA")</f>
        <v>0</v>
      </c>
    </row>
    <row r="111" spans="2:9" x14ac:dyDescent="0.3">
      <c r="B111">
        <v>242</v>
      </c>
      <c r="C111" t="s">
        <v>2909</v>
      </c>
      <c r="D111" t="s">
        <v>3463</v>
      </c>
      <c r="E111" t="str">
        <f>IF(COUNTIF(Sheet3!E:E,Dash!B111)&gt;0,"Sim","Não")</f>
        <v>Não</v>
      </c>
      <c r="F111" s="2">
        <f>SUMIFS('NF-e de Entrada'!E:E,'NF-e de Entrada'!A:A,Dash!B111,'NF-e de Entrada'!F:F,"Autorizada")</f>
        <v>0</v>
      </c>
      <c r="G111" s="2">
        <f>SUMIFS('NF-e de Entrada'!E:E,'NF-e de Entrada'!A:A,Dash!B111,'NF-e de Entrada'!F:F,"Cancelada")</f>
        <v>0</v>
      </c>
      <c r="H111" s="2">
        <f>SUMIFS('NF-e de Saída'!E:E,'NF-e de Saída'!A:A,Dash!B111,'NF-e de Saída'!F:F,"AUTORIZADA")</f>
        <v>0</v>
      </c>
      <c r="I111" s="2">
        <f>SUMIFS('NF-e de Saída'!E:E,'NF-e de Saída'!A:A,Dash!B111,'NF-e de Saída'!F:F,"CANCELADA")</f>
        <v>0</v>
      </c>
    </row>
    <row r="112" spans="2:9" x14ac:dyDescent="0.3">
      <c r="B112">
        <v>243</v>
      </c>
      <c r="C112" t="s">
        <v>2910</v>
      </c>
      <c r="D112" t="s">
        <v>3464</v>
      </c>
      <c r="E112" t="str">
        <f>IF(COUNTIF(Sheet3!E:E,Dash!B112)&gt;0,"Sim","Não")</f>
        <v>Não</v>
      </c>
      <c r="F112" s="2">
        <f>SUMIFS('NF-e de Entrada'!E:E,'NF-e de Entrada'!A:A,Dash!B112,'NF-e de Entrada'!F:F,"Autorizada")</f>
        <v>0</v>
      </c>
      <c r="G112" s="2">
        <f>SUMIFS('NF-e de Entrada'!E:E,'NF-e de Entrada'!A:A,Dash!B112,'NF-e de Entrada'!F:F,"Cancelada")</f>
        <v>0</v>
      </c>
      <c r="H112" s="2">
        <f>SUMIFS('NF-e de Saída'!E:E,'NF-e de Saída'!A:A,Dash!B112,'NF-e de Saída'!F:F,"AUTORIZADA")</f>
        <v>0</v>
      </c>
      <c r="I112" s="2">
        <f>SUMIFS('NF-e de Saída'!E:E,'NF-e de Saída'!A:A,Dash!B112,'NF-e de Saída'!F:F,"CANCELADA")</f>
        <v>0</v>
      </c>
    </row>
    <row r="113" spans="2:9" x14ac:dyDescent="0.3">
      <c r="B113">
        <v>244</v>
      </c>
      <c r="C113" t="s">
        <v>2911</v>
      </c>
      <c r="D113" t="s">
        <v>2698</v>
      </c>
      <c r="E113" t="str">
        <f>IF(COUNTIF(Sheet3!E:E,Dash!B113)&gt;0,"Sim","Não")</f>
        <v>Sim</v>
      </c>
      <c r="F113" s="2">
        <f>SUMIFS('NF-e de Entrada'!E:E,'NF-e de Entrada'!A:A,Dash!B113,'NF-e de Entrada'!F:F,"Autorizada")</f>
        <v>0</v>
      </c>
      <c r="G113" s="2">
        <f>SUMIFS('NF-e de Entrada'!E:E,'NF-e de Entrada'!A:A,Dash!B113,'NF-e de Entrada'!F:F,"Cancelada")</f>
        <v>0</v>
      </c>
      <c r="H113" s="2">
        <f>SUMIFS('NF-e de Saída'!E:E,'NF-e de Saída'!A:A,Dash!B113,'NF-e de Saída'!F:F,"AUTORIZADA")</f>
        <v>0</v>
      </c>
      <c r="I113" s="2">
        <f>SUMIFS('NF-e de Saída'!E:E,'NF-e de Saída'!A:A,Dash!B113,'NF-e de Saída'!F:F,"CANCELADA")</f>
        <v>0</v>
      </c>
    </row>
    <row r="114" spans="2:9" x14ac:dyDescent="0.3">
      <c r="B114">
        <v>247</v>
      </c>
      <c r="C114" t="s">
        <v>2912</v>
      </c>
      <c r="D114" t="s">
        <v>3465</v>
      </c>
      <c r="E114" t="str">
        <f>IF(COUNTIF(Sheet3!E:E,Dash!B114)&gt;0,"Sim","Não")</f>
        <v>Não</v>
      </c>
      <c r="F114" s="2">
        <f>SUMIFS('NF-e de Entrada'!E:E,'NF-e de Entrada'!A:A,Dash!B114,'NF-e de Entrada'!F:F,"Autorizada")</f>
        <v>0</v>
      </c>
      <c r="G114" s="2">
        <f>SUMIFS('NF-e de Entrada'!E:E,'NF-e de Entrada'!A:A,Dash!B114,'NF-e de Entrada'!F:F,"Cancelada")</f>
        <v>0</v>
      </c>
      <c r="H114" s="2">
        <f>SUMIFS('NF-e de Saída'!E:E,'NF-e de Saída'!A:A,Dash!B114,'NF-e de Saída'!F:F,"AUTORIZADA")</f>
        <v>0</v>
      </c>
      <c r="I114" s="2">
        <f>SUMIFS('NF-e de Saída'!E:E,'NF-e de Saída'!A:A,Dash!B114,'NF-e de Saída'!F:F,"CANCELADA")</f>
        <v>0</v>
      </c>
    </row>
    <row r="115" spans="2:9" x14ac:dyDescent="0.3">
      <c r="B115">
        <v>249</v>
      </c>
      <c r="C115" t="s">
        <v>2913</v>
      </c>
      <c r="D115" t="s">
        <v>2720</v>
      </c>
      <c r="E115" t="str">
        <f>IF(COUNTIF(Sheet3!E:E,Dash!B115)&gt;0,"Sim","Não")</f>
        <v>Sim</v>
      </c>
      <c r="F115" s="2">
        <f>SUMIFS('NF-e de Entrada'!E:E,'NF-e de Entrada'!A:A,Dash!B115,'NF-e de Entrada'!F:F,"Autorizada")</f>
        <v>0</v>
      </c>
      <c r="G115" s="2">
        <f>SUMIFS('NF-e de Entrada'!E:E,'NF-e de Entrada'!A:A,Dash!B115,'NF-e de Entrada'!F:F,"Cancelada")</f>
        <v>0</v>
      </c>
      <c r="H115" s="2">
        <f>SUMIFS('NF-e de Saída'!E:E,'NF-e de Saída'!A:A,Dash!B115,'NF-e de Saída'!F:F,"AUTORIZADA")</f>
        <v>0</v>
      </c>
      <c r="I115" s="2">
        <f>SUMIFS('NF-e de Saída'!E:E,'NF-e de Saída'!A:A,Dash!B115,'NF-e de Saída'!F:F,"CANCELADA")</f>
        <v>0</v>
      </c>
    </row>
    <row r="116" spans="2:9" x14ac:dyDescent="0.3">
      <c r="B116">
        <v>251</v>
      </c>
      <c r="C116" t="s">
        <v>2914</v>
      </c>
      <c r="D116" t="s">
        <v>3466</v>
      </c>
      <c r="E116" t="str">
        <f>IF(COUNTIF(Sheet3!E:E,Dash!B116)&gt;0,"Sim","Não")</f>
        <v>Não</v>
      </c>
      <c r="F116" s="2">
        <f>SUMIFS('NF-e de Entrada'!E:E,'NF-e de Entrada'!A:A,Dash!B116,'NF-e de Entrada'!F:F,"Autorizada")</f>
        <v>0</v>
      </c>
      <c r="G116" s="2">
        <f>SUMIFS('NF-e de Entrada'!E:E,'NF-e de Entrada'!A:A,Dash!B116,'NF-e de Entrada'!F:F,"Cancelada")</f>
        <v>0</v>
      </c>
      <c r="H116" s="2">
        <f>SUMIFS('NF-e de Saída'!E:E,'NF-e de Saída'!A:A,Dash!B116,'NF-e de Saída'!F:F,"AUTORIZADA")</f>
        <v>0</v>
      </c>
      <c r="I116" s="2">
        <f>SUMIFS('NF-e de Saída'!E:E,'NF-e de Saída'!A:A,Dash!B116,'NF-e de Saída'!F:F,"CANCELADA")</f>
        <v>0</v>
      </c>
    </row>
    <row r="117" spans="2:9" x14ac:dyDescent="0.3">
      <c r="B117">
        <v>252</v>
      </c>
      <c r="C117" t="s">
        <v>2915</v>
      </c>
      <c r="D117" t="s">
        <v>3467</v>
      </c>
      <c r="E117" t="str">
        <f>IF(COUNTIF(Sheet3!E:E,Dash!B117)&gt;0,"Sim","Não")</f>
        <v>Sim</v>
      </c>
      <c r="F117" s="2">
        <f>SUMIFS('NF-e de Entrada'!E:E,'NF-e de Entrada'!A:A,Dash!B117,'NF-e de Entrada'!F:F,"Autorizada")</f>
        <v>9410.5299999999988</v>
      </c>
      <c r="G117" s="2">
        <f>SUMIFS('NF-e de Entrada'!E:E,'NF-e de Entrada'!A:A,Dash!B117,'NF-e de Entrada'!F:F,"Cancelada")</f>
        <v>0</v>
      </c>
      <c r="H117" s="2">
        <f>SUMIFS('NF-e de Saída'!E:E,'NF-e de Saída'!A:A,Dash!B117,'NF-e de Saída'!F:F,"AUTORIZADA")</f>
        <v>0</v>
      </c>
      <c r="I117" s="2">
        <f>SUMIFS('NF-e de Saída'!E:E,'NF-e de Saída'!A:A,Dash!B117,'NF-e de Saída'!F:F,"CANCELADA")</f>
        <v>0</v>
      </c>
    </row>
    <row r="118" spans="2:9" x14ac:dyDescent="0.3">
      <c r="B118">
        <v>253</v>
      </c>
      <c r="C118" t="s">
        <v>2916</v>
      </c>
      <c r="D118" t="s">
        <v>3468</v>
      </c>
      <c r="E118" t="str">
        <f>IF(COUNTIF(Sheet3!E:E,Dash!B118)&gt;0,"Sim","Não")</f>
        <v>Sim</v>
      </c>
      <c r="F118" s="2">
        <f>SUMIFS('NF-e de Entrada'!E:E,'NF-e de Entrada'!A:A,Dash!B118,'NF-e de Entrada'!F:F,"Autorizada")</f>
        <v>0</v>
      </c>
      <c r="G118" s="2">
        <f>SUMIFS('NF-e de Entrada'!E:E,'NF-e de Entrada'!A:A,Dash!B118,'NF-e de Entrada'!F:F,"Cancelada")</f>
        <v>0</v>
      </c>
      <c r="H118" s="2">
        <f>SUMIFS('NF-e de Saída'!E:E,'NF-e de Saída'!A:A,Dash!B118,'NF-e de Saída'!F:F,"AUTORIZADA")</f>
        <v>0</v>
      </c>
      <c r="I118" s="2">
        <f>SUMIFS('NF-e de Saída'!E:E,'NF-e de Saída'!A:A,Dash!B118,'NF-e de Saída'!F:F,"CANCELADA")</f>
        <v>0</v>
      </c>
    </row>
    <row r="119" spans="2:9" x14ac:dyDescent="0.3">
      <c r="B119">
        <v>254</v>
      </c>
      <c r="C119" t="s">
        <v>2917</v>
      </c>
      <c r="D119" t="s">
        <v>3469</v>
      </c>
      <c r="E119" t="str">
        <f>IF(COUNTIF(Sheet3!E:E,Dash!B119)&gt;0,"Sim","Não")</f>
        <v>Sim</v>
      </c>
      <c r="F119" s="2">
        <f>SUMIFS('NF-e de Entrada'!E:E,'NF-e de Entrada'!A:A,Dash!B119,'NF-e de Entrada'!F:F,"Autorizada")</f>
        <v>0</v>
      </c>
      <c r="G119" s="2">
        <f>SUMIFS('NF-e de Entrada'!E:E,'NF-e de Entrada'!A:A,Dash!B119,'NF-e de Entrada'!F:F,"Cancelada")</f>
        <v>0</v>
      </c>
      <c r="H119" s="2">
        <f>SUMIFS('NF-e de Saída'!E:E,'NF-e de Saída'!A:A,Dash!B119,'NF-e de Saída'!F:F,"AUTORIZADA")</f>
        <v>0</v>
      </c>
      <c r="I119" s="2">
        <f>SUMIFS('NF-e de Saída'!E:E,'NF-e de Saída'!A:A,Dash!B119,'NF-e de Saída'!F:F,"CANCELADA")</f>
        <v>0</v>
      </c>
    </row>
    <row r="120" spans="2:9" x14ac:dyDescent="0.3">
      <c r="B120">
        <v>255</v>
      </c>
      <c r="C120" t="s">
        <v>2918</v>
      </c>
      <c r="D120" t="s">
        <v>3470</v>
      </c>
      <c r="E120" t="str">
        <f>IF(COUNTIF(Sheet3!E:E,Dash!B120)&gt;0,"Sim","Não")</f>
        <v>Sim</v>
      </c>
      <c r="F120" s="2">
        <f>SUMIFS('NF-e de Entrada'!E:E,'NF-e de Entrada'!A:A,Dash!B120,'NF-e de Entrada'!F:F,"Autorizada")</f>
        <v>0</v>
      </c>
      <c r="G120" s="2">
        <f>SUMIFS('NF-e de Entrada'!E:E,'NF-e de Entrada'!A:A,Dash!B120,'NF-e de Entrada'!F:F,"Cancelada")</f>
        <v>0</v>
      </c>
      <c r="H120" s="2">
        <f>SUMIFS('NF-e de Saída'!E:E,'NF-e de Saída'!A:A,Dash!B120,'NF-e de Saída'!F:F,"AUTORIZADA")</f>
        <v>0</v>
      </c>
      <c r="I120" s="2">
        <f>SUMIFS('NF-e de Saída'!E:E,'NF-e de Saída'!A:A,Dash!B120,'NF-e de Saída'!F:F,"CANCELADA")</f>
        <v>0</v>
      </c>
    </row>
    <row r="121" spans="2:9" x14ac:dyDescent="0.3">
      <c r="B121">
        <v>256</v>
      </c>
      <c r="C121" t="s">
        <v>2919</v>
      </c>
      <c r="D121" t="s">
        <v>3471</v>
      </c>
      <c r="E121" t="str">
        <f>IF(COUNTIF(Sheet3!E:E,Dash!B121)&gt;0,"Sim","Não")</f>
        <v>Sim</v>
      </c>
      <c r="F121" s="2">
        <f>SUMIFS('NF-e de Entrada'!E:E,'NF-e de Entrada'!A:A,Dash!B121,'NF-e de Entrada'!F:F,"Autorizada")</f>
        <v>0</v>
      </c>
      <c r="G121" s="2">
        <f>SUMIFS('NF-e de Entrada'!E:E,'NF-e de Entrada'!A:A,Dash!B121,'NF-e de Entrada'!F:F,"Cancelada")</f>
        <v>0</v>
      </c>
      <c r="H121" s="2">
        <f>SUMIFS('NF-e de Saída'!E:E,'NF-e de Saída'!A:A,Dash!B121,'NF-e de Saída'!F:F,"AUTORIZADA")</f>
        <v>0</v>
      </c>
      <c r="I121" s="2">
        <f>SUMIFS('NF-e de Saída'!E:E,'NF-e de Saída'!A:A,Dash!B121,'NF-e de Saída'!F:F,"CANCELADA")</f>
        <v>0</v>
      </c>
    </row>
    <row r="122" spans="2:9" x14ac:dyDescent="0.3">
      <c r="B122">
        <v>257</v>
      </c>
      <c r="C122" t="s">
        <v>2920</v>
      </c>
      <c r="D122" t="s">
        <v>2464</v>
      </c>
      <c r="E122" t="str">
        <f>IF(COUNTIF(Sheet3!E:E,Dash!B122)&gt;0,"Sim","Não")</f>
        <v>Sim</v>
      </c>
      <c r="F122" s="2">
        <f>SUMIFS('NF-e de Entrada'!E:E,'NF-e de Entrada'!A:A,Dash!B122,'NF-e de Entrada'!F:F,"Autorizada")</f>
        <v>5296.1900000000014</v>
      </c>
      <c r="G122" s="2">
        <f>SUMIFS('NF-e de Entrada'!E:E,'NF-e de Entrada'!A:A,Dash!B122,'NF-e de Entrada'!F:F,"Cancelada")</f>
        <v>0</v>
      </c>
      <c r="H122" s="2">
        <f>SUMIFS('NF-e de Saída'!E:E,'NF-e de Saída'!A:A,Dash!B122,'NF-e de Saída'!F:F,"AUTORIZADA")</f>
        <v>0</v>
      </c>
      <c r="I122" s="2">
        <f>SUMIFS('NF-e de Saída'!E:E,'NF-e de Saída'!A:A,Dash!B122,'NF-e de Saída'!F:F,"CANCELADA")</f>
        <v>0</v>
      </c>
    </row>
    <row r="123" spans="2:9" x14ac:dyDescent="0.3">
      <c r="B123">
        <v>258</v>
      </c>
      <c r="C123" t="s">
        <v>2921</v>
      </c>
      <c r="D123" t="s">
        <v>3472</v>
      </c>
      <c r="E123" t="str">
        <f>IF(COUNTIF(Sheet3!E:E,Dash!B123)&gt;0,"Sim","Não")</f>
        <v>Sim</v>
      </c>
      <c r="F123" s="2">
        <f>SUMIFS('NF-e de Entrada'!E:E,'NF-e de Entrada'!A:A,Dash!B123,'NF-e de Entrada'!F:F,"Autorizada")</f>
        <v>0</v>
      </c>
      <c r="G123" s="2">
        <f>SUMIFS('NF-e de Entrada'!E:E,'NF-e de Entrada'!A:A,Dash!B123,'NF-e de Entrada'!F:F,"Cancelada")</f>
        <v>0</v>
      </c>
      <c r="H123" s="2">
        <f>SUMIFS('NF-e de Saída'!E:E,'NF-e de Saída'!A:A,Dash!B123,'NF-e de Saída'!F:F,"AUTORIZADA")</f>
        <v>0</v>
      </c>
      <c r="I123" s="2">
        <f>SUMIFS('NF-e de Saída'!E:E,'NF-e de Saída'!A:A,Dash!B123,'NF-e de Saída'!F:F,"CANCELADA")</f>
        <v>0</v>
      </c>
    </row>
    <row r="124" spans="2:9" x14ac:dyDescent="0.3">
      <c r="B124">
        <v>259</v>
      </c>
      <c r="C124" t="s">
        <v>2922</v>
      </c>
      <c r="D124" t="s">
        <v>3473</v>
      </c>
      <c r="E124" t="str">
        <f>IF(COUNTIF(Sheet3!E:E,Dash!B124)&gt;0,"Sim","Não")</f>
        <v>Sim</v>
      </c>
      <c r="F124" s="2">
        <f>SUMIFS('NF-e de Entrada'!E:E,'NF-e de Entrada'!A:A,Dash!B124,'NF-e de Entrada'!F:F,"Autorizada")</f>
        <v>0</v>
      </c>
      <c r="G124" s="2">
        <f>SUMIFS('NF-e de Entrada'!E:E,'NF-e de Entrada'!A:A,Dash!B124,'NF-e de Entrada'!F:F,"Cancelada")</f>
        <v>0</v>
      </c>
      <c r="H124" s="2">
        <f>SUMIFS('NF-e de Saída'!E:E,'NF-e de Saída'!A:A,Dash!B124,'NF-e de Saída'!F:F,"AUTORIZADA")</f>
        <v>0</v>
      </c>
      <c r="I124" s="2">
        <f>SUMIFS('NF-e de Saída'!E:E,'NF-e de Saída'!A:A,Dash!B124,'NF-e de Saída'!F:F,"CANCELADA")</f>
        <v>0</v>
      </c>
    </row>
    <row r="125" spans="2:9" x14ac:dyDescent="0.3">
      <c r="B125">
        <v>260</v>
      </c>
      <c r="C125" t="s">
        <v>2923</v>
      </c>
      <c r="D125" t="s">
        <v>2666</v>
      </c>
      <c r="E125" t="str">
        <f>IF(COUNTIF(Sheet3!E:E,Dash!B125)&gt;0,"Sim","Não")</f>
        <v>Sim</v>
      </c>
      <c r="F125" s="2">
        <f>SUMIFS('NF-e de Entrada'!E:E,'NF-e de Entrada'!A:A,Dash!B125,'NF-e de Entrada'!F:F,"Autorizada")</f>
        <v>0</v>
      </c>
      <c r="G125" s="2">
        <f>SUMIFS('NF-e de Entrada'!E:E,'NF-e de Entrada'!A:A,Dash!B125,'NF-e de Entrada'!F:F,"Cancelada")</f>
        <v>0</v>
      </c>
      <c r="H125" s="2">
        <f>SUMIFS('NF-e de Saída'!E:E,'NF-e de Saída'!A:A,Dash!B125,'NF-e de Saída'!F:F,"AUTORIZADA")</f>
        <v>0</v>
      </c>
      <c r="I125" s="2">
        <f>SUMIFS('NF-e de Saída'!E:E,'NF-e de Saída'!A:A,Dash!B125,'NF-e de Saída'!F:F,"CANCELADA")</f>
        <v>0</v>
      </c>
    </row>
    <row r="126" spans="2:9" x14ac:dyDescent="0.3">
      <c r="B126">
        <v>261</v>
      </c>
      <c r="C126" t="s">
        <v>2924</v>
      </c>
      <c r="D126" t="s">
        <v>3474</v>
      </c>
      <c r="E126" t="str">
        <f>IF(COUNTIF(Sheet3!E:E,Dash!B126)&gt;0,"Sim","Não")</f>
        <v>Sim</v>
      </c>
      <c r="F126" s="2">
        <f>SUMIFS('NF-e de Entrada'!E:E,'NF-e de Entrada'!A:A,Dash!B126,'NF-e de Entrada'!F:F,"Autorizada")</f>
        <v>3919.5200000000004</v>
      </c>
      <c r="G126" s="2">
        <f>SUMIFS('NF-e de Entrada'!E:E,'NF-e de Entrada'!A:A,Dash!B126,'NF-e de Entrada'!F:F,"Cancelada")</f>
        <v>0</v>
      </c>
      <c r="H126" s="2">
        <f>SUMIFS('NF-e de Saída'!E:E,'NF-e de Saída'!A:A,Dash!B126,'NF-e de Saída'!F:F,"AUTORIZADA")</f>
        <v>0</v>
      </c>
      <c r="I126" s="2">
        <f>SUMIFS('NF-e de Saída'!E:E,'NF-e de Saída'!A:A,Dash!B126,'NF-e de Saída'!F:F,"CANCELADA")</f>
        <v>0</v>
      </c>
    </row>
    <row r="127" spans="2:9" x14ac:dyDescent="0.3">
      <c r="B127">
        <v>262</v>
      </c>
      <c r="C127" t="s">
        <v>2925</v>
      </c>
      <c r="D127" t="s">
        <v>3475</v>
      </c>
      <c r="E127" t="str">
        <f>IF(COUNTIF(Sheet3!E:E,Dash!B127)&gt;0,"Sim","Não")</f>
        <v>Sim</v>
      </c>
      <c r="F127" s="2">
        <f>SUMIFS('NF-e de Entrada'!E:E,'NF-e de Entrada'!A:A,Dash!B127,'NF-e de Entrada'!F:F,"Autorizada")</f>
        <v>0</v>
      </c>
      <c r="G127" s="2">
        <f>SUMIFS('NF-e de Entrada'!E:E,'NF-e de Entrada'!A:A,Dash!B127,'NF-e de Entrada'!F:F,"Cancelada")</f>
        <v>0</v>
      </c>
      <c r="H127" s="2">
        <f>SUMIFS('NF-e de Saída'!E:E,'NF-e de Saída'!A:A,Dash!B127,'NF-e de Saída'!F:F,"AUTORIZADA")</f>
        <v>0</v>
      </c>
      <c r="I127" s="2">
        <f>SUMIFS('NF-e de Saída'!E:E,'NF-e de Saída'!A:A,Dash!B127,'NF-e de Saída'!F:F,"CANCELADA")</f>
        <v>0</v>
      </c>
    </row>
    <row r="128" spans="2:9" x14ac:dyDescent="0.3">
      <c r="B128">
        <v>263</v>
      </c>
      <c r="C128" t="s">
        <v>2926</v>
      </c>
      <c r="D128" t="s">
        <v>3476</v>
      </c>
      <c r="E128" t="str">
        <f>IF(COUNTIF(Sheet3!E:E,Dash!B128)&gt;0,"Sim","Não")</f>
        <v>Sim</v>
      </c>
      <c r="F128" s="2">
        <f>SUMIFS('NF-e de Entrada'!E:E,'NF-e de Entrada'!A:A,Dash!B128,'NF-e de Entrada'!F:F,"Autorizada")</f>
        <v>6120.79</v>
      </c>
      <c r="G128" s="2">
        <f>SUMIFS('NF-e de Entrada'!E:E,'NF-e de Entrada'!A:A,Dash!B128,'NF-e de Entrada'!F:F,"Cancelada")</f>
        <v>0</v>
      </c>
      <c r="H128" s="2">
        <f>SUMIFS('NF-e de Saída'!E:E,'NF-e de Saída'!A:A,Dash!B128,'NF-e de Saída'!F:F,"AUTORIZADA")</f>
        <v>0</v>
      </c>
      <c r="I128" s="2">
        <f>SUMIFS('NF-e de Saída'!E:E,'NF-e de Saída'!A:A,Dash!B128,'NF-e de Saída'!F:F,"CANCELADA")</f>
        <v>0</v>
      </c>
    </row>
    <row r="129" spans="2:9" x14ac:dyDescent="0.3">
      <c r="B129">
        <v>264</v>
      </c>
      <c r="C129" t="s">
        <v>2927</v>
      </c>
      <c r="D129" t="s">
        <v>2513</v>
      </c>
      <c r="E129" t="str">
        <f>IF(COUNTIF(Sheet3!E:E,Dash!B129)&gt;0,"Sim","Não")</f>
        <v>Sim</v>
      </c>
      <c r="F129" s="2">
        <f>SUMIFS('NF-e de Entrada'!E:E,'NF-e de Entrada'!A:A,Dash!B129,'NF-e de Entrada'!F:F,"Autorizada")</f>
        <v>3450.3800000000006</v>
      </c>
      <c r="G129" s="2">
        <f>SUMIFS('NF-e de Entrada'!E:E,'NF-e de Entrada'!A:A,Dash!B129,'NF-e de Entrada'!F:F,"Cancelada")</f>
        <v>0</v>
      </c>
      <c r="H129" s="2">
        <f>SUMIFS('NF-e de Saída'!E:E,'NF-e de Saída'!A:A,Dash!B129,'NF-e de Saída'!F:F,"AUTORIZADA")</f>
        <v>0</v>
      </c>
      <c r="I129" s="2">
        <f>SUMIFS('NF-e de Saída'!E:E,'NF-e de Saída'!A:A,Dash!B129,'NF-e de Saída'!F:F,"CANCELADA")</f>
        <v>0</v>
      </c>
    </row>
    <row r="130" spans="2:9" x14ac:dyDescent="0.3">
      <c r="B130">
        <v>265</v>
      </c>
      <c r="C130" t="s">
        <v>2928</v>
      </c>
      <c r="D130" t="s">
        <v>2562</v>
      </c>
      <c r="E130" t="str">
        <f>IF(COUNTIF(Sheet3!E:E,Dash!B130)&gt;0,"Sim","Não")</f>
        <v>Sim</v>
      </c>
      <c r="F130" s="2">
        <f>SUMIFS('NF-e de Entrada'!E:E,'NF-e de Entrada'!A:A,Dash!B130,'NF-e de Entrada'!F:F,"Autorizada")</f>
        <v>0</v>
      </c>
      <c r="G130" s="2">
        <f>SUMIFS('NF-e de Entrada'!E:E,'NF-e de Entrada'!A:A,Dash!B130,'NF-e de Entrada'!F:F,"Cancelada")</f>
        <v>0</v>
      </c>
      <c r="H130" s="2">
        <f>SUMIFS('NF-e de Saída'!E:E,'NF-e de Saída'!A:A,Dash!B130,'NF-e de Saída'!F:F,"AUTORIZADA")</f>
        <v>0</v>
      </c>
      <c r="I130" s="2">
        <f>SUMIFS('NF-e de Saída'!E:E,'NF-e de Saída'!A:A,Dash!B130,'NF-e de Saída'!F:F,"CANCELADA")</f>
        <v>0</v>
      </c>
    </row>
    <row r="131" spans="2:9" x14ac:dyDescent="0.3">
      <c r="B131">
        <v>267</v>
      </c>
      <c r="C131" t="s">
        <v>2929</v>
      </c>
      <c r="D131" t="s">
        <v>3477</v>
      </c>
      <c r="E131" t="str">
        <f>IF(COUNTIF(Sheet3!E:E,Dash!B131)&gt;0,"Sim","Não")</f>
        <v>Não</v>
      </c>
      <c r="F131" s="2">
        <f>SUMIFS('NF-e de Entrada'!E:E,'NF-e de Entrada'!A:A,Dash!B131,'NF-e de Entrada'!F:F,"Autorizada")</f>
        <v>0</v>
      </c>
      <c r="G131" s="2">
        <f>SUMIFS('NF-e de Entrada'!E:E,'NF-e de Entrada'!A:A,Dash!B131,'NF-e de Entrada'!F:F,"Cancelada")</f>
        <v>0</v>
      </c>
      <c r="H131" s="2">
        <f>SUMIFS('NF-e de Saída'!E:E,'NF-e de Saída'!A:A,Dash!B131,'NF-e de Saída'!F:F,"AUTORIZADA")</f>
        <v>0</v>
      </c>
      <c r="I131" s="2">
        <f>SUMIFS('NF-e de Saída'!E:E,'NF-e de Saída'!A:A,Dash!B131,'NF-e de Saída'!F:F,"CANCELADA")</f>
        <v>0</v>
      </c>
    </row>
    <row r="132" spans="2:9" x14ac:dyDescent="0.3">
      <c r="B132">
        <v>270</v>
      </c>
      <c r="C132" t="s">
        <v>2930</v>
      </c>
      <c r="D132" t="s">
        <v>3478</v>
      </c>
      <c r="E132" t="str">
        <f>IF(COUNTIF(Sheet3!E:E,Dash!B132)&gt;0,"Sim","Não")</f>
        <v>Sim</v>
      </c>
      <c r="F132" s="2">
        <f>SUMIFS('NF-e de Entrada'!E:E,'NF-e de Entrada'!A:A,Dash!B132,'NF-e de Entrada'!F:F,"Autorizada")</f>
        <v>0</v>
      </c>
      <c r="G132" s="2">
        <f>SUMIFS('NF-e de Entrada'!E:E,'NF-e de Entrada'!A:A,Dash!B132,'NF-e de Entrada'!F:F,"Cancelada")</f>
        <v>0</v>
      </c>
      <c r="H132" s="2">
        <f>SUMIFS('NF-e de Saída'!E:E,'NF-e de Saída'!A:A,Dash!B132,'NF-e de Saída'!F:F,"AUTORIZADA")</f>
        <v>0</v>
      </c>
      <c r="I132" s="2">
        <f>SUMIFS('NF-e de Saída'!E:E,'NF-e de Saída'!A:A,Dash!B132,'NF-e de Saída'!F:F,"CANCELADA")</f>
        <v>0</v>
      </c>
    </row>
    <row r="133" spans="2:9" x14ac:dyDescent="0.3">
      <c r="B133">
        <v>271</v>
      </c>
      <c r="C133" t="s">
        <v>2931</v>
      </c>
      <c r="D133" t="s">
        <v>3479</v>
      </c>
      <c r="E133" t="str">
        <f>IF(COUNTIF(Sheet3!E:E,Dash!B133)&gt;0,"Sim","Não")</f>
        <v>Não</v>
      </c>
      <c r="F133" s="2">
        <f>SUMIFS('NF-e de Entrada'!E:E,'NF-e de Entrada'!A:A,Dash!B133,'NF-e de Entrada'!F:F,"Autorizada")</f>
        <v>0</v>
      </c>
      <c r="G133" s="2">
        <f>SUMIFS('NF-e de Entrada'!E:E,'NF-e de Entrada'!A:A,Dash!B133,'NF-e de Entrada'!F:F,"Cancelada")</f>
        <v>0</v>
      </c>
      <c r="H133" s="2">
        <f>SUMIFS('NF-e de Saída'!E:E,'NF-e de Saída'!A:A,Dash!B133,'NF-e de Saída'!F:F,"AUTORIZADA")</f>
        <v>0</v>
      </c>
      <c r="I133" s="2">
        <f>SUMIFS('NF-e de Saída'!E:E,'NF-e de Saída'!A:A,Dash!B133,'NF-e de Saída'!F:F,"CANCELADA")</f>
        <v>0</v>
      </c>
    </row>
    <row r="134" spans="2:9" x14ac:dyDescent="0.3">
      <c r="B134">
        <v>276</v>
      </c>
      <c r="C134" t="s">
        <v>2932</v>
      </c>
      <c r="D134" t="s">
        <v>3480</v>
      </c>
      <c r="E134" t="str">
        <f>IF(COUNTIF(Sheet3!E:E,Dash!B134)&gt;0,"Sim","Não")</f>
        <v>Não</v>
      </c>
      <c r="F134" s="2">
        <f>SUMIFS('NF-e de Entrada'!E:E,'NF-e de Entrada'!A:A,Dash!B134,'NF-e de Entrada'!F:F,"Autorizada")</f>
        <v>0</v>
      </c>
      <c r="G134" s="2">
        <f>SUMIFS('NF-e de Entrada'!E:E,'NF-e de Entrada'!A:A,Dash!B134,'NF-e de Entrada'!F:F,"Cancelada")</f>
        <v>0</v>
      </c>
      <c r="H134" s="2">
        <f>SUMIFS('NF-e de Saída'!E:E,'NF-e de Saída'!A:A,Dash!B134,'NF-e de Saída'!F:F,"AUTORIZADA")</f>
        <v>0</v>
      </c>
      <c r="I134" s="2">
        <f>SUMIFS('NF-e de Saída'!E:E,'NF-e de Saída'!A:A,Dash!B134,'NF-e de Saída'!F:F,"CANCELADA")</f>
        <v>0</v>
      </c>
    </row>
    <row r="135" spans="2:9" x14ac:dyDescent="0.3">
      <c r="B135">
        <v>277</v>
      </c>
      <c r="C135" t="s">
        <v>2933</v>
      </c>
      <c r="D135" t="s">
        <v>2602</v>
      </c>
      <c r="E135" t="str">
        <f>IF(COUNTIF(Sheet3!E:E,Dash!B135)&gt;0,"Sim","Não")</f>
        <v>Sim</v>
      </c>
      <c r="F135" s="2">
        <f>SUMIFS('NF-e de Entrada'!E:E,'NF-e de Entrada'!A:A,Dash!B135,'NF-e de Entrada'!F:F,"Autorizada")</f>
        <v>0</v>
      </c>
      <c r="G135" s="2">
        <f>SUMIFS('NF-e de Entrada'!E:E,'NF-e de Entrada'!A:A,Dash!B135,'NF-e de Entrada'!F:F,"Cancelada")</f>
        <v>0</v>
      </c>
      <c r="H135" s="2">
        <f>SUMIFS('NF-e de Saída'!E:E,'NF-e de Saída'!A:A,Dash!B135,'NF-e de Saída'!F:F,"AUTORIZADA")</f>
        <v>0</v>
      </c>
      <c r="I135" s="2">
        <f>SUMIFS('NF-e de Saída'!E:E,'NF-e de Saída'!A:A,Dash!B135,'NF-e de Saída'!F:F,"CANCELADA")</f>
        <v>0</v>
      </c>
    </row>
    <row r="136" spans="2:9" x14ac:dyDescent="0.3">
      <c r="B136">
        <v>281</v>
      </c>
      <c r="C136" t="s">
        <v>2934</v>
      </c>
      <c r="D136" t="s">
        <v>3481</v>
      </c>
      <c r="E136" t="str">
        <f>IF(COUNTIF(Sheet3!E:E,Dash!B136)&gt;0,"Sim","Não")</f>
        <v>Não</v>
      </c>
      <c r="F136" s="2">
        <f>SUMIFS('NF-e de Entrada'!E:E,'NF-e de Entrada'!A:A,Dash!B136,'NF-e de Entrada'!F:F,"Autorizada")</f>
        <v>0</v>
      </c>
      <c r="G136" s="2">
        <f>SUMIFS('NF-e de Entrada'!E:E,'NF-e de Entrada'!A:A,Dash!B136,'NF-e de Entrada'!F:F,"Cancelada")</f>
        <v>0</v>
      </c>
      <c r="H136" s="2">
        <f>SUMIFS('NF-e de Saída'!E:E,'NF-e de Saída'!A:A,Dash!B136,'NF-e de Saída'!F:F,"AUTORIZADA")</f>
        <v>0</v>
      </c>
      <c r="I136" s="2">
        <f>SUMIFS('NF-e de Saída'!E:E,'NF-e de Saída'!A:A,Dash!B136,'NF-e de Saída'!F:F,"CANCELADA")</f>
        <v>0</v>
      </c>
    </row>
    <row r="137" spans="2:9" x14ac:dyDescent="0.3">
      <c r="B137">
        <v>282</v>
      </c>
      <c r="C137" t="s">
        <v>2935</v>
      </c>
      <c r="D137" t="s">
        <v>3482</v>
      </c>
      <c r="E137" t="str">
        <f>IF(COUNTIF(Sheet3!E:E,Dash!B137)&gt;0,"Sim","Não")</f>
        <v>Não</v>
      </c>
      <c r="F137" s="2">
        <f>SUMIFS('NF-e de Entrada'!E:E,'NF-e de Entrada'!A:A,Dash!B137,'NF-e de Entrada'!F:F,"Autorizada")</f>
        <v>0</v>
      </c>
      <c r="G137" s="2">
        <f>SUMIFS('NF-e de Entrada'!E:E,'NF-e de Entrada'!A:A,Dash!B137,'NF-e de Entrada'!F:F,"Cancelada")</f>
        <v>0</v>
      </c>
      <c r="H137" s="2">
        <f>SUMIFS('NF-e de Saída'!E:E,'NF-e de Saída'!A:A,Dash!B137,'NF-e de Saída'!F:F,"AUTORIZADA")</f>
        <v>0</v>
      </c>
      <c r="I137" s="2">
        <f>SUMIFS('NF-e de Saída'!E:E,'NF-e de Saída'!A:A,Dash!B137,'NF-e de Saída'!F:F,"CANCELADA")</f>
        <v>0</v>
      </c>
    </row>
    <row r="138" spans="2:9" x14ac:dyDescent="0.3">
      <c r="B138">
        <v>287</v>
      </c>
      <c r="C138" t="s">
        <v>2936</v>
      </c>
      <c r="D138" t="s">
        <v>3483</v>
      </c>
      <c r="E138" t="str">
        <f>IF(COUNTIF(Sheet3!E:E,Dash!B138)&gt;0,"Sim","Não")</f>
        <v>Não</v>
      </c>
      <c r="F138" s="2">
        <f>SUMIFS('NF-e de Entrada'!E:E,'NF-e de Entrada'!A:A,Dash!B138,'NF-e de Entrada'!F:F,"Autorizada")</f>
        <v>0</v>
      </c>
      <c r="G138" s="2">
        <f>SUMIFS('NF-e de Entrada'!E:E,'NF-e de Entrada'!A:A,Dash!B138,'NF-e de Entrada'!F:F,"Cancelada")</f>
        <v>0</v>
      </c>
      <c r="H138" s="2">
        <f>SUMIFS('NF-e de Saída'!E:E,'NF-e de Saída'!A:A,Dash!B138,'NF-e de Saída'!F:F,"AUTORIZADA")</f>
        <v>0</v>
      </c>
      <c r="I138" s="2">
        <f>SUMIFS('NF-e de Saída'!E:E,'NF-e de Saída'!A:A,Dash!B138,'NF-e de Saída'!F:F,"CANCELADA")</f>
        <v>0</v>
      </c>
    </row>
    <row r="139" spans="2:9" x14ac:dyDescent="0.3">
      <c r="B139">
        <v>288</v>
      </c>
      <c r="C139" t="s">
        <v>2937</v>
      </c>
      <c r="D139" t="s">
        <v>2494</v>
      </c>
      <c r="E139" t="str">
        <f>IF(COUNTIF(Sheet3!E:E,Dash!B139)&gt;0,"Sim","Não")</f>
        <v>Sim</v>
      </c>
      <c r="F139" s="2">
        <f>SUMIFS('NF-e de Entrada'!E:E,'NF-e de Entrada'!A:A,Dash!B139,'NF-e de Entrada'!F:F,"Autorizada")</f>
        <v>0</v>
      </c>
      <c r="G139" s="2">
        <f>SUMIFS('NF-e de Entrada'!E:E,'NF-e de Entrada'!A:A,Dash!B139,'NF-e de Entrada'!F:F,"Cancelada")</f>
        <v>0</v>
      </c>
      <c r="H139" s="2">
        <f>SUMIFS('NF-e de Saída'!E:E,'NF-e de Saída'!A:A,Dash!B139,'NF-e de Saída'!F:F,"AUTORIZADA")</f>
        <v>0</v>
      </c>
      <c r="I139" s="2">
        <f>SUMIFS('NF-e de Saída'!E:E,'NF-e de Saída'!A:A,Dash!B139,'NF-e de Saída'!F:F,"CANCELADA")</f>
        <v>0</v>
      </c>
    </row>
    <row r="140" spans="2:9" x14ac:dyDescent="0.3">
      <c r="B140">
        <v>289</v>
      </c>
      <c r="C140" t="s">
        <v>2938</v>
      </c>
      <c r="D140" t="s">
        <v>2739</v>
      </c>
      <c r="E140" t="str">
        <f>IF(COUNTIF(Sheet3!E:E,Dash!B140)&gt;0,"Sim","Não")</f>
        <v>Sim</v>
      </c>
      <c r="F140" s="2">
        <f>SUMIFS('NF-e de Entrada'!E:E,'NF-e de Entrada'!A:A,Dash!B140,'NF-e de Entrada'!F:F,"Autorizada")</f>
        <v>0</v>
      </c>
      <c r="G140" s="2">
        <f>SUMIFS('NF-e de Entrada'!E:E,'NF-e de Entrada'!A:A,Dash!B140,'NF-e de Entrada'!F:F,"Cancelada")</f>
        <v>0</v>
      </c>
      <c r="H140" s="2">
        <f>SUMIFS('NF-e de Saída'!E:E,'NF-e de Saída'!A:A,Dash!B140,'NF-e de Saída'!F:F,"AUTORIZADA")</f>
        <v>0</v>
      </c>
      <c r="I140" s="2">
        <f>SUMIFS('NF-e de Saída'!E:E,'NF-e de Saída'!A:A,Dash!B140,'NF-e de Saída'!F:F,"CANCELADA")</f>
        <v>0</v>
      </c>
    </row>
    <row r="141" spans="2:9" x14ac:dyDescent="0.3">
      <c r="B141">
        <v>290</v>
      </c>
      <c r="C141" t="s">
        <v>2939</v>
      </c>
      <c r="D141" t="s">
        <v>2494</v>
      </c>
      <c r="E141" t="str">
        <f>IF(COUNTIF(Sheet3!E:E,Dash!B141)&gt;0,"Sim","Não")</f>
        <v>Sim</v>
      </c>
      <c r="F141" s="2">
        <f>SUMIFS('NF-e de Entrada'!E:E,'NF-e de Entrada'!A:A,Dash!B141,'NF-e de Entrada'!F:F,"Autorizada")</f>
        <v>0</v>
      </c>
      <c r="G141" s="2">
        <f>SUMIFS('NF-e de Entrada'!E:E,'NF-e de Entrada'!A:A,Dash!B141,'NF-e de Entrada'!F:F,"Cancelada")</f>
        <v>0</v>
      </c>
      <c r="H141" s="2">
        <f>SUMIFS('NF-e de Saída'!E:E,'NF-e de Saída'!A:A,Dash!B141,'NF-e de Saída'!F:F,"AUTORIZADA")</f>
        <v>0</v>
      </c>
      <c r="I141" s="2">
        <f>SUMIFS('NF-e de Saída'!E:E,'NF-e de Saída'!A:A,Dash!B141,'NF-e de Saída'!F:F,"CANCELADA")</f>
        <v>0</v>
      </c>
    </row>
    <row r="142" spans="2:9" x14ac:dyDescent="0.3">
      <c r="B142">
        <v>292</v>
      </c>
      <c r="C142" t="s">
        <v>2940</v>
      </c>
      <c r="D142" t="s">
        <v>2494</v>
      </c>
      <c r="E142" t="str">
        <f>IF(COUNTIF(Sheet3!E:E,Dash!B142)&gt;0,"Sim","Não")</f>
        <v>Sim</v>
      </c>
      <c r="F142" s="2">
        <f>SUMIFS('NF-e de Entrada'!E:E,'NF-e de Entrada'!A:A,Dash!B142,'NF-e de Entrada'!F:F,"Autorizada")</f>
        <v>0</v>
      </c>
      <c r="G142" s="2">
        <f>SUMIFS('NF-e de Entrada'!E:E,'NF-e de Entrada'!A:A,Dash!B142,'NF-e de Entrada'!F:F,"Cancelada")</f>
        <v>0</v>
      </c>
      <c r="H142" s="2">
        <f>SUMIFS('NF-e de Saída'!E:E,'NF-e de Saída'!A:A,Dash!B142,'NF-e de Saída'!F:F,"AUTORIZADA")</f>
        <v>0</v>
      </c>
      <c r="I142" s="2">
        <f>SUMIFS('NF-e de Saída'!E:E,'NF-e de Saída'!A:A,Dash!B142,'NF-e de Saída'!F:F,"CANCELADA")</f>
        <v>0</v>
      </c>
    </row>
    <row r="143" spans="2:9" x14ac:dyDescent="0.3">
      <c r="B143">
        <v>293</v>
      </c>
      <c r="C143" t="s">
        <v>2941</v>
      </c>
      <c r="D143" t="s">
        <v>2494</v>
      </c>
      <c r="E143" t="str">
        <f>IF(COUNTIF(Sheet3!E:E,Dash!B143)&gt;0,"Sim","Não")</f>
        <v>Sim</v>
      </c>
      <c r="F143" s="2">
        <f>SUMIFS('NF-e de Entrada'!E:E,'NF-e de Entrada'!A:A,Dash!B143,'NF-e de Entrada'!F:F,"Autorizada")</f>
        <v>0</v>
      </c>
      <c r="G143" s="2">
        <f>SUMIFS('NF-e de Entrada'!E:E,'NF-e de Entrada'!A:A,Dash!B143,'NF-e de Entrada'!F:F,"Cancelada")</f>
        <v>0</v>
      </c>
      <c r="H143" s="2">
        <f>SUMIFS('NF-e de Saída'!E:E,'NF-e de Saída'!A:A,Dash!B143,'NF-e de Saída'!F:F,"AUTORIZADA")</f>
        <v>0</v>
      </c>
      <c r="I143" s="2">
        <f>SUMIFS('NF-e de Saída'!E:E,'NF-e de Saída'!A:A,Dash!B143,'NF-e de Saída'!F:F,"CANCELADA")</f>
        <v>0</v>
      </c>
    </row>
    <row r="144" spans="2:9" x14ac:dyDescent="0.3">
      <c r="B144">
        <v>294</v>
      </c>
      <c r="C144" t="s">
        <v>2942</v>
      </c>
      <c r="D144" t="s">
        <v>2494</v>
      </c>
      <c r="E144" t="str">
        <f>IF(COUNTIF(Sheet3!E:E,Dash!B144)&gt;0,"Sim","Não")</f>
        <v>Sim</v>
      </c>
      <c r="F144" s="2">
        <f>SUMIFS('NF-e de Entrada'!E:E,'NF-e de Entrada'!A:A,Dash!B144,'NF-e de Entrada'!F:F,"Autorizada")</f>
        <v>51239.479999999996</v>
      </c>
      <c r="G144" s="2">
        <f>SUMIFS('NF-e de Entrada'!E:E,'NF-e de Entrada'!A:A,Dash!B144,'NF-e de Entrada'!F:F,"Cancelada")</f>
        <v>0</v>
      </c>
      <c r="H144" s="2">
        <f>SUMIFS('NF-e de Saída'!E:E,'NF-e de Saída'!A:A,Dash!B144,'NF-e de Saída'!F:F,"AUTORIZADA")</f>
        <v>0</v>
      </c>
      <c r="I144" s="2">
        <f>SUMIFS('NF-e de Saída'!E:E,'NF-e de Saída'!A:A,Dash!B144,'NF-e de Saída'!F:F,"CANCELADA")</f>
        <v>0</v>
      </c>
    </row>
    <row r="145" spans="2:9" x14ac:dyDescent="0.3">
      <c r="B145">
        <v>295</v>
      </c>
      <c r="C145" t="s">
        <v>2943</v>
      </c>
      <c r="D145" t="s">
        <v>2494</v>
      </c>
      <c r="E145" t="str">
        <f>IF(COUNTIF(Sheet3!E:E,Dash!B145)&gt;0,"Sim","Não")</f>
        <v>Sim</v>
      </c>
      <c r="F145" s="2">
        <f>SUMIFS('NF-e de Entrada'!E:E,'NF-e de Entrada'!A:A,Dash!B145,'NF-e de Entrada'!F:F,"Autorizada")</f>
        <v>9990.2199999999993</v>
      </c>
      <c r="G145" s="2">
        <f>SUMIFS('NF-e de Entrada'!E:E,'NF-e de Entrada'!A:A,Dash!B145,'NF-e de Entrada'!F:F,"Cancelada")</f>
        <v>0</v>
      </c>
      <c r="H145" s="2">
        <f>SUMIFS('NF-e de Saída'!E:E,'NF-e de Saída'!A:A,Dash!B145,'NF-e de Saída'!F:F,"AUTORIZADA")</f>
        <v>0</v>
      </c>
      <c r="I145" s="2">
        <f>SUMIFS('NF-e de Saída'!E:E,'NF-e de Saída'!A:A,Dash!B145,'NF-e de Saída'!F:F,"CANCELADA")</f>
        <v>0</v>
      </c>
    </row>
    <row r="146" spans="2:9" x14ac:dyDescent="0.3">
      <c r="B146">
        <v>297</v>
      </c>
      <c r="C146" t="s">
        <v>2944</v>
      </c>
      <c r="D146" t="s">
        <v>2494</v>
      </c>
      <c r="E146" t="str">
        <f>IF(COUNTIF(Sheet3!E:E,Dash!B146)&gt;0,"Sim","Não")</f>
        <v>Sim</v>
      </c>
      <c r="F146" s="2">
        <f>SUMIFS('NF-e de Entrada'!E:E,'NF-e de Entrada'!A:A,Dash!B146,'NF-e de Entrada'!F:F,"Autorizada")</f>
        <v>59384.06</v>
      </c>
      <c r="G146" s="2">
        <f>SUMIFS('NF-e de Entrada'!E:E,'NF-e de Entrada'!A:A,Dash!B146,'NF-e de Entrada'!F:F,"Cancelada")</f>
        <v>0</v>
      </c>
      <c r="H146" s="2">
        <f>SUMIFS('NF-e de Saída'!E:E,'NF-e de Saída'!A:A,Dash!B146,'NF-e de Saída'!F:F,"AUTORIZADA")</f>
        <v>0</v>
      </c>
      <c r="I146" s="2">
        <f>SUMIFS('NF-e de Saída'!E:E,'NF-e de Saída'!A:A,Dash!B146,'NF-e de Saída'!F:F,"CANCELADA")</f>
        <v>0</v>
      </c>
    </row>
    <row r="147" spans="2:9" x14ac:dyDescent="0.3">
      <c r="B147">
        <v>298</v>
      </c>
      <c r="C147" t="s">
        <v>2945</v>
      </c>
      <c r="D147" t="s">
        <v>2494</v>
      </c>
      <c r="E147" t="str">
        <f>IF(COUNTIF(Sheet3!E:E,Dash!B147)&gt;0,"Sim","Não")</f>
        <v>Sim</v>
      </c>
      <c r="F147" s="2">
        <f>SUMIFS('NF-e de Entrada'!E:E,'NF-e de Entrada'!A:A,Dash!B147,'NF-e de Entrada'!F:F,"Autorizada")</f>
        <v>0</v>
      </c>
      <c r="G147" s="2">
        <f>SUMIFS('NF-e de Entrada'!E:E,'NF-e de Entrada'!A:A,Dash!B147,'NF-e de Entrada'!F:F,"Cancelada")</f>
        <v>0</v>
      </c>
      <c r="H147" s="2">
        <f>SUMIFS('NF-e de Saída'!E:E,'NF-e de Saída'!A:A,Dash!B147,'NF-e de Saída'!F:F,"AUTORIZADA")</f>
        <v>0</v>
      </c>
      <c r="I147" s="2">
        <f>SUMIFS('NF-e de Saída'!E:E,'NF-e de Saída'!A:A,Dash!B147,'NF-e de Saída'!F:F,"CANCELADA")</f>
        <v>0</v>
      </c>
    </row>
    <row r="148" spans="2:9" x14ac:dyDescent="0.3">
      <c r="B148">
        <v>300</v>
      </c>
      <c r="C148" t="s">
        <v>2946</v>
      </c>
      <c r="D148" t="s">
        <v>3484</v>
      </c>
      <c r="E148" t="str">
        <f>IF(COUNTIF(Sheet3!E:E,Dash!B148)&gt;0,"Sim","Não")</f>
        <v>Não</v>
      </c>
      <c r="F148" s="2">
        <f>SUMIFS('NF-e de Entrada'!E:E,'NF-e de Entrada'!A:A,Dash!B148,'NF-e de Entrada'!F:F,"Autorizada")</f>
        <v>0</v>
      </c>
      <c r="G148" s="2">
        <f>SUMIFS('NF-e de Entrada'!E:E,'NF-e de Entrada'!A:A,Dash!B148,'NF-e de Entrada'!F:F,"Cancelada")</f>
        <v>0</v>
      </c>
      <c r="H148" s="2">
        <f>SUMIFS('NF-e de Saída'!E:E,'NF-e de Saída'!A:A,Dash!B148,'NF-e de Saída'!F:F,"AUTORIZADA")</f>
        <v>0</v>
      </c>
      <c r="I148" s="2">
        <f>SUMIFS('NF-e de Saída'!E:E,'NF-e de Saída'!A:A,Dash!B148,'NF-e de Saída'!F:F,"CANCELADA")</f>
        <v>0</v>
      </c>
    </row>
    <row r="149" spans="2:9" x14ac:dyDescent="0.3">
      <c r="B149">
        <v>302</v>
      </c>
      <c r="C149" t="s">
        <v>2947</v>
      </c>
      <c r="D149" t="s">
        <v>3485</v>
      </c>
      <c r="E149" t="str">
        <f>IF(COUNTIF(Sheet3!E:E,Dash!B149)&gt;0,"Sim","Não")</f>
        <v>Não</v>
      </c>
      <c r="F149" s="2">
        <f>SUMIFS('NF-e de Entrada'!E:E,'NF-e de Entrada'!A:A,Dash!B149,'NF-e de Entrada'!F:F,"Autorizada")</f>
        <v>0</v>
      </c>
      <c r="G149" s="2">
        <f>SUMIFS('NF-e de Entrada'!E:E,'NF-e de Entrada'!A:A,Dash!B149,'NF-e de Entrada'!F:F,"Cancelada")</f>
        <v>0</v>
      </c>
      <c r="H149" s="2">
        <f>SUMIFS('NF-e de Saída'!E:E,'NF-e de Saída'!A:A,Dash!B149,'NF-e de Saída'!F:F,"AUTORIZADA")</f>
        <v>0</v>
      </c>
      <c r="I149" s="2">
        <f>SUMIFS('NF-e de Saída'!E:E,'NF-e de Saída'!A:A,Dash!B149,'NF-e de Saída'!F:F,"CANCELADA")</f>
        <v>0</v>
      </c>
    </row>
    <row r="150" spans="2:9" x14ac:dyDescent="0.3">
      <c r="B150">
        <v>303</v>
      </c>
      <c r="C150" t="s">
        <v>2948</v>
      </c>
      <c r="D150" t="s">
        <v>2600</v>
      </c>
      <c r="E150" t="str">
        <f>IF(COUNTIF(Sheet3!E:E,Dash!B150)&gt;0,"Sim","Não")</f>
        <v>Sim</v>
      </c>
      <c r="F150" s="2">
        <f>SUMIFS('NF-e de Entrada'!E:E,'NF-e de Entrada'!A:A,Dash!B150,'NF-e de Entrada'!F:F,"Autorizada")</f>
        <v>0</v>
      </c>
      <c r="G150" s="2">
        <f>SUMIFS('NF-e de Entrada'!E:E,'NF-e de Entrada'!A:A,Dash!B150,'NF-e de Entrada'!F:F,"Cancelada")</f>
        <v>0</v>
      </c>
      <c r="H150" s="2">
        <f>SUMIFS('NF-e de Saída'!E:E,'NF-e de Saída'!A:A,Dash!B150,'NF-e de Saída'!F:F,"AUTORIZADA")</f>
        <v>0</v>
      </c>
      <c r="I150" s="2">
        <f>SUMIFS('NF-e de Saída'!E:E,'NF-e de Saída'!A:A,Dash!B150,'NF-e de Saída'!F:F,"CANCELADA")</f>
        <v>0</v>
      </c>
    </row>
    <row r="151" spans="2:9" x14ac:dyDescent="0.3">
      <c r="B151">
        <v>304</v>
      </c>
      <c r="C151" t="s">
        <v>2949</v>
      </c>
      <c r="D151" t="s">
        <v>3486</v>
      </c>
      <c r="E151" t="str">
        <f>IF(COUNTIF(Sheet3!E:E,Dash!B151)&gt;0,"Sim","Não")</f>
        <v>Não</v>
      </c>
      <c r="F151" s="2">
        <f>SUMIFS('NF-e de Entrada'!E:E,'NF-e de Entrada'!A:A,Dash!B151,'NF-e de Entrada'!F:F,"Autorizada")</f>
        <v>0</v>
      </c>
      <c r="G151" s="2">
        <f>SUMIFS('NF-e de Entrada'!E:E,'NF-e de Entrada'!A:A,Dash!B151,'NF-e de Entrada'!F:F,"Cancelada")</f>
        <v>0</v>
      </c>
      <c r="H151" s="2">
        <f>SUMIFS('NF-e de Saída'!E:E,'NF-e de Saída'!A:A,Dash!B151,'NF-e de Saída'!F:F,"AUTORIZADA")</f>
        <v>0</v>
      </c>
      <c r="I151" s="2">
        <f>SUMIFS('NF-e de Saída'!E:E,'NF-e de Saída'!A:A,Dash!B151,'NF-e de Saída'!F:F,"CANCELADA")</f>
        <v>0</v>
      </c>
    </row>
    <row r="152" spans="2:9" x14ac:dyDescent="0.3">
      <c r="B152">
        <v>305</v>
      </c>
      <c r="C152" t="s">
        <v>2950</v>
      </c>
      <c r="D152" t="s">
        <v>3487</v>
      </c>
      <c r="E152" t="str">
        <f>IF(COUNTIF(Sheet3!E:E,Dash!B152)&gt;0,"Sim","Não")</f>
        <v>Não</v>
      </c>
      <c r="F152" s="2">
        <f>SUMIFS('NF-e de Entrada'!E:E,'NF-e de Entrada'!A:A,Dash!B152,'NF-e de Entrada'!F:F,"Autorizada")</f>
        <v>0</v>
      </c>
      <c r="G152" s="2">
        <f>SUMIFS('NF-e de Entrada'!E:E,'NF-e de Entrada'!A:A,Dash!B152,'NF-e de Entrada'!F:F,"Cancelada")</f>
        <v>0</v>
      </c>
      <c r="H152" s="2">
        <f>SUMIFS('NF-e de Saída'!E:E,'NF-e de Saída'!A:A,Dash!B152,'NF-e de Saída'!F:F,"AUTORIZADA")</f>
        <v>0</v>
      </c>
      <c r="I152" s="2">
        <f>SUMIFS('NF-e de Saída'!E:E,'NF-e de Saída'!A:A,Dash!B152,'NF-e de Saída'!F:F,"CANCELADA")</f>
        <v>0</v>
      </c>
    </row>
    <row r="153" spans="2:9" x14ac:dyDescent="0.3">
      <c r="B153">
        <v>306</v>
      </c>
      <c r="C153" t="s">
        <v>2951</v>
      </c>
      <c r="D153" t="s">
        <v>3488</v>
      </c>
      <c r="E153" t="str">
        <f>IF(COUNTIF(Sheet3!E:E,Dash!B153)&gt;0,"Sim","Não")</f>
        <v>Não</v>
      </c>
      <c r="F153" s="2">
        <f>SUMIFS('NF-e de Entrada'!E:E,'NF-e de Entrada'!A:A,Dash!B153,'NF-e de Entrada'!F:F,"Autorizada")</f>
        <v>0</v>
      </c>
      <c r="G153" s="2">
        <f>SUMIFS('NF-e de Entrada'!E:E,'NF-e de Entrada'!A:A,Dash!B153,'NF-e de Entrada'!F:F,"Cancelada")</f>
        <v>0</v>
      </c>
      <c r="H153" s="2">
        <f>SUMIFS('NF-e de Saída'!E:E,'NF-e de Saída'!A:A,Dash!B153,'NF-e de Saída'!F:F,"AUTORIZADA")</f>
        <v>0</v>
      </c>
      <c r="I153" s="2">
        <f>SUMIFS('NF-e de Saída'!E:E,'NF-e de Saída'!A:A,Dash!B153,'NF-e de Saída'!F:F,"CANCELADA")</f>
        <v>0</v>
      </c>
    </row>
    <row r="154" spans="2:9" x14ac:dyDescent="0.3">
      <c r="B154">
        <v>307</v>
      </c>
      <c r="C154" t="s">
        <v>2952</v>
      </c>
      <c r="D154" t="s">
        <v>3489</v>
      </c>
      <c r="E154" t="str">
        <f>IF(COUNTIF(Sheet3!E:E,Dash!B154)&gt;0,"Sim","Não")</f>
        <v>Não</v>
      </c>
      <c r="F154" s="2">
        <f>SUMIFS('NF-e de Entrada'!E:E,'NF-e de Entrada'!A:A,Dash!B154,'NF-e de Entrada'!F:F,"Autorizada")</f>
        <v>0</v>
      </c>
      <c r="G154" s="2">
        <f>SUMIFS('NF-e de Entrada'!E:E,'NF-e de Entrada'!A:A,Dash!B154,'NF-e de Entrada'!F:F,"Cancelada")</f>
        <v>0</v>
      </c>
      <c r="H154" s="2">
        <f>SUMIFS('NF-e de Saída'!E:E,'NF-e de Saída'!A:A,Dash!B154,'NF-e de Saída'!F:F,"AUTORIZADA")</f>
        <v>0</v>
      </c>
      <c r="I154" s="2">
        <f>SUMIFS('NF-e de Saída'!E:E,'NF-e de Saída'!A:A,Dash!B154,'NF-e de Saída'!F:F,"CANCELADA")</f>
        <v>0</v>
      </c>
    </row>
    <row r="155" spans="2:9" x14ac:dyDescent="0.3">
      <c r="B155">
        <v>308</v>
      </c>
      <c r="C155" t="s">
        <v>2953</v>
      </c>
      <c r="D155" t="s">
        <v>3490</v>
      </c>
      <c r="E155" t="str">
        <f>IF(COUNTIF(Sheet3!E:E,Dash!B155)&gt;0,"Sim","Não")</f>
        <v>Não</v>
      </c>
      <c r="F155" s="2">
        <f>SUMIFS('NF-e de Entrada'!E:E,'NF-e de Entrada'!A:A,Dash!B155,'NF-e de Entrada'!F:F,"Autorizada")</f>
        <v>0</v>
      </c>
      <c r="G155" s="2">
        <f>SUMIFS('NF-e de Entrada'!E:E,'NF-e de Entrada'!A:A,Dash!B155,'NF-e de Entrada'!F:F,"Cancelada")</f>
        <v>0</v>
      </c>
      <c r="H155" s="2">
        <f>SUMIFS('NF-e de Saída'!E:E,'NF-e de Saída'!A:A,Dash!B155,'NF-e de Saída'!F:F,"AUTORIZADA")</f>
        <v>0</v>
      </c>
      <c r="I155" s="2">
        <f>SUMIFS('NF-e de Saída'!E:E,'NF-e de Saída'!A:A,Dash!B155,'NF-e de Saída'!F:F,"CANCELADA")</f>
        <v>0</v>
      </c>
    </row>
    <row r="156" spans="2:9" x14ac:dyDescent="0.3">
      <c r="B156">
        <v>309</v>
      </c>
      <c r="C156" t="s">
        <v>2954</v>
      </c>
      <c r="D156" t="s">
        <v>3491</v>
      </c>
      <c r="E156" t="str">
        <f>IF(COUNTIF(Sheet3!E:E,Dash!B156)&gt;0,"Sim","Não")</f>
        <v>Sim</v>
      </c>
      <c r="F156" s="2">
        <f>SUMIFS('NF-e de Entrada'!E:E,'NF-e de Entrada'!A:A,Dash!B156,'NF-e de Entrada'!F:F,"Autorizada")</f>
        <v>0</v>
      </c>
      <c r="G156" s="2">
        <f>SUMIFS('NF-e de Entrada'!E:E,'NF-e de Entrada'!A:A,Dash!B156,'NF-e de Entrada'!F:F,"Cancelada")</f>
        <v>0</v>
      </c>
      <c r="H156" s="2">
        <f>SUMIFS('NF-e de Saída'!E:E,'NF-e de Saída'!A:A,Dash!B156,'NF-e de Saída'!F:F,"AUTORIZADA")</f>
        <v>0</v>
      </c>
      <c r="I156" s="2">
        <f>SUMIFS('NF-e de Saída'!E:E,'NF-e de Saída'!A:A,Dash!B156,'NF-e de Saída'!F:F,"CANCELADA")</f>
        <v>0</v>
      </c>
    </row>
    <row r="157" spans="2:9" x14ac:dyDescent="0.3">
      <c r="B157">
        <v>313</v>
      </c>
      <c r="C157" t="s">
        <v>2955</v>
      </c>
      <c r="D157" t="s">
        <v>3492</v>
      </c>
      <c r="E157" t="str">
        <f>IF(COUNTIF(Sheet3!E:E,Dash!B157)&gt;0,"Sim","Não")</f>
        <v>Não</v>
      </c>
      <c r="F157" s="2">
        <f>SUMIFS('NF-e de Entrada'!E:E,'NF-e de Entrada'!A:A,Dash!B157,'NF-e de Entrada'!F:F,"Autorizada")</f>
        <v>0</v>
      </c>
      <c r="G157" s="2">
        <f>SUMIFS('NF-e de Entrada'!E:E,'NF-e de Entrada'!A:A,Dash!B157,'NF-e de Entrada'!F:F,"Cancelada")</f>
        <v>0</v>
      </c>
      <c r="H157" s="2">
        <f>SUMIFS('NF-e de Saída'!E:E,'NF-e de Saída'!A:A,Dash!B157,'NF-e de Saída'!F:F,"AUTORIZADA")</f>
        <v>0</v>
      </c>
      <c r="I157" s="2">
        <f>SUMIFS('NF-e de Saída'!E:E,'NF-e de Saída'!A:A,Dash!B157,'NF-e de Saída'!F:F,"CANCELADA")</f>
        <v>0</v>
      </c>
    </row>
    <row r="158" spans="2:9" x14ac:dyDescent="0.3">
      <c r="B158">
        <v>317</v>
      </c>
      <c r="C158" t="s">
        <v>2956</v>
      </c>
      <c r="D158" t="s">
        <v>3493</v>
      </c>
      <c r="E158" t="str">
        <f>IF(COUNTIF(Sheet3!E:E,Dash!B158)&gt;0,"Sim","Não")</f>
        <v>Não</v>
      </c>
      <c r="F158" s="2">
        <f>SUMIFS('NF-e de Entrada'!E:E,'NF-e de Entrada'!A:A,Dash!B158,'NF-e de Entrada'!F:F,"Autorizada")</f>
        <v>0</v>
      </c>
      <c r="G158" s="2">
        <f>SUMIFS('NF-e de Entrada'!E:E,'NF-e de Entrada'!A:A,Dash!B158,'NF-e de Entrada'!F:F,"Cancelada")</f>
        <v>0</v>
      </c>
      <c r="H158" s="2">
        <f>SUMIFS('NF-e de Saída'!E:E,'NF-e de Saída'!A:A,Dash!B158,'NF-e de Saída'!F:F,"AUTORIZADA")</f>
        <v>0</v>
      </c>
      <c r="I158" s="2">
        <f>SUMIFS('NF-e de Saída'!E:E,'NF-e de Saída'!A:A,Dash!B158,'NF-e de Saída'!F:F,"CANCELADA")</f>
        <v>0</v>
      </c>
    </row>
    <row r="159" spans="2:9" x14ac:dyDescent="0.3">
      <c r="B159">
        <v>319</v>
      </c>
      <c r="C159" t="s">
        <v>2957</v>
      </c>
      <c r="D159" t="s">
        <v>3494</v>
      </c>
      <c r="E159" t="str">
        <f>IF(COUNTIF(Sheet3!E:E,Dash!B159)&gt;0,"Sim","Não")</f>
        <v>Não</v>
      </c>
      <c r="F159" s="2">
        <f>SUMIFS('NF-e de Entrada'!E:E,'NF-e de Entrada'!A:A,Dash!B159,'NF-e de Entrada'!F:F,"Autorizada")</f>
        <v>0</v>
      </c>
      <c r="G159" s="2">
        <f>SUMIFS('NF-e de Entrada'!E:E,'NF-e de Entrada'!A:A,Dash!B159,'NF-e de Entrada'!F:F,"Cancelada")</f>
        <v>0</v>
      </c>
      <c r="H159" s="2">
        <f>SUMIFS('NF-e de Saída'!E:E,'NF-e de Saída'!A:A,Dash!B159,'NF-e de Saída'!F:F,"AUTORIZADA")</f>
        <v>0</v>
      </c>
      <c r="I159" s="2">
        <f>SUMIFS('NF-e de Saída'!E:E,'NF-e de Saída'!A:A,Dash!B159,'NF-e de Saída'!F:F,"CANCELADA")</f>
        <v>0</v>
      </c>
    </row>
    <row r="160" spans="2:9" x14ac:dyDescent="0.3">
      <c r="B160">
        <v>320</v>
      </c>
      <c r="C160" t="s">
        <v>2958</v>
      </c>
      <c r="D160" t="s">
        <v>3494</v>
      </c>
      <c r="E160" t="str">
        <f>IF(COUNTIF(Sheet3!E:E,Dash!B160)&gt;0,"Sim","Não")</f>
        <v>Não</v>
      </c>
      <c r="F160" s="2">
        <f>SUMIFS('NF-e de Entrada'!E:E,'NF-e de Entrada'!A:A,Dash!B160,'NF-e de Entrada'!F:F,"Autorizada")</f>
        <v>0</v>
      </c>
      <c r="G160" s="2">
        <f>SUMIFS('NF-e de Entrada'!E:E,'NF-e de Entrada'!A:A,Dash!B160,'NF-e de Entrada'!F:F,"Cancelada")</f>
        <v>0</v>
      </c>
      <c r="H160" s="2">
        <f>SUMIFS('NF-e de Saída'!E:E,'NF-e de Saída'!A:A,Dash!B160,'NF-e de Saída'!F:F,"AUTORIZADA")</f>
        <v>0</v>
      </c>
      <c r="I160" s="2">
        <f>SUMIFS('NF-e de Saída'!E:E,'NF-e de Saída'!A:A,Dash!B160,'NF-e de Saída'!F:F,"CANCELADA")</f>
        <v>0</v>
      </c>
    </row>
    <row r="161" spans="2:9" x14ac:dyDescent="0.3">
      <c r="B161">
        <v>324</v>
      </c>
      <c r="C161" t="s">
        <v>2959</v>
      </c>
      <c r="D161" t="s">
        <v>2496</v>
      </c>
      <c r="E161" t="str">
        <f>IF(COUNTIF(Sheet3!E:E,Dash!B161)&gt;0,"Sim","Não")</f>
        <v>Sim</v>
      </c>
      <c r="F161" s="2">
        <f>SUMIFS('NF-e de Entrada'!E:E,'NF-e de Entrada'!A:A,Dash!B161,'NF-e de Entrada'!F:F,"Autorizada")</f>
        <v>1178.0999999999999</v>
      </c>
      <c r="G161" s="2">
        <f>SUMIFS('NF-e de Entrada'!E:E,'NF-e de Entrada'!A:A,Dash!B161,'NF-e de Entrada'!F:F,"Cancelada")</f>
        <v>1228.5</v>
      </c>
      <c r="H161" s="2">
        <f>SUMIFS('NF-e de Saída'!E:E,'NF-e de Saída'!A:A,Dash!B161,'NF-e de Saída'!F:F,"AUTORIZADA")</f>
        <v>0</v>
      </c>
      <c r="I161" s="2">
        <f>SUMIFS('NF-e de Saída'!E:E,'NF-e de Saída'!A:A,Dash!B161,'NF-e de Saída'!F:F,"CANCELADA")</f>
        <v>0</v>
      </c>
    </row>
    <row r="162" spans="2:9" x14ac:dyDescent="0.3">
      <c r="B162">
        <v>327</v>
      </c>
      <c r="C162" t="s">
        <v>2960</v>
      </c>
      <c r="D162" t="s">
        <v>3495</v>
      </c>
      <c r="E162" t="str">
        <f>IF(COUNTIF(Sheet3!E:E,Dash!B162)&gt;0,"Sim","Não")</f>
        <v>Não</v>
      </c>
      <c r="F162" s="2">
        <f>SUMIFS('NF-e de Entrada'!E:E,'NF-e de Entrada'!A:A,Dash!B162,'NF-e de Entrada'!F:F,"Autorizada")</f>
        <v>0</v>
      </c>
      <c r="G162" s="2">
        <f>SUMIFS('NF-e de Entrada'!E:E,'NF-e de Entrada'!A:A,Dash!B162,'NF-e de Entrada'!F:F,"Cancelada")</f>
        <v>0</v>
      </c>
      <c r="H162" s="2">
        <f>SUMIFS('NF-e de Saída'!E:E,'NF-e de Saída'!A:A,Dash!B162,'NF-e de Saída'!F:F,"AUTORIZADA")</f>
        <v>0</v>
      </c>
      <c r="I162" s="2">
        <f>SUMIFS('NF-e de Saída'!E:E,'NF-e de Saída'!A:A,Dash!B162,'NF-e de Saída'!F:F,"CANCELADA")</f>
        <v>0</v>
      </c>
    </row>
    <row r="163" spans="2:9" x14ac:dyDescent="0.3">
      <c r="B163">
        <v>331</v>
      </c>
      <c r="C163" t="s">
        <v>2961</v>
      </c>
      <c r="D163" t="s">
        <v>2510</v>
      </c>
      <c r="E163" t="str">
        <f>IF(COUNTIF(Sheet3!E:E,Dash!B163)&gt;0,"Sim","Não")</f>
        <v>Sim</v>
      </c>
      <c r="F163" s="2">
        <f>SUMIFS('NF-e de Entrada'!E:E,'NF-e de Entrada'!A:A,Dash!B163,'NF-e de Entrada'!F:F,"Autorizada")</f>
        <v>0</v>
      </c>
      <c r="G163" s="2">
        <f>SUMIFS('NF-e de Entrada'!E:E,'NF-e de Entrada'!A:A,Dash!B163,'NF-e de Entrada'!F:F,"Cancelada")</f>
        <v>0</v>
      </c>
      <c r="H163" s="2">
        <f>SUMIFS('NF-e de Saída'!E:E,'NF-e de Saída'!A:A,Dash!B163,'NF-e de Saída'!F:F,"AUTORIZADA")</f>
        <v>0</v>
      </c>
      <c r="I163" s="2">
        <f>SUMIFS('NF-e de Saída'!E:E,'NF-e de Saída'!A:A,Dash!B163,'NF-e de Saída'!F:F,"CANCELADA")</f>
        <v>0</v>
      </c>
    </row>
    <row r="164" spans="2:9" x14ac:dyDescent="0.3">
      <c r="B164">
        <v>332</v>
      </c>
      <c r="C164" t="s">
        <v>2962</v>
      </c>
      <c r="D164" t="s">
        <v>2510</v>
      </c>
      <c r="E164" t="str">
        <f>IF(COUNTIF(Sheet3!E:E,Dash!B164)&gt;0,"Sim","Não")</f>
        <v>Sim</v>
      </c>
      <c r="F164" s="2">
        <f>SUMIFS('NF-e de Entrada'!E:E,'NF-e de Entrada'!A:A,Dash!B164,'NF-e de Entrada'!F:F,"Autorizada")</f>
        <v>0</v>
      </c>
      <c r="G164" s="2">
        <f>SUMIFS('NF-e de Entrada'!E:E,'NF-e de Entrada'!A:A,Dash!B164,'NF-e de Entrada'!F:F,"Cancelada")</f>
        <v>0</v>
      </c>
      <c r="H164" s="2">
        <f>SUMIFS('NF-e de Saída'!E:E,'NF-e de Saída'!A:A,Dash!B164,'NF-e de Saída'!F:F,"AUTORIZADA")</f>
        <v>0</v>
      </c>
      <c r="I164" s="2">
        <f>SUMIFS('NF-e de Saída'!E:E,'NF-e de Saída'!A:A,Dash!B164,'NF-e de Saída'!F:F,"CANCELADA")</f>
        <v>0</v>
      </c>
    </row>
    <row r="165" spans="2:9" x14ac:dyDescent="0.3">
      <c r="B165">
        <v>333</v>
      </c>
      <c r="C165" t="s">
        <v>2963</v>
      </c>
      <c r="D165" t="s">
        <v>2510</v>
      </c>
      <c r="E165" t="str">
        <f>IF(COUNTIF(Sheet3!E:E,Dash!B165)&gt;0,"Sim","Não")</f>
        <v>Sim</v>
      </c>
      <c r="F165" s="2">
        <f>SUMIFS('NF-e de Entrada'!E:E,'NF-e de Entrada'!A:A,Dash!B165,'NF-e de Entrada'!F:F,"Autorizada")</f>
        <v>0</v>
      </c>
      <c r="G165" s="2">
        <f>SUMIFS('NF-e de Entrada'!E:E,'NF-e de Entrada'!A:A,Dash!B165,'NF-e de Entrada'!F:F,"Cancelada")</f>
        <v>0</v>
      </c>
      <c r="H165" s="2">
        <f>SUMIFS('NF-e de Saída'!E:E,'NF-e de Saída'!A:A,Dash!B165,'NF-e de Saída'!F:F,"AUTORIZADA")</f>
        <v>0</v>
      </c>
      <c r="I165" s="2">
        <f>SUMIFS('NF-e de Saída'!E:E,'NF-e de Saída'!A:A,Dash!B165,'NF-e de Saída'!F:F,"CANCELADA")</f>
        <v>0</v>
      </c>
    </row>
    <row r="166" spans="2:9" x14ac:dyDescent="0.3">
      <c r="B166">
        <v>334</v>
      </c>
      <c r="C166" t="s">
        <v>2964</v>
      </c>
      <c r="D166" t="s">
        <v>3496</v>
      </c>
      <c r="E166" t="str">
        <f>IF(COUNTIF(Sheet3!E:E,Dash!B166)&gt;0,"Sim","Não")</f>
        <v>Sim</v>
      </c>
      <c r="F166" s="2">
        <f>SUMIFS('NF-e de Entrada'!E:E,'NF-e de Entrada'!A:A,Dash!B166,'NF-e de Entrada'!F:F,"Autorizada")</f>
        <v>0</v>
      </c>
      <c r="G166" s="2">
        <f>SUMIFS('NF-e de Entrada'!E:E,'NF-e de Entrada'!A:A,Dash!B166,'NF-e de Entrada'!F:F,"Cancelada")</f>
        <v>0</v>
      </c>
      <c r="H166" s="2">
        <f>SUMIFS('NF-e de Saída'!E:E,'NF-e de Saída'!A:A,Dash!B166,'NF-e de Saída'!F:F,"AUTORIZADA")</f>
        <v>0</v>
      </c>
      <c r="I166" s="2">
        <f>SUMIFS('NF-e de Saída'!E:E,'NF-e de Saída'!A:A,Dash!B166,'NF-e de Saída'!F:F,"CANCELADA")</f>
        <v>0</v>
      </c>
    </row>
    <row r="167" spans="2:9" x14ac:dyDescent="0.3">
      <c r="B167">
        <v>335</v>
      </c>
      <c r="C167" t="s">
        <v>2965</v>
      </c>
      <c r="D167" t="s">
        <v>3497</v>
      </c>
      <c r="E167" t="str">
        <f>IF(COUNTIF(Sheet3!E:E,Dash!B167)&gt;0,"Sim","Não")</f>
        <v>Não</v>
      </c>
      <c r="F167" s="2">
        <f>SUMIFS('NF-e de Entrada'!E:E,'NF-e de Entrada'!A:A,Dash!B167,'NF-e de Entrada'!F:F,"Autorizada")</f>
        <v>0</v>
      </c>
      <c r="G167" s="2">
        <f>SUMIFS('NF-e de Entrada'!E:E,'NF-e de Entrada'!A:A,Dash!B167,'NF-e de Entrada'!F:F,"Cancelada")</f>
        <v>0</v>
      </c>
      <c r="H167" s="2">
        <f>SUMIFS('NF-e de Saída'!E:E,'NF-e de Saída'!A:A,Dash!B167,'NF-e de Saída'!F:F,"AUTORIZADA")</f>
        <v>0</v>
      </c>
      <c r="I167" s="2">
        <f>SUMIFS('NF-e de Saída'!E:E,'NF-e de Saída'!A:A,Dash!B167,'NF-e de Saída'!F:F,"CANCELADA")</f>
        <v>0</v>
      </c>
    </row>
    <row r="168" spans="2:9" x14ac:dyDescent="0.3">
      <c r="B168">
        <v>336</v>
      </c>
      <c r="C168" t="s">
        <v>2966</v>
      </c>
      <c r="D168" t="s">
        <v>3498</v>
      </c>
      <c r="E168" t="str">
        <f>IF(COUNTIF(Sheet3!E:E,Dash!B168)&gt;0,"Sim","Não")</f>
        <v>Não</v>
      </c>
      <c r="F168" s="2">
        <f>SUMIFS('NF-e de Entrada'!E:E,'NF-e de Entrada'!A:A,Dash!B168,'NF-e de Entrada'!F:F,"Autorizada")</f>
        <v>0</v>
      </c>
      <c r="G168" s="2">
        <f>SUMIFS('NF-e de Entrada'!E:E,'NF-e de Entrada'!A:A,Dash!B168,'NF-e de Entrada'!F:F,"Cancelada")</f>
        <v>0</v>
      </c>
      <c r="H168" s="2">
        <f>SUMIFS('NF-e de Saída'!E:E,'NF-e de Saída'!A:A,Dash!B168,'NF-e de Saída'!F:F,"AUTORIZADA")</f>
        <v>0</v>
      </c>
      <c r="I168" s="2">
        <f>SUMIFS('NF-e de Saída'!E:E,'NF-e de Saída'!A:A,Dash!B168,'NF-e de Saída'!F:F,"CANCELADA")</f>
        <v>0</v>
      </c>
    </row>
    <row r="169" spans="2:9" x14ac:dyDescent="0.3">
      <c r="B169">
        <v>337</v>
      </c>
      <c r="C169" t="s">
        <v>2967</v>
      </c>
      <c r="D169" t="s">
        <v>3499</v>
      </c>
      <c r="E169" t="str">
        <f>IF(COUNTIF(Sheet3!E:E,Dash!B169)&gt;0,"Sim","Não")</f>
        <v>Não</v>
      </c>
      <c r="F169" s="2">
        <f>SUMIFS('NF-e de Entrada'!E:E,'NF-e de Entrada'!A:A,Dash!B169,'NF-e de Entrada'!F:F,"Autorizada")</f>
        <v>0</v>
      </c>
      <c r="G169" s="2">
        <f>SUMIFS('NF-e de Entrada'!E:E,'NF-e de Entrada'!A:A,Dash!B169,'NF-e de Entrada'!F:F,"Cancelada")</f>
        <v>0</v>
      </c>
      <c r="H169" s="2">
        <f>SUMIFS('NF-e de Saída'!E:E,'NF-e de Saída'!A:A,Dash!B169,'NF-e de Saída'!F:F,"AUTORIZADA")</f>
        <v>0</v>
      </c>
      <c r="I169" s="2">
        <f>SUMIFS('NF-e de Saída'!E:E,'NF-e de Saída'!A:A,Dash!B169,'NF-e de Saída'!F:F,"CANCELADA")</f>
        <v>0</v>
      </c>
    </row>
    <row r="170" spans="2:9" x14ac:dyDescent="0.3">
      <c r="B170">
        <v>339</v>
      </c>
      <c r="C170" t="s">
        <v>2968</v>
      </c>
      <c r="D170" t="s">
        <v>3500</v>
      </c>
      <c r="E170" t="str">
        <f>IF(COUNTIF(Sheet3!E:E,Dash!B170)&gt;0,"Sim","Não")</f>
        <v>Não</v>
      </c>
      <c r="F170" s="2">
        <f>SUMIFS('NF-e de Entrada'!E:E,'NF-e de Entrada'!A:A,Dash!B170,'NF-e de Entrada'!F:F,"Autorizada")</f>
        <v>0</v>
      </c>
      <c r="G170" s="2">
        <f>SUMIFS('NF-e de Entrada'!E:E,'NF-e de Entrada'!A:A,Dash!B170,'NF-e de Entrada'!F:F,"Cancelada")</f>
        <v>0</v>
      </c>
      <c r="H170" s="2">
        <f>SUMIFS('NF-e de Saída'!E:E,'NF-e de Saída'!A:A,Dash!B170,'NF-e de Saída'!F:F,"AUTORIZADA")</f>
        <v>0</v>
      </c>
      <c r="I170" s="2">
        <f>SUMIFS('NF-e de Saída'!E:E,'NF-e de Saída'!A:A,Dash!B170,'NF-e de Saída'!F:F,"CANCELADA")</f>
        <v>0</v>
      </c>
    </row>
    <row r="171" spans="2:9" x14ac:dyDescent="0.3">
      <c r="B171">
        <v>340</v>
      </c>
      <c r="C171" t="s">
        <v>2969</v>
      </c>
      <c r="D171" t="s">
        <v>3501</v>
      </c>
      <c r="E171" t="str">
        <f>IF(COUNTIF(Sheet3!E:E,Dash!B171)&gt;0,"Sim","Não")</f>
        <v>Não</v>
      </c>
      <c r="F171" s="2">
        <f>SUMIFS('NF-e de Entrada'!E:E,'NF-e de Entrada'!A:A,Dash!B171,'NF-e de Entrada'!F:F,"Autorizada")</f>
        <v>0</v>
      </c>
      <c r="G171" s="2">
        <f>SUMIFS('NF-e de Entrada'!E:E,'NF-e de Entrada'!A:A,Dash!B171,'NF-e de Entrada'!F:F,"Cancelada")</f>
        <v>0</v>
      </c>
      <c r="H171" s="2">
        <f>SUMIFS('NF-e de Saída'!E:E,'NF-e de Saída'!A:A,Dash!B171,'NF-e de Saída'!F:F,"AUTORIZADA")</f>
        <v>0</v>
      </c>
      <c r="I171" s="2">
        <f>SUMIFS('NF-e de Saída'!E:E,'NF-e de Saída'!A:A,Dash!B171,'NF-e de Saída'!F:F,"CANCELADA")</f>
        <v>0</v>
      </c>
    </row>
    <row r="172" spans="2:9" x14ac:dyDescent="0.3">
      <c r="B172">
        <v>343</v>
      </c>
      <c r="C172" t="s">
        <v>2970</v>
      </c>
      <c r="D172" t="s">
        <v>3502</v>
      </c>
      <c r="E172" t="str">
        <f>IF(COUNTIF(Sheet3!E:E,Dash!B172)&gt;0,"Sim","Não")</f>
        <v>Não</v>
      </c>
      <c r="F172" s="2">
        <f>SUMIFS('NF-e de Entrada'!E:E,'NF-e de Entrada'!A:A,Dash!B172,'NF-e de Entrada'!F:F,"Autorizada")</f>
        <v>0</v>
      </c>
      <c r="G172" s="2">
        <f>SUMIFS('NF-e de Entrada'!E:E,'NF-e de Entrada'!A:A,Dash!B172,'NF-e de Entrada'!F:F,"Cancelada")</f>
        <v>0</v>
      </c>
      <c r="H172" s="2">
        <f>SUMIFS('NF-e de Saída'!E:E,'NF-e de Saída'!A:A,Dash!B172,'NF-e de Saída'!F:F,"AUTORIZADA")</f>
        <v>0</v>
      </c>
      <c r="I172" s="2">
        <f>SUMIFS('NF-e de Saída'!E:E,'NF-e de Saída'!A:A,Dash!B172,'NF-e de Saída'!F:F,"CANCELADA")</f>
        <v>0</v>
      </c>
    </row>
    <row r="173" spans="2:9" x14ac:dyDescent="0.3">
      <c r="B173">
        <v>346</v>
      </c>
      <c r="C173" t="s">
        <v>2971</v>
      </c>
      <c r="D173" t="s">
        <v>3503</v>
      </c>
      <c r="E173" t="str">
        <f>IF(COUNTIF(Sheet3!E:E,Dash!B173)&gt;0,"Sim","Não")</f>
        <v>Não</v>
      </c>
      <c r="F173" s="2">
        <f>SUMIFS('NF-e de Entrada'!E:E,'NF-e de Entrada'!A:A,Dash!B173,'NF-e de Entrada'!F:F,"Autorizada")</f>
        <v>0</v>
      </c>
      <c r="G173" s="2">
        <f>SUMIFS('NF-e de Entrada'!E:E,'NF-e de Entrada'!A:A,Dash!B173,'NF-e de Entrada'!F:F,"Cancelada")</f>
        <v>0</v>
      </c>
      <c r="H173" s="2">
        <f>SUMIFS('NF-e de Saída'!E:E,'NF-e de Saída'!A:A,Dash!B173,'NF-e de Saída'!F:F,"AUTORIZADA")</f>
        <v>0</v>
      </c>
      <c r="I173" s="2">
        <f>SUMIFS('NF-e de Saída'!E:E,'NF-e de Saída'!A:A,Dash!B173,'NF-e de Saída'!F:F,"CANCELADA")</f>
        <v>0</v>
      </c>
    </row>
    <row r="174" spans="2:9" x14ac:dyDescent="0.3">
      <c r="B174">
        <v>347</v>
      </c>
      <c r="C174" t="s">
        <v>2972</v>
      </c>
      <c r="D174" t="s">
        <v>3504</v>
      </c>
      <c r="E174" t="str">
        <f>IF(COUNTIF(Sheet3!E:E,Dash!B174)&gt;0,"Sim","Não")</f>
        <v>Não</v>
      </c>
      <c r="F174" s="2">
        <f>SUMIFS('NF-e de Entrada'!E:E,'NF-e de Entrada'!A:A,Dash!B174,'NF-e de Entrada'!F:F,"Autorizada")</f>
        <v>0</v>
      </c>
      <c r="G174" s="2">
        <f>SUMIFS('NF-e de Entrada'!E:E,'NF-e de Entrada'!A:A,Dash!B174,'NF-e de Entrada'!F:F,"Cancelada")</f>
        <v>0</v>
      </c>
      <c r="H174" s="2">
        <f>SUMIFS('NF-e de Saída'!E:E,'NF-e de Saída'!A:A,Dash!B174,'NF-e de Saída'!F:F,"AUTORIZADA")</f>
        <v>0</v>
      </c>
      <c r="I174" s="2">
        <f>SUMIFS('NF-e de Saída'!E:E,'NF-e de Saída'!A:A,Dash!B174,'NF-e de Saída'!F:F,"CANCELADA")</f>
        <v>0</v>
      </c>
    </row>
    <row r="175" spans="2:9" x14ac:dyDescent="0.3">
      <c r="B175">
        <v>351</v>
      </c>
      <c r="C175" t="s">
        <v>2973</v>
      </c>
      <c r="D175" t="s">
        <v>3505</v>
      </c>
      <c r="E175" t="str">
        <f>IF(COUNTIF(Sheet3!E:E,Dash!B175)&gt;0,"Sim","Não")</f>
        <v>Não</v>
      </c>
      <c r="F175" s="2">
        <f>SUMIFS('NF-e de Entrada'!E:E,'NF-e de Entrada'!A:A,Dash!B175,'NF-e de Entrada'!F:F,"Autorizada")</f>
        <v>0</v>
      </c>
      <c r="G175" s="2">
        <f>SUMIFS('NF-e de Entrada'!E:E,'NF-e de Entrada'!A:A,Dash!B175,'NF-e de Entrada'!F:F,"Cancelada")</f>
        <v>0</v>
      </c>
      <c r="H175" s="2">
        <f>SUMIFS('NF-e de Saída'!E:E,'NF-e de Saída'!A:A,Dash!B175,'NF-e de Saída'!F:F,"AUTORIZADA")</f>
        <v>0</v>
      </c>
      <c r="I175" s="2">
        <f>SUMIFS('NF-e de Saída'!E:E,'NF-e de Saída'!A:A,Dash!B175,'NF-e de Saída'!F:F,"CANCELADA")</f>
        <v>0</v>
      </c>
    </row>
    <row r="176" spans="2:9" x14ac:dyDescent="0.3">
      <c r="B176">
        <v>352</v>
      </c>
      <c r="C176" t="s">
        <v>2974</v>
      </c>
      <c r="D176" t="s">
        <v>3506</v>
      </c>
      <c r="E176" t="str">
        <f>IF(COUNTIF(Sheet3!E:E,Dash!B176)&gt;0,"Sim","Não")</f>
        <v>Sim</v>
      </c>
      <c r="F176" s="2">
        <f>SUMIFS('NF-e de Entrada'!E:E,'NF-e de Entrada'!A:A,Dash!B176,'NF-e de Entrada'!F:F,"Autorizada")</f>
        <v>0</v>
      </c>
      <c r="G176" s="2">
        <f>SUMIFS('NF-e de Entrada'!E:E,'NF-e de Entrada'!A:A,Dash!B176,'NF-e de Entrada'!F:F,"Cancelada")</f>
        <v>0</v>
      </c>
      <c r="H176" s="2">
        <f>SUMIFS('NF-e de Saída'!E:E,'NF-e de Saída'!A:A,Dash!B176,'NF-e de Saída'!F:F,"AUTORIZADA")</f>
        <v>0</v>
      </c>
      <c r="I176" s="2">
        <f>SUMIFS('NF-e de Saída'!E:E,'NF-e de Saída'!A:A,Dash!B176,'NF-e de Saída'!F:F,"CANCELADA")</f>
        <v>0</v>
      </c>
    </row>
    <row r="177" spans="2:9" x14ac:dyDescent="0.3">
      <c r="B177">
        <v>353</v>
      </c>
      <c r="C177" t="s">
        <v>2975</v>
      </c>
      <c r="D177" t="s">
        <v>2571</v>
      </c>
      <c r="E177" t="str">
        <f>IF(COUNTIF(Sheet3!E:E,Dash!B177)&gt;0,"Sim","Não")</f>
        <v>Sim</v>
      </c>
      <c r="F177" s="2">
        <f>SUMIFS('NF-e de Entrada'!E:E,'NF-e de Entrada'!A:A,Dash!B177,'NF-e de Entrada'!F:F,"Autorizada")</f>
        <v>0</v>
      </c>
      <c r="G177" s="2">
        <f>SUMIFS('NF-e de Entrada'!E:E,'NF-e de Entrada'!A:A,Dash!B177,'NF-e de Entrada'!F:F,"Cancelada")</f>
        <v>0</v>
      </c>
      <c r="H177" s="2">
        <f>SUMIFS('NF-e de Saída'!E:E,'NF-e de Saída'!A:A,Dash!B177,'NF-e de Saída'!F:F,"AUTORIZADA")</f>
        <v>0</v>
      </c>
      <c r="I177" s="2">
        <f>SUMIFS('NF-e de Saída'!E:E,'NF-e de Saída'!A:A,Dash!B177,'NF-e de Saída'!F:F,"CANCELADA")</f>
        <v>0</v>
      </c>
    </row>
    <row r="178" spans="2:9" x14ac:dyDescent="0.3">
      <c r="B178">
        <v>355</v>
      </c>
      <c r="C178" t="s">
        <v>2976</v>
      </c>
      <c r="D178" t="s">
        <v>3507</v>
      </c>
      <c r="E178" t="str">
        <f>IF(COUNTIF(Sheet3!E:E,Dash!B178)&gt;0,"Sim","Não")</f>
        <v>Não</v>
      </c>
      <c r="F178" s="2">
        <f>SUMIFS('NF-e de Entrada'!E:E,'NF-e de Entrada'!A:A,Dash!B178,'NF-e de Entrada'!F:F,"Autorizada")</f>
        <v>0</v>
      </c>
      <c r="G178" s="2">
        <f>SUMIFS('NF-e de Entrada'!E:E,'NF-e de Entrada'!A:A,Dash!B178,'NF-e de Entrada'!F:F,"Cancelada")</f>
        <v>0</v>
      </c>
      <c r="H178" s="2">
        <f>SUMIFS('NF-e de Saída'!E:E,'NF-e de Saída'!A:A,Dash!B178,'NF-e de Saída'!F:F,"AUTORIZADA")</f>
        <v>0</v>
      </c>
      <c r="I178" s="2">
        <f>SUMIFS('NF-e de Saída'!E:E,'NF-e de Saída'!A:A,Dash!B178,'NF-e de Saída'!F:F,"CANCELADA")</f>
        <v>0</v>
      </c>
    </row>
    <row r="179" spans="2:9" x14ac:dyDescent="0.3">
      <c r="B179">
        <v>356</v>
      </c>
      <c r="C179" t="s">
        <v>2977</v>
      </c>
      <c r="D179" t="s">
        <v>2556</v>
      </c>
      <c r="E179" t="str">
        <f>IF(COUNTIF(Sheet3!E:E,Dash!B179)&gt;0,"Sim","Não")</f>
        <v>Sim</v>
      </c>
      <c r="F179" s="2">
        <f>SUMIFS('NF-e de Entrada'!E:E,'NF-e de Entrada'!A:A,Dash!B179,'NF-e de Entrada'!F:F,"Autorizada")</f>
        <v>0</v>
      </c>
      <c r="G179" s="2">
        <f>SUMIFS('NF-e de Entrada'!E:E,'NF-e de Entrada'!A:A,Dash!B179,'NF-e de Entrada'!F:F,"Cancelada")</f>
        <v>0</v>
      </c>
      <c r="H179" s="2">
        <f>SUMIFS('NF-e de Saída'!E:E,'NF-e de Saída'!A:A,Dash!B179,'NF-e de Saída'!F:F,"AUTORIZADA")</f>
        <v>0</v>
      </c>
      <c r="I179" s="2">
        <f>SUMIFS('NF-e de Saída'!E:E,'NF-e de Saída'!A:A,Dash!B179,'NF-e de Saída'!F:F,"CANCELADA")</f>
        <v>0</v>
      </c>
    </row>
    <row r="180" spans="2:9" x14ac:dyDescent="0.3">
      <c r="B180">
        <v>357</v>
      </c>
      <c r="C180" t="s">
        <v>2978</v>
      </c>
      <c r="D180" t="s">
        <v>3508</v>
      </c>
      <c r="E180" t="str">
        <f>IF(COUNTIF(Sheet3!E:E,Dash!B180)&gt;0,"Sim","Não")</f>
        <v>Não</v>
      </c>
      <c r="F180" s="2">
        <f>SUMIFS('NF-e de Entrada'!E:E,'NF-e de Entrada'!A:A,Dash!B180,'NF-e de Entrada'!F:F,"Autorizada")</f>
        <v>0</v>
      </c>
      <c r="G180" s="2">
        <f>SUMIFS('NF-e de Entrada'!E:E,'NF-e de Entrada'!A:A,Dash!B180,'NF-e de Entrada'!F:F,"Cancelada")</f>
        <v>0</v>
      </c>
      <c r="H180" s="2">
        <f>SUMIFS('NF-e de Saída'!E:E,'NF-e de Saída'!A:A,Dash!B180,'NF-e de Saída'!F:F,"AUTORIZADA")</f>
        <v>0</v>
      </c>
      <c r="I180" s="2">
        <f>SUMIFS('NF-e de Saída'!E:E,'NF-e de Saída'!A:A,Dash!B180,'NF-e de Saída'!F:F,"CANCELADA")</f>
        <v>0</v>
      </c>
    </row>
    <row r="181" spans="2:9" x14ac:dyDescent="0.3">
      <c r="B181">
        <v>358</v>
      </c>
      <c r="C181" t="s">
        <v>2979</v>
      </c>
      <c r="D181" t="s">
        <v>3509</v>
      </c>
      <c r="E181" t="str">
        <f>IF(COUNTIF(Sheet3!E:E,Dash!B181)&gt;0,"Sim","Não")</f>
        <v>Não</v>
      </c>
      <c r="F181" s="2">
        <f>SUMIFS('NF-e de Entrada'!E:E,'NF-e de Entrada'!A:A,Dash!B181,'NF-e de Entrada'!F:F,"Autorizada")</f>
        <v>0</v>
      </c>
      <c r="G181" s="2">
        <f>SUMIFS('NF-e de Entrada'!E:E,'NF-e de Entrada'!A:A,Dash!B181,'NF-e de Entrada'!F:F,"Cancelada")</f>
        <v>0</v>
      </c>
      <c r="H181" s="2">
        <f>SUMIFS('NF-e de Saída'!E:E,'NF-e de Saída'!A:A,Dash!B181,'NF-e de Saída'!F:F,"AUTORIZADA")</f>
        <v>0</v>
      </c>
      <c r="I181" s="2">
        <f>SUMIFS('NF-e de Saída'!E:E,'NF-e de Saída'!A:A,Dash!B181,'NF-e de Saída'!F:F,"CANCELADA")</f>
        <v>0</v>
      </c>
    </row>
    <row r="182" spans="2:9" x14ac:dyDescent="0.3">
      <c r="B182">
        <v>360</v>
      </c>
      <c r="C182" t="s">
        <v>2980</v>
      </c>
      <c r="D182" t="s">
        <v>3510</v>
      </c>
      <c r="E182" t="str">
        <f>IF(COUNTIF(Sheet3!E:E,Dash!B182)&gt;0,"Sim","Não")</f>
        <v>Não</v>
      </c>
      <c r="F182" s="2">
        <f>SUMIFS('NF-e de Entrada'!E:E,'NF-e de Entrada'!A:A,Dash!B182,'NF-e de Entrada'!F:F,"Autorizada")</f>
        <v>0</v>
      </c>
      <c r="G182" s="2">
        <f>SUMIFS('NF-e de Entrada'!E:E,'NF-e de Entrada'!A:A,Dash!B182,'NF-e de Entrada'!F:F,"Cancelada")</f>
        <v>0</v>
      </c>
      <c r="H182" s="2">
        <f>SUMIFS('NF-e de Saída'!E:E,'NF-e de Saída'!A:A,Dash!B182,'NF-e de Saída'!F:F,"AUTORIZADA")</f>
        <v>0</v>
      </c>
      <c r="I182" s="2">
        <f>SUMIFS('NF-e de Saída'!E:E,'NF-e de Saída'!A:A,Dash!B182,'NF-e de Saída'!F:F,"CANCELADA")</f>
        <v>0</v>
      </c>
    </row>
    <row r="183" spans="2:9" x14ac:dyDescent="0.3">
      <c r="B183">
        <v>361</v>
      </c>
      <c r="C183" t="s">
        <v>2981</v>
      </c>
      <c r="D183" t="s">
        <v>3511</v>
      </c>
      <c r="E183" t="str">
        <f>IF(COUNTIF(Sheet3!E:E,Dash!B183)&gt;0,"Sim","Não")</f>
        <v>Não</v>
      </c>
      <c r="F183" s="2">
        <f>SUMIFS('NF-e de Entrada'!E:E,'NF-e de Entrada'!A:A,Dash!B183,'NF-e de Entrada'!F:F,"Autorizada")</f>
        <v>0</v>
      </c>
      <c r="G183" s="2">
        <f>SUMIFS('NF-e de Entrada'!E:E,'NF-e de Entrada'!A:A,Dash!B183,'NF-e de Entrada'!F:F,"Cancelada")</f>
        <v>0</v>
      </c>
      <c r="H183" s="2">
        <f>SUMIFS('NF-e de Saída'!E:E,'NF-e de Saída'!A:A,Dash!B183,'NF-e de Saída'!F:F,"AUTORIZADA")</f>
        <v>0</v>
      </c>
      <c r="I183" s="2">
        <f>SUMIFS('NF-e de Saída'!E:E,'NF-e de Saída'!A:A,Dash!B183,'NF-e de Saída'!F:F,"CANCELADA")</f>
        <v>0</v>
      </c>
    </row>
    <row r="184" spans="2:9" x14ac:dyDescent="0.3">
      <c r="B184">
        <v>362</v>
      </c>
      <c r="C184" t="s">
        <v>2982</v>
      </c>
      <c r="D184" t="s">
        <v>3512</v>
      </c>
      <c r="E184" t="str">
        <f>IF(COUNTIF(Sheet3!E:E,Dash!B184)&gt;0,"Sim","Não")</f>
        <v>Não</v>
      </c>
      <c r="F184" s="2">
        <f>SUMIFS('NF-e de Entrada'!E:E,'NF-e de Entrada'!A:A,Dash!B184,'NF-e de Entrada'!F:F,"Autorizada")</f>
        <v>0</v>
      </c>
      <c r="G184" s="2">
        <f>SUMIFS('NF-e de Entrada'!E:E,'NF-e de Entrada'!A:A,Dash!B184,'NF-e de Entrada'!F:F,"Cancelada")</f>
        <v>0</v>
      </c>
      <c r="H184" s="2">
        <f>SUMIFS('NF-e de Saída'!E:E,'NF-e de Saída'!A:A,Dash!B184,'NF-e de Saída'!F:F,"AUTORIZADA")</f>
        <v>0</v>
      </c>
      <c r="I184" s="2">
        <f>SUMIFS('NF-e de Saída'!E:E,'NF-e de Saída'!A:A,Dash!B184,'NF-e de Saída'!F:F,"CANCELADA")</f>
        <v>0</v>
      </c>
    </row>
    <row r="185" spans="2:9" x14ac:dyDescent="0.3">
      <c r="B185">
        <v>366</v>
      </c>
      <c r="C185" t="s">
        <v>2983</v>
      </c>
      <c r="D185" t="s">
        <v>3513</v>
      </c>
      <c r="E185" t="str">
        <f>IF(COUNTIF(Sheet3!E:E,Dash!B185)&gt;0,"Sim","Não")</f>
        <v>Não</v>
      </c>
      <c r="F185" s="2">
        <f>SUMIFS('NF-e de Entrada'!E:E,'NF-e de Entrada'!A:A,Dash!B185,'NF-e de Entrada'!F:F,"Autorizada")</f>
        <v>0</v>
      </c>
      <c r="G185" s="2">
        <f>SUMIFS('NF-e de Entrada'!E:E,'NF-e de Entrada'!A:A,Dash!B185,'NF-e de Entrada'!F:F,"Cancelada")</f>
        <v>0</v>
      </c>
      <c r="H185" s="2">
        <f>SUMIFS('NF-e de Saída'!E:E,'NF-e de Saída'!A:A,Dash!B185,'NF-e de Saída'!F:F,"AUTORIZADA")</f>
        <v>0</v>
      </c>
      <c r="I185" s="2">
        <f>SUMIFS('NF-e de Saída'!E:E,'NF-e de Saída'!A:A,Dash!B185,'NF-e de Saída'!F:F,"CANCELADA")</f>
        <v>0</v>
      </c>
    </row>
    <row r="186" spans="2:9" x14ac:dyDescent="0.3">
      <c r="B186">
        <v>367</v>
      </c>
      <c r="C186" t="s">
        <v>2984</v>
      </c>
      <c r="D186" t="s">
        <v>3514</v>
      </c>
      <c r="E186" t="str">
        <f>IF(COUNTIF(Sheet3!E:E,Dash!B186)&gt;0,"Sim","Não")</f>
        <v>Não</v>
      </c>
      <c r="F186" s="2">
        <f>SUMIFS('NF-e de Entrada'!E:E,'NF-e de Entrada'!A:A,Dash!B186,'NF-e de Entrada'!F:F,"Autorizada")</f>
        <v>0</v>
      </c>
      <c r="G186" s="2">
        <f>SUMIFS('NF-e de Entrada'!E:E,'NF-e de Entrada'!A:A,Dash!B186,'NF-e de Entrada'!F:F,"Cancelada")</f>
        <v>0</v>
      </c>
      <c r="H186" s="2">
        <f>SUMIFS('NF-e de Saída'!E:E,'NF-e de Saída'!A:A,Dash!B186,'NF-e de Saída'!F:F,"AUTORIZADA")</f>
        <v>0</v>
      </c>
      <c r="I186" s="2">
        <f>SUMIFS('NF-e de Saída'!E:E,'NF-e de Saída'!A:A,Dash!B186,'NF-e de Saída'!F:F,"CANCELADA")</f>
        <v>0</v>
      </c>
    </row>
    <row r="187" spans="2:9" x14ac:dyDescent="0.3">
      <c r="B187">
        <v>368</v>
      </c>
      <c r="C187" t="s">
        <v>2985</v>
      </c>
      <c r="D187" t="s">
        <v>2521</v>
      </c>
      <c r="E187" t="str">
        <f>IF(COUNTIF(Sheet3!E:E,Dash!B187)&gt;0,"Sim","Não")</f>
        <v>Sim</v>
      </c>
      <c r="F187" s="2">
        <f>SUMIFS('NF-e de Entrada'!E:E,'NF-e de Entrada'!A:A,Dash!B187,'NF-e de Entrada'!F:F,"Autorizada")</f>
        <v>0</v>
      </c>
      <c r="G187" s="2">
        <f>SUMIFS('NF-e de Entrada'!E:E,'NF-e de Entrada'!A:A,Dash!B187,'NF-e de Entrada'!F:F,"Cancelada")</f>
        <v>0</v>
      </c>
      <c r="H187" s="2">
        <f>SUMIFS('NF-e de Saída'!E:E,'NF-e de Saída'!A:A,Dash!B187,'NF-e de Saída'!F:F,"AUTORIZADA")</f>
        <v>0</v>
      </c>
      <c r="I187" s="2">
        <f>SUMIFS('NF-e de Saída'!E:E,'NF-e de Saída'!A:A,Dash!B187,'NF-e de Saída'!F:F,"CANCELADA")</f>
        <v>0</v>
      </c>
    </row>
    <row r="188" spans="2:9" x14ac:dyDescent="0.3">
      <c r="B188">
        <v>369</v>
      </c>
      <c r="C188" t="s">
        <v>2986</v>
      </c>
      <c r="D188" t="s">
        <v>2540</v>
      </c>
      <c r="E188" t="str">
        <f>IF(COUNTIF(Sheet3!E:E,Dash!B188)&gt;0,"Sim","Não")</f>
        <v>Sim</v>
      </c>
      <c r="F188" s="2">
        <f>SUMIFS('NF-e de Entrada'!E:E,'NF-e de Entrada'!A:A,Dash!B188,'NF-e de Entrada'!F:F,"Autorizada")</f>
        <v>0</v>
      </c>
      <c r="G188" s="2">
        <f>SUMIFS('NF-e de Entrada'!E:E,'NF-e de Entrada'!A:A,Dash!B188,'NF-e de Entrada'!F:F,"Cancelada")</f>
        <v>0</v>
      </c>
      <c r="H188" s="2">
        <f>SUMIFS('NF-e de Saída'!E:E,'NF-e de Saída'!A:A,Dash!B188,'NF-e de Saída'!F:F,"AUTORIZADA")</f>
        <v>0</v>
      </c>
      <c r="I188" s="2">
        <f>SUMIFS('NF-e de Saída'!E:E,'NF-e de Saída'!A:A,Dash!B188,'NF-e de Saída'!F:F,"CANCELADA")</f>
        <v>0</v>
      </c>
    </row>
    <row r="189" spans="2:9" x14ac:dyDescent="0.3">
      <c r="B189">
        <v>370</v>
      </c>
      <c r="C189" t="s">
        <v>2987</v>
      </c>
      <c r="D189" t="s">
        <v>3515</v>
      </c>
      <c r="E189" t="str">
        <f>IF(COUNTIF(Sheet3!E:E,Dash!B189)&gt;0,"Sim","Não")</f>
        <v>Não</v>
      </c>
      <c r="F189" s="2">
        <f>SUMIFS('NF-e de Entrada'!E:E,'NF-e de Entrada'!A:A,Dash!B189,'NF-e de Entrada'!F:F,"Autorizada")</f>
        <v>0</v>
      </c>
      <c r="G189" s="2">
        <f>SUMIFS('NF-e de Entrada'!E:E,'NF-e de Entrada'!A:A,Dash!B189,'NF-e de Entrada'!F:F,"Cancelada")</f>
        <v>0</v>
      </c>
      <c r="H189" s="2">
        <f>SUMIFS('NF-e de Saída'!E:E,'NF-e de Saída'!A:A,Dash!B189,'NF-e de Saída'!F:F,"AUTORIZADA")</f>
        <v>0</v>
      </c>
      <c r="I189" s="2">
        <f>SUMIFS('NF-e de Saída'!E:E,'NF-e de Saída'!A:A,Dash!B189,'NF-e de Saída'!F:F,"CANCELADA")</f>
        <v>0</v>
      </c>
    </row>
    <row r="190" spans="2:9" x14ac:dyDescent="0.3">
      <c r="B190">
        <v>371</v>
      </c>
      <c r="C190" t="s">
        <v>2988</v>
      </c>
      <c r="D190" t="s">
        <v>2629</v>
      </c>
      <c r="E190" t="str">
        <f>IF(COUNTIF(Sheet3!E:E,Dash!B190)&gt;0,"Sim","Não")</f>
        <v>Sim</v>
      </c>
      <c r="F190" s="2">
        <f>SUMIFS('NF-e de Entrada'!E:E,'NF-e de Entrada'!A:A,Dash!B190,'NF-e de Entrada'!F:F,"Autorizada")</f>
        <v>0</v>
      </c>
      <c r="G190" s="2">
        <f>SUMIFS('NF-e de Entrada'!E:E,'NF-e de Entrada'!A:A,Dash!B190,'NF-e de Entrada'!F:F,"Cancelada")</f>
        <v>0</v>
      </c>
      <c r="H190" s="2">
        <f>SUMIFS('NF-e de Saída'!E:E,'NF-e de Saída'!A:A,Dash!B190,'NF-e de Saída'!F:F,"AUTORIZADA")</f>
        <v>0</v>
      </c>
      <c r="I190" s="2">
        <f>SUMIFS('NF-e de Saída'!E:E,'NF-e de Saída'!A:A,Dash!B190,'NF-e de Saída'!F:F,"CANCELADA")</f>
        <v>0</v>
      </c>
    </row>
    <row r="191" spans="2:9" x14ac:dyDescent="0.3">
      <c r="B191">
        <v>373</v>
      </c>
      <c r="C191" t="s">
        <v>2989</v>
      </c>
      <c r="D191" t="s">
        <v>2714</v>
      </c>
      <c r="E191" t="str">
        <f>IF(COUNTIF(Sheet3!E:E,Dash!B191)&gt;0,"Sim","Não")</f>
        <v>Sim</v>
      </c>
      <c r="F191" s="2">
        <f>SUMIFS('NF-e de Entrada'!E:E,'NF-e de Entrada'!A:A,Dash!B191,'NF-e de Entrada'!F:F,"Autorizada")</f>
        <v>0</v>
      </c>
      <c r="G191" s="2">
        <f>SUMIFS('NF-e de Entrada'!E:E,'NF-e de Entrada'!A:A,Dash!B191,'NF-e de Entrada'!F:F,"Cancelada")</f>
        <v>0</v>
      </c>
      <c r="H191" s="2">
        <f>SUMIFS('NF-e de Saída'!E:E,'NF-e de Saída'!A:A,Dash!B191,'NF-e de Saída'!F:F,"AUTORIZADA")</f>
        <v>0</v>
      </c>
      <c r="I191" s="2">
        <f>SUMIFS('NF-e de Saída'!E:E,'NF-e de Saída'!A:A,Dash!B191,'NF-e de Saída'!F:F,"CANCELADA")</f>
        <v>0</v>
      </c>
    </row>
    <row r="192" spans="2:9" x14ac:dyDescent="0.3">
      <c r="B192">
        <v>380</v>
      </c>
      <c r="C192" t="s">
        <v>2990</v>
      </c>
      <c r="D192" t="s">
        <v>3489</v>
      </c>
      <c r="E192" t="str">
        <f>IF(COUNTIF(Sheet3!E:E,Dash!B192)&gt;0,"Sim","Não")</f>
        <v>Não</v>
      </c>
      <c r="F192" s="2">
        <f>SUMIFS('NF-e de Entrada'!E:E,'NF-e de Entrada'!A:A,Dash!B192,'NF-e de Entrada'!F:F,"Autorizada")</f>
        <v>0</v>
      </c>
      <c r="G192" s="2">
        <f>SUMIFS('NF-e de Entrada'!E:E,'NF-e de Entrada'!A:A,Dash!B192,'NF-e de Entrada'!F:F,"Cancelada")</f>
        <v>0</v>
      </c>
      <c r="H192" s="2">
        <f>SUMIFS('NF-e de Saída'!E:E,'NF-e de Saída'!A:A,Dash!B192,'NF-e de Saída'!F:F,"AUTORIZADA")</f>
        <v>0</v>
      </c>
      <c r="I192" s="2">
        <f>SUMIFS('NF-e de Saída'!E:E,'NF-e de Saída'!A:A,Dash!B192,'NF-e de Saída'!F:F,"CANCELADA")</f>
        <v>0</v>
      </c>
    </row>
    <row r="193" spans="2:9" x14ac:dyDescent="0.3">
      <c r="B193">
        <v>381</v>
      </c>
      <c r="C193" t="s">
        <v>2991</v>
      </c>
      <c r="D193" t="s">
        <v>3516</v>
      </c>
      <c r="E193" t="str">
        <f>IF(COUNTIF(Sheet3!E:E,Dash!B193)&gt;0,"Sim","Não")</f>
        <v>Não</v>
      </c>
      <c r="F193" s="2">
        <f>SUMIFS('NF-e de Entrada'!E:E,'NF-e de Entrada'!A:A,Dash!B193,'NF-e de Entrada'!F:F,"Autorizada")</f>
        <v>0</v>
      </c>
      <c r="G193" s="2">
        <f>SUMIFS('NF-e de Entrada'!E:E,'NF-e de Entrada'!A:A,Dash!B193,'NF-e de Entrada'!F:F,"Cancelada")</f>
        <v>0</v>
      </c>
      <c r="H193" s="2">
        <f>SUMIFS('NF-e de Saída'!E:E,'NF-e de Saída'!A:A,Dash!B193,'NF-e de Saída'!F:F,"AUTORIZADA")</f>
        <v>0</v>
      </c>
      <c r="I193" s="2">
        <f>SUMIFS('NF-e de Saída'!E:E,'NF-e de Saída'!A:A,Dash!B193,'NF-e de Saída'!F:F,"CANCELADA")</f>
        <v>0</v>
      </c>
    </row>
    <row r="194" spans="2:9" x14ac:dyDescent="0.3">
      <c r="B194">
        <v>382</v>
      </c>
      <c r="C194" t="s">
        <v>2992</v>
      </c>
      <c r="D194" t="s">
        <v>3517</v>
      </c>
      <c r="E194" t="str">
        <f>IF(COUNTIF(Sheet3!E:E,Dash!B194)&gt;0,"Sim","Não")</f>
        <v>Não</v>
      </c>
      <c r="F194" s="2">
        <f>SUMIFS('NF-e de Entrada'!E:E,'NF-e de Entrada'!A:A,Dash!B194,'NF-e de Entrada'!F:F,"Autorizada")</f>
        <v>0</v>
      </c>
      <c r="G194" s="2">
        <f>SUMIFS('NF-e de Entrada'!E:E,'NF-e de Entrada'!A:A,Dash!B194,'NF-e de Entrada'!F:F,"Cancelada")</f>
        <v>0</v>
      </c>
      <c r="H194" s="2">
        <f>SUMIFS('NF-e de Saída'!E:E,'NF-e de Saída'!A:A,Dash!B194,'NF-e de Saída'!F:F,"AUTORIZADA")</f>
        <v>0</v>
      </c>
      <c r="I194" s="2">
        <f>SUMIFS('NF-e de Saída'!E:E,'NF-e de Saída'!A:A,Dash!B194,'NF-e de Saída'!F:F,"CANCELADA")</f>
        <v>0</v>
      </c>
    </row>
    <row r="195" spans="2:9" x14ac:dyDescent="0.3">
      <c r="B195">
        <v>384</v>
      </c>
      <c r="C195" t="s">
        <v>2993</v>
      </c>
      <c r="D195" t="s">
        <v>3518</v>
      </c>
      <c r="E195" t="str">
        <f>IF(COUNTIF(Sheet3!E:E,Dash!B195)&gt;0,"Sim","Não")</f>
        <v>Não</v>
      </c>
      <c r="F195" s="2">
        <f>SUMIFS('NF-e de Entrada'!E:E,'NF-e de Entrada'!A:A,Dash!B195,'NF-e de Entrada'!F:F,"Autorizada")</f>
        <v>0</v>
      </c>
      <c r="G195" s="2">
        <f>SUMIFS('NF-e de Entrada'!E:E,'NF-e de Entrada'!A:A,Dash!B195,'NF-e de Entrada'!F:F,"Cancelada")</f>
        <v>0</v>
      </c>
      <c r="H195" s="2">
        <f>SUMIFS('NF-e de Saída'!E:E,'NF-e de Saída'!A:A,Dash!B195,'NF-e de Saída'!F:F,"AUTORIZADA")</f>
        <v>0</v>
      </c>
      <c r="I195" s="2">
        <f>SUMIFS('NF-e de Saída'!E:E,'NF-e de Saída'!A:A,Dash!B195,'NF-e de Saída'!F:F,"CANCELADA")</f>
        <v>0</v>
      </c>
    </row>
    <row r="196" spans="2:9" x14ac:dyDescent="0.3">
      <c r="B196">
        <v>385</v>
      </c>
      <c r="C196" t="s">
        <v>2994</v>
      </c>
      <c r="D196" t="s">
        <v>3519</v>
      </c>
      <c r="E196" t="str">
        <f>IF(COUNTIF(Sheet3!E:E,Dash!B196)&gt;0,"Sim","Não")</f>
        <v>Não</v>
      </c>
      <c r="F196" s="2">
        <f>SUMIFS('NF-e de Entrada'!E:E,'NF-e de Entrada'!A:A,Dash!B196,'NF-e de Entrada'!F:F,"Autorizada")</f>
        <v>0</v>
      </c>
      <c r="G196" s="2">
        <f>SUMIFS('NF-e de Entrada'!E:E,'NF-e de Entrada'!A:A,Dash!B196,'NF-e de Entrada'!F:F,"Cancelada")</f>
        <v>0</v>
      </c>
      <c r="H196" s="2">
        <f>SUMIFS('NF-e de Saída'!E:E,'NF-e de Saída'!A:A,Dash!B196,'NF-e de Saída'!F:F,"AUTORIZADA")</f>
        <v>0</v>
      </c>
      <c r="I196" s="2">
        <f>SUMIFS('NF-e de Saída'!E:E,'NF-e de Saída'!A:A,Dash!B196,'NF-e de Saída'!F:F,"CANCELADA")</f>
        <v>0</v>
      </c>
    </row>
    <row r="197" spans="2:9" x14ac:dyDescent="0.3">
      <c r="B197">
        <v>388</v>
      </c>
      <c r="C197" t="s">
        <v>2995</v>
      </c>
      <c r="D197" t="s">
        <v>3520</v>
      </c>
      <c r="E197" t="str">
        <f>IF(COUNTIF(Sheet3!E:E,Dash!B197)&gt;0,"Sim","Não")</f>
        <v>Não</v>
      </c>
      <c r="F197" s="2">
        <f>SUMIFS('NF-e de Entrada'!E:E,'NF-e de Entrada'!A:A,Dash!B197,'NF-e de Entrada'!F:F,"Autorizada")</f>
        <v>0</v>
      </c>
      <c r="G197" s="2">
        <f>SUMIFS('NF-e de Entrada'!E:E,'NF-e de Entrada'!A:A,Dash!B197,'NF-e de Entrada'!F:F,"Cancelada")</f>
        <v>0</v>
      </c>
      <c r="H197" s="2">
        <f>SUMIFS('NF-e de Saída'!E:E,'NF-e de Saída'!A:A,Dash!B197,'NF-e de Saída'!F:F,"AUTORIZADA")</f>
        <v>0</v>
      </c>
      <c r="I197" s="2">
        <f>SUMIFS('NF-e de Saída'!E:E,'NF-e de Saída'!A:A,Dash!B197,'NF-e de Saída'!F:F,"CANCELADA")</f>
        <v>0</v>
      </c>
    </row>
    <row r="198" spans="2:9" x14ac:dyDescent="0.3">
      <c r="B198">
        <v>390</v>
      </c>
      <c r="C198" t="s">
        <v>2996</v>
      </c>
      <c r="D198" t="s">
        <v>3521</v>
      </c>
      <c r="E198" t="str">
        <f>IF(COUNTIF(Sheet3!E:E,Dash!B198)&gt;0,"Sim","Não")</f>
        <v>Não</v>
      </c>
      <c r="F198" s="2">
        <f>SUMIFS('NF-e de Entrada'!E:E,'NF-e de Entrada'!A:A,Dash!B198,'NF-e de Entrada'!F:F,"Autorizada")</f>
        <v>0</v>
      </c>
      <c r="G198" s="2">
        <f>SUMIFS('NF-e de Entrada'!E:E,'NF-e de Entrada'!A:A,Dash!B198,'NF-e de Entrada'!F:F,"Cancelada")</f>
        <v>0</v>
      </c>
      <c r="H198" s="2">
        <f>SUMIFS('NF-e de Saída'!E:E,'NF-e de Saída'!A:A,Dash!B198,'NF-e de Saída'!F:F,"AUTORIZADA")</f>
        <v>0</v>
      </c>
      <c r="I198" s="2">
        <f>SUMIFS('NF-e de Saída'!E:E,'NF-e de Saída'!A:A,Dash!B198,'NF-e de Saída'!F:F,"CANCELADA")</f>
        <v>0</v>
      </c>
    </row>
    <row r="199" spans="2:9" x14ac:dyDescent="0.3">
      <c r="B199">
        <v>391</v>
      </c>
      <c r="C199" t="s">
        <v>2997</v>
      </c>
      <c r="D199" t="s">
        <v>2488</v>
      </c>
      <c r="E199" t="str">
        <f>IF(COUNTIF(Sheet3!E:E,Dash!B199)&gt;0,"Sim","Não")</f>
        <v>Sim</v>
      </c>
      <c r="F199" s="2">
        <f>SUMIFS('NF-e de Entrada'!E:E,'NF-e de Entrada'!A:A,Dash!B199,'NF-e de Entrada'!F:F,"Autorizada")</f>
        <v>1374.29</v>
      </c>
      <c r="G199" s="2">
        <f>SUMIFS('NF-e de Entrada'!E:E,'NF-e de Entrada'!A:A,Dash!B199,'NF-e de Entrada'!F:F,"Cancelada")</f>
        <v>0</v>
      </c>
      <c r="H199" s="2">
        <f>SUMIFS('NF-e de Saída'!E:E,'NF-e de Saída'!A:A,Dash!B199,'NF-e de Saída'!F:F,"AUTORIZADA")</f>
        <v>0</v>
      </c>
      <c r="I199" s="2">
        <f>SUMIFS('NF-e de Saída'!E:E,'NF-e de Saída'!A:A,Dash!B199,'NF-e de Saída'!F:F,"CANCELADA")</f>
        <v>0</v>
      </c>
    </row>
    <row r="200" spans="2:9" x14ac:dyDescent="0.3">
      <c r="B200">
        <v>392</v>
      </c>
      <c r="C200" t="s">
        <v>2998</v>
      </c>
      <c r="D200" t="s">
        <v>3522</v>
      </c>
      <c r="E200" t="str">
        <f>IF(COUNTIF(Sheet3!E:E,Dash!B200)&gt;0,"Sim","Não")</f>
        <v>Não</v>
      </c>
      <c r="F200" s="2">
        <f>SUMIFS('NF-e de Entrada'!E:E,'NF-e de Entrada'!A:A,Dash!B200,'NF-e de Entrada'!F:F,"Autorizada")</f>
        <v>0</v>
      </c>
      <c r="G200" s="2">
        <f>SUMIFS('NF-e de Entrada'!E:E,'NF-e de Entrada'!A:A,Dash!B200,'NF-e de Entrada'!F:F,"Cancelada")</f>
        <v>0</v>
      </c>
      <c r="H200" s="2">
        <f>SUMIFS('NF-e de Saída'!E:E,'NF-e de Saída'!A:A,Dash!B200,'NF-e de Saída'!F:F,"AUTORIZADA")</f>
        <v>0</v>
      </c>
      <c r="I200" s="2">
        <f>SUMIFS('NF-e de Saída'!E:E,'NF-e de Saída'!A:A,Dash!B200,'NF-e de Saída'!F:F,"CANCELADA")</f>
        <v>0</v>
      </c>
    </row>
    <row r="201" spans="2:9" x14ac:dyDescent="0.3">
      <c r="B201">
        <v>394</v>
      </c>
      <c r="C201" t="s">
        <v>2999</v>
      </c>
      <c r="D201" t="s">
        <v>3523</v>
      </c>
      <c r="E201" t="str">
        <f>IF(COUNTIF(Sheet3!E:E,Dash!B201)&gt;0,"Sim","Não")</f>
        <v>Não</v>
      </c>
      <c r="F201" s="2">
        <f>SUMIFS('NF-e de Entrada'!E:E,'NF-e de Entrada'!A:A,Dash!B201,'NF-e de Entrada'!F:F,"Autorizada")</f>
        <v>0</v>
      </c>
      <c r="G201" s="2">
        <f>SUMIFS('NF-e de Entrada'!E:E,'NF-e de Entrada'!A:A,Dash!B201,'NF-e de Entrada'!F:F,"Cancelada")</f>
        <v>0</v>
      </c>
      <c r="H201" s="2">
        <f>SUMIFS('NF-e de Saída'!E:E,'NF-e de Saída'!A:A,Dash!B201,'NF-e de Saída'!F:F,"AUTORIZADA")</f>
        <v>0</v>
      </c>
      <c r="I201" s="2">
        <f>SUMIFS('NF-e de Saída'!E:E,'NF-e de Saída'!A:A,Dash!B201,'NF-e de Saída'!F:F,"CANCELADA")</f>
        <v>0</v>
      </c>
    </row>
    <row r="202" spans="2:9" x14ac:dyDescent="0.3">
      <c r="B202">
        <v>397</v>
      </c>
      <c r="C202" t="s">
        <v>3000</v>
      </c>
      <c r="D202" t="s">
        <v>3524</v>
      </c>
      <c r="E202" t="str">
        <f>IF(COUNTIF(Sheet3!E:E,Dash!B202)&gt;0,"Sim","Não")</f>
        <v>Não</v>
      </c>
      <c r="F202" s="2">
        <f>SUMIFS('NF-e de Entrada'!E:E,'NF-e de Entrada'!A:A,Dash!B202,'NF-e de Entrada'!F:F,"Autorizada")</f>
        <v>0</v>
      </c>
      <c r="G202" s="2">
        <f>SUMIFS('NF-e de Entrada'!E:E,'NF-e de Entrada'!A:A,Dash!B202,'NF-e de Entrada'!F:F,"Cancelada")</f>
        <v>0</v>
      </c>
      <c r="H202" s="2">
        <f>SUMIFS('NF-e de Saída'!E:E,'NF-e de Saída'!A:A,Dash!B202,'NF-e de Saída'!F:F,"AUTORIZADA")</f>
        <v>0</v>
      </c>
      <c r="I202" s="2">
        <f>SUMIFS('NF-e de Saída'!E:E,'NF-e de Saída'!A:A,Dash!B202,'NF-e de Saída'!F:F,"CANCELADA")</f>
        <v>0</v>
      </c>
    </row>
    <row r="203" spans="2:9" x14ac:dyDescent="0.3">
      <c r="B203">
        <v>398</v>
      </c>
      <c r="C203" t="s">
        <v>3001</v>
      </c>
      <c r="D203" t="s">
        <v>3524</v>
      </c>
      <c r="E203" t="str">
        <f>IF(COUNTIF(Sheet3!E:E,Dash!B203)&gt;0,"Sim","Não")</f>
        <v>Não</v>
      </c>
      <c r="F203" s="2">
        <f>SUMIFS('NF-e de Entrada'!E:E,'NF-e de Entrada'!A:A,Dash!B203,'NF-e de Entrada'!F:F,"Autorizada")</f>
        <v>0</v>
      </c>
      <c r="G203" s="2">
        <f>SUMIFS('NF-e de Entrada'!E:E,'NF-e de Entrada'!A:A,Dash!B203,'NF-e de Entrada'!F:F,"Cancelada")</f>
        <v>0</v>
      </c>
      <c r="H203" s="2">
        <f>SUMIFS('NF-e de Saída'!E:E,'NF-e de Saída'!A:A,Dash!B203,'NF-e de Saída'!F:F,"AUTORIZADA")</f>
        <v>0</v>
      </c>
      <c r="I203" s="2">
        <f>SUMIFS('NF-e de Saída'!E:E,'NF-e de Saída'!A:A,Dash!B203,'NF-e de Saída'!F:F,"CANCELADA")</f>
        <v>0</v>
      </c>
    </row>
    <row r="204" spans="2:9" x14ac:dyDescent="0.3">
      <c r="B204">
        <v>399</v>
      </c>
      <c r="C204" t="s">
        <v>3002</v>
      </c>
      <c r="D204" t="s">
        <v>3525</v>
      </c>
      <c r="E204" t="str">
        <f>IF(COUNTIF(Sheet3!E:E,Dash!B204)&gt;0,"Sim","Não")</f>
        <v>Não</v>
      </c>
      <c r="F204" s="2">
        <f>SUMIFS('NF-e de Entrada'!E:E,'NF-e de Entrada'!A:A,Dash!B204,'NF-e de Entrada'!F:F,"Autorizada")</f>
        <v>0</v>
      </c>
      <c r="G204" s="2">
        <f>SUMIFS('NF-e de Entrada'!E:E,'NF-e de Entrada'!A:A,Dash!B204,'NF-e de Entrada'!F:F,"Cancelada")</f>
        <v>0</v>
      </c>
      <c r="H204" s="2">
        <f>SUMIFS('NF-e de Saída'!E:E,'NF-e de Saída'!A:A,Dash!B204,'NF-e de Saída'!F:F,"AUTORIZADA")</f>
        <v>0</v>
      </c>
      <c r="I204" s="2">
        <f>SUMIFS('NF-e de Saída'!E:E,'NF-e de Saída'!A:A,Dash!B204,'NF-e de Saída'!F:F,"CANCELADA")</f>
        <v>0</v>
      </c>
    </row>
    <row r="205" spans="2:9" x14ac:dyDescent="0.3">
      <c r="B205">
        <v>401</v>
      </c>
      <c r="C205" t="s">
        <v>3003</v>
      </c>
      <c r="D205" t="s">
        <v>3526</v>
      </c>
      <c r="E205" t="str">
        <f>IF(COUNTIF(Sheet3!E:E,Dash!B205)&gt;0,"Sim","Não")</f>
        <v>Não</v>
      </c>
      <c r="F205" s="2">
        <f>SUMIFS('NF-e de Entrada'!E:E,'NF-e de Entrada'!A:A,Dash!B205,'NF-e de Entrada'!F:F,"Autorizada")</f>
        <v>0</v>
      </c>
      <c r="G205" s="2">
        <f>SUMIFS('NF-e de Entrada'!E:E,'NF-e de Entrada'!A:A,Dash!B205,'NF-e de Entrada'!F:F,"Cancelada")</f>
        <v>0</v>
      </c>
      <c r="H205" s="2">
        <f>SUMIFS('NF-e de Saída'!E:E,'NF-e de Saída'!A:A,Dash!B205,'NF-e de Saída'!F:F,"AUTORIZADA")</f>
        <v>0</v>
      </c>
      <c r="I205" s="2">
        <f>SUMIFS('NF-e de Saída'!E:E,'NF-e de Saída'!A:A,Dash!B205,'NF-e de Saída'!F:F,"CANCELADA")</f>
        <v>0</v>
      </c>
    </row>
    <row r="206" spans="2:9" x14ac:dyDescent="0.3">
      <c r="B206">
        <v>404</v>
      </c>
      <c r="C206" t="s">
        <v>3004</v>
      </c>
      <c r="D206" t="s">
        <v>3527</v>
      </c>
      <c r="E206" t="str">
        <f>IF(COUNTIF(Sheet3!E:E,Dash!B206)&gt;0,"Sim","Não")</f>
        <v>Não</v>
      </c>
      <c r="F206" s="2">
        <f>SUMIFS('NF-e de Entrada'!E:E,'NF-e de Entrada'!A:A,Dash!B206,'NF-e de Entrada'!F:F,"Autorizada")</f>
        <v>0</v>
      </c>
      <c r="G206" s="2">
        <f>SUMIFS('NF-e de Entrada'!E:E,'NF-e de Entrada'!A:A,Dash!B206,'NF-e de Entrada'!F:F,"Cancelada")</f>
        <v>0</v>
      </c>
      <c r="H206" s="2">
        <f>SUMIFS('NF-e de Saída'!E:E,'NF-e de Saída'!A:A,Dash!B206,'NF-e de Saída'!F:F,"AUTORIZADA")</f>
        <v>0</v>
      </c>
      <c r="I206" s="2">
        <f>SUMIFS('NF-e de Saída'!E:E,'NF-e de Saída'!A:A,Dash!B206,'NF-e de Saída'!F:F,"CANCELADA")</f>
        <v>0</v>
      </c>
    </row>
    <row r="207" spans="2:9" x14ac:dyDescent="0.3">
      <c r="B207">
        <v>405</v>
      </c>
      <c r="C207" t="s">
        <v>3005</v>
      </c>
      <c r="D207" t="s">
        <v>3528</v>
      </c>
      <c r="E207" t="str">
        <f>IF(COUNTIF(Sheet3!E:E,Dash!B207)&gt;0,"Sim","Não")</f>
        <v>Não</v>
      </c>
      <c r="F207" s="2">
        <f>SUMIFS('NF-e de Entrada'!E:E,'NF-e de Entrada'!A:A,Dash!B207,'NF-e de Entrada'!F:F,"Autorizada")</f>
        <v>0</v>
      </c>
      <c r="G207" s="2">
        <f>SUMIFS('NF-e de Entrada'!E:E,'NF-e de Entrada'!A:A,Dash!B207,'NF-e de Entrada'!F:F,"Cancelada")</f>
        <v>0</v>
      </c>
      <c r="H207" s="2">
        <f>SUMIFS('NF-e de Saída'!E:E,'NF-e de Saída'!A:A,Dash!B207,'NF-e de Saída'!F:F,"AUTORIZADA")</f>
        <v>0</v>
      </c>
      <c r="I207" s="2">
        <f>SUMIFS('NF-e de Saída'!E:E,'NF-e de Saída'!A:A,Dash!B207,'NF-e de Saída'!F:F,"CANCELADA")</f>
        <v>0</v>
      </c>
    </row>
    <row r="208" spans="2:9" x14ac:dyDescent="0.3">
      <c r="B208">
        <v>406</v>
      </c>
      <c r="C208" t="s">
        <v>3006</v>
      </c>
      <c r="D208" t="s">
        <v>3529</v>
      </c>
      <c r="E208" t="str">
        <f>IF(COUNTIF(Sheet3!E:E,Dash!B208)&gt;0,"Sim","Não")</f>
        <v>Não</v>
      </c>
      <c r="F208" s="2">
        <f>SUMIFS('NF-e de Entrada'!E:E,'NF-e de Entrada'!A:A,Dash!B208,'NF-e de Entrada'!F:F,"Autorizada")</f>
        <v>0</v>
      </c>
      <c r="G208" s="2">
        <f>SUMIFS('NF-e de Entrada'!E:E,'NF-e de Entrada'!A:A,Dash!B208,'NF-e de Entrada'!F:F,"Cancelada")</f>
        <v>0</v>
      </c>
      <c r="H208" s="2">
        <f>SUMIFS('NF-e de Saída'!E:E,'NF-e de Saída'!A:A,Dash!B208,'NF-e de Saída'!F:F,"AUTORIZADA")</f>
        <v>0</v>
      </c>
      <c r="I208" s="2">
        <f>SUMIFS('NF-e de Saída'!E:E,'NF-e de Saída'!A:A,Dash!B208,'NF-e de Saída'!F:F,"CANCELADA")</f>
        <v>0</v>
      </c>
    </row>
    <row r="209" spans="2:9" x14ac:dyDescent="0.3">
      <c r="B209">
        <v>408</v>
      </c>
      <c r="C209" t="s">
        <v>3007</v>
      </c>
      <c r="D209" t="s">
        <v>3530</v>
      </c>
      <c r="E209" t="str">
        <f>IF(COUNTIF(Sheet3!E:E,Dash!B209)&gt;0,"Sim","Não")</f>
        <v>Não</v>
      </c>
      <c r="F209" s="2">
        <f>SUMIFS('NF-e de Entrada'!E:E,'NF-e de Entrada'!A:A,Dash!B209,'NF-e de Entrada'!F:F,"Autorizada")</f>
        <v>0</v>
      </c>
      <c r="G209" s="2">
        <f>SUMIFS('NF-e de Entrada'!E:E,'NF-e de Entrada'!A:A,Dash!B209,'NF-e de Entrada'!F:F,"Cancelada")</f>
        <v>0</v>
      </c>
      <c r="H209" s="2">
        <f>SUMIFS('NF-e de Saída'!E:E,'NF-e de Saída'!A:A,Dash!B209,'NF-e de Saída'!F:F,"AUTORIZADA")</f>
        <v>0</v>
      </c>
      <c r="I209" s="2">
        <f>SUMIFS('NF-e de Saída'!E:E,'NF-e de Saída'!A:A,Dash!B209,'NF-e de Saída'!F:F,"CANCELADA")</f>
        <v>0</v>
      </c>
    </row>
    <row r="210" spans="2:9" x14ac:dyDescent="0.3">
      <c r="B210">
        <v>409</v>
      </c>
      <c r="C210" t="s">
        <v>3008</v>
      </c>
      <c r="D210" t="s">
        <v>3531</v>
      </c>
      <c r="E210" t="str">
        <f>IF(COUNTIF(Sheet3!E:E,Dash!B210)&gt;0,"Sim","Não")</f>
        <v>Não</v>
      </c>
      <c r="F210" s="2">
        <f>SUMIFS('NF-e de Entrada'!E:E,'NF-e de Entrada'!A:A,Dash!B210,'NF-e de Entrada'!F:F,"Autorizada")</f>
        <v>0</v>
      </c>
      <c r="G210" s="2">
        <f>SUMIFS('NF-e de Entrada'!E:E,'NF-e de Entrada'!A:A,Dash!B210,'NF-e de Entrada'!F:F,"Cancelada")</f>
        <v>0</v>
      </c>
      <c r="H210" s="2">
        <f>SUMIFS('NF-e de Saída'!E:E,'NF-e de Saída'!A:A,Dash!B210,'NF-e de Saída'!F:F,"AUTORIZADA")</f>
        <v>0</v>
      </c>
      <c r="I210" s="2">
        <f>SUMIFS('NF-e de Saída'!E:E,'NF-e de Saída'!A:A,Dash!B210,'NF-e de Saída'!F:F,"CANCELADA")</f>
        <v>0</v>
      </c>
    </row>
    <row r="211" spans="2:9" x14ac:dyDescent="0.3">
      <c r="B211">
        <v>410</v>
      </c>
      <c r="C211" t="s">
        <v>3009</v>
      </c>
      <c r="D211" t="s">
        <v>3532</v>
      </c>
      <c r="E211" t="str">
        <f>IF(COUNTIF(Sheet3!E:E,Dash!B211)&gt;0,"Sim","Não")</f>
        <v>Não</v>
      </c>
      <c r="F211" s="2">
        <f>SUMIFS('NF-e de Entrada'!E:E,'NF-e de Entrada'!A:A,Dash!B211,'NF-e de Entrada'!F:F,"Autorizada")</f>
        <v>0</v>
      </c>
      <c r="G211" s="2">
        <f>SUMIFS('NF-e de Entrada'!E:E,'NF-e de Entrada'!A:A,Dash!B211,'NF-e de Entrada'!F:F,"Cancelada")</f>
        <v>0</v>
      </c>
      <c r="H211" s="2">
        <f>SUMIFS('NF-e de Saída'!E:E,'NF-e de Saída'!A:A,Dash!B211,'NF-e de Saída'!F:F,"AUTORIZADA")</f>
        <v>0</v>
      </c>
      <c r="I211" s="2">
        <f>SUMIFS('NF-e de Saída'!E:E,'NF-e de Saída'!A:A,Dash!B211,'NF-e de Saída'!F:F,"CANCELADA")</f>
        <v>0</v>
      </c>
    </row>
    <row r="212" spans="2:9" x14ac:dyDescent="0.3">
      <c r="B212">
        <v>412</v>
      </c>
      <c r="C212" t="s">
        <v>3010</v>
      </c>
      <c r="D212" t="s">
        <v>3533</v>
      </c>
      <c r="E212" t="str">
        <f>IF(COUNTIF(Sheet3!E:E,Dash!B212)&gt;0,"Sim","Não")</f>
        <v>Não</v>
      </c>
      <c r="F212" s="2">
        <f>SUMIFS('NF-e de Entrada'!E:E,'NF-e de Entrada'!A:A,Dash!B212,'NF-e de Entrada'!F:F,"Autorizada")</f>
        <v>0</v>
      </c>
      <c r="G212" s="2">
        <f>SUMIFS('NF-e de Entrada'!E:E,'NF-e de Entrada'!A:A,Dash!B212,'NF-e de Entrada'!F:F,"Cancelada")</f>
        <v>0</v>
      </c>
      <c r="H212" s="2">
        <f>SUMIFS('NF-e de Saída'!E:E,'NF-e de Saída'!A:A,Dash!B212,'NF-e de Saída'!F:F,"AUTORIZADA")</f>
        <v>0</v>
      </c>
      <c r="I212" s="2">
        <f>SUMIFS('NF-e de Saída'!E:E,'NF-e de Saída'!A:A,Dash!B212,'NF-e de Saída'!F:F,"CANCELADA")</f>
        <v>0</v>
      </c>
    </row>
    <row r="213" spans="2:9" x14ac:dyDescent="0.3">
      <c r="B213">
        <v>413</v>
      </c>
      <c r="C213" t="s">
        <v>3011</v>
      </c>
      <c r="D213" t="s">
        <v>2676</v>
      </c>
      <c r="E213" t="str">
        <f>IF(COUNTIF(Sheet3!E:E,Dash!B213)&gt;0,"Sim","Não")</f>
        <v>Sim</v>
      </c>
      <c r="F213" s="2">
        <f>SUMIFS('NF-e de Entrada'!E:E,'NF-e de Entrada'!A:A,Dash!B213,'NF-e de Entrada'!F:F,"Autorizada")</f>
        <v>0</v>
      </c>
      <c r="G213" s="2">
        <f>SUMIFS('NF-e de Entrada'!E:E,'NF-e de Entrada'!A:A,Dash!B213,'NF-e de Entrada'!F:F,"Cancelada")</f>
        <v>0</v>
      </c>
      <c r="H213" s="2">
        <f>SUMIFS('NF-e de Saída'!E:E,'NF-e de Saída'!A:A,Dash!B213,'NF-e de Saída'!F:F,"AUTORIZADA")</f>
        <v>0</v>
      </c>
      <c r="I213" s="2">
        <f>SUMIFS('NF-e de Saída'!E:E,'NF-e de Saída'!A:A,Dash!B213,'NF-e de Saída'!F:F,"CANCELADA")</f>
        <v>0</v>
      </c>
    </row>
    <row r="214" spans="2:9" x14ac:dyDescent="0.3">
      <c r="B214">
        <v>415</v>
      </c>
      <c r="C214" t="s">
        <v>3012</v>
      </c>
      <c r="D214" t="s">
        <v>2664</v>
      </c>
      <c r="E214" t="str">
        <f>IF(COUNTIF(Sheet3!E:E,Dash!B214)&gt;0,"Sim","Não")</f>
        <v>Sim</v>
      </c>
      <c r="F214" s="2">
        <f>SUMIFS('NF-e de Entrada'!E:E,'NF-e de Entrada'!A:A,Dash!B214,'NF-e de Entrada'!F:F,"Autorizada")</f>
        <v>0</v>
      </c>
      <c r="G214" s="2">
        <f>SUMIFS('NF-e de Entrada'!E:E,'NF-e de Entrada'!A:A,Dash!B214,'NF-e de Entrada'!F:F,"Cancelada")</f>
        <v>0</v>
      </c>
      <c r="H214" s="2">
        <f>SUMIFS('NF-e de Saída'!E:E,'NF-e de Saída'!A:A,Dash!B214,'NF-e de Saída'!F:F,"AUTORIZADA")</f>
        <v>0</v>
      </c>
      <c r="I214" s="2">
        <f>SUMIFS('NF-e de Saída'!E:E,'NF-e de Saída'!A:A,Dash!B214,'NF-e de Saída'!F:F,"CANCELADA")</f>
        <v>0</v>
      </c>
    </row>
    <row r="215" spans="2:9" x14ac:dyDescent="0.3">
      <c r="B215">
        <v>419</v>
      </c>
      <c r="C215" t="s">
        <v>3013</v>
      </c>
      <c r="D215" t="s">
        <v>3534</v>
      </c>
      <c r="E215" t="str">
        <f>IF(COUNTIF(Sheet3!E:E,Dash!B215)&gt;0,"Sim","Não")</f>
        <v>Não</v>
      </c>
      <c r="F215" s="2">
        <f>SUMIFS('NF-e de Entrada'!E:E,'NF-e de Entrada'!A:A,Dash!B215,'NF-e de Entrada'!F:F,"Autorizada")</f>
        <v>0</v>
      </c>
      <c r="G215" s="2">
        <f>SUMIFS('NF-e de Entrada'!E:E,'NF-e de Entrada'!A:A,Dash!B215,'NF-e de Entrada'!F:F,"Cancelada")</f>
        <v>0</v>
      </c>
      <c r="H215" s="2">
        <f>SUMIFS('NF-e de Saída'!E:E,'NF-e de Saída'!A:A,Dash!B215,'NF-e de Saída'!F:F,"AUTORIZADA")</f>
        <v>0</v>
      </c>
      <c r="I215" s="2">
        <f>SUMIFS('NF-e de Saída'!E:E,'NF-e de Saída'!A:A,Dash!B215,'NF-e de Saída'!F:F,"CANCELADA")</f>
        <v>0</v>
      </c>
    </row>
    <row r="216" spans="2:9" x14ac:dyDescent="0.3">
      <c r="B216">
        <v>421</v>
      </c>
      <c r="C216" t="s">
        <v>3014</v>
      </c>
      <c r="D216" t="s">
        <v>3535</v>
      </c>
      <c r="E216" t="str">
        <f>IF(COUNTIF(Sheet3!E:E,Dash!B216)&gt;0,"Sim","Não")</f>
        <v>Não</v>
      </c>
      <c r="F216" s="2">
        <f>SUMIFS('NF-e de Entrada'!E:E,'NF-e de Entrada'!A:A,Dash!B216,'NF-e de Entrada'!F:F,"Autorizada")</f>
        <v>0</v>
      </c>
      <c r="G216" s="2">
        <f>SUMIFS('NF-e de Entrada'!E:E,'NF-e de Entrada'!A:A,Dash!B216,'NF-e de Entrada'!F:F,"Cancelada")</f>
        <v>0</v>
      </c>
      <c r="H216" s="2">
        <f>SUMIFS('NF-e de Saída'!E:E,'NF-e de Saída'!A:A,Dash!B216,'NF-e de Saída'!F:F,"AUTORIZADA")</f>
        <v>0</v>
      </c>
      <c r="I216" s="2">
        <f>SUMIFS('NF-e de Saída'!E:E,'NF-e de Saída'!A:A,Dash!B216,'NF-e de Saída'!F:F,"CANCELADA")</f>
        <v>0</v>
      </c>
    </row>
    <row r="217" spans="2:9" x14ac:dyDescent="0.3">
      <c r="B217">
        <v>423</v>
      </c>
      <c r="C217" t="s">
        <v>3015</v>
      </c>
      <c r="D217" t="s">
        <v>2480</v>
      </c>
      <c r="E217" t="str">
        <f>IF(COUNTIF(Sheet3!E:E,Dash!B217)&gt;0,"Sim","Não")</f>
        <v>Sim</v>
      </c>
      <c r="F217" s="2">
        <f>SUMIFS('NF-e de Entrada'!E:E,'NF-e de Entrada'!A:A,Dash!B217,'NF-e de Entrada'!F:F,"Autorizada")</f>
        <v>700.4</v>
      </c>
      <c r="G217" s="2">
        <f>SUMIFS('NF-e de Entrada'!E:E,'NF-e de Entrada'!A:A,Dash!B217,'NF-e de Entrada'!F:F,"Cancelada")</f>
        <v>0</v>
      </c>
      <c r="H217" s="2">
        <f>SUMIFS('NF-e de Saída'!E:E,'NF-e de Saída'!A:A,Dash!B217,'NF-e de Saída'!F:F,"AUTORIZADA")</f>
        <v>0</v>
      </c>
      <c r="I217" s="2">
        <f>SUMIFS('NF-e de Saída'!E:E,'NF-e de Saída'!A:A,Dash!B217,'NF-e de Saída'!F:F,"CANCELADA")</f>
        <v>0</v>
      </c>
    </row>
    <row r="218" spans="2:9" x14ac:dyDescent="0.3">
      <c r="B218">
        <v>424</v>
      </c>
      <c r="C218" t="s">
        <v>3016</v>
      </c>
      <c r="D218" t="s">
        <v>2575</v>
      </c>
      <c r="E218" t="str">
        <f>IF(COUNTIF(Sheet3!E:E,Dash!B218)&gt;0,"Sim","Não")</f>
        <v>Sim</v>
      </c>
      <c r="F218" s="2">
        <f>SUMIFS('NF-e de Entrada'!E:E,'NF-e de Entrada'!A:A,Dash!B218,'NF-e de Entrada'!F:F,"Autorizada")</f>
        <v>0</v>
      </c>
      <c r="G218" s="2">
        <f>SUMIFS('NF-e de Entrada'!E:E,'NF-e de Entrada'!A:A,Dash!B218,'NF-e de Entrada'!F:F,"Cancelada")</f>
        <v>0</v>
      </c>
      <c r="H218" s="2">
        <f>SUMIFS('NF-e de Saída'!E:E,'NF-e de Saída'!A:A,Dash!B218,'NF-e de Saída'!F:F,"AUTORIZADA")</f>
        <v>0</v>
      </c>
      <c r="I218" s="2">
        <f>SUMIFS('NF-e de Saída'!E:E,'NF-e de Saída'!A:A,Dash!B218,'NF-e de Saída'!F:F,"CANCELADA")</f>
        <v>0</v>
      </c>
    </row>
    <row r="219" spans="2:9" x14ac:dyDescent="0.3">
      <c r="B219">
        <v>425</v>
      </c>
      <c r="C219" t="s">
        <v>3017</v>
      </c>
      <c r="D219" t="s">
        <v>2790</v>
      </c>
      <c r="E219" t="str">
        <f>IF(COUNTIF(Sheet3!E:E,Dash!B219)&gt;0,"Sim","Não")</f>
        <v>Sim</v>
      </c>
      <c r="F219" s="2">
        <f>SUMIFS('NF-e de Entrada'!E:E,'NF-e de Entrada'!A:A,Dash!B219,'NF-e de Entrada'!F:F,"Autorizada")</f>
        <v>0</v>
      </c>
      <c r="G219" s="2">
        <f>SUMIFS('NF-e de Entrada'!E:E,'NF-e de Entrada'!A:A,Dash!B219,'NF-e de Entrada'!F:F,"Cancelada")</f>
        <v>0</v>
      </c>
      <c r="H219" s="2">
        <f>SUMIFS('NF-e de Saída'!E:E,'NF-e de Saída'!A:A,Dash!B219,'NF-e de Saída'!F:F,"AUTORIZADA")</f>
        <v>0</v>
      </c>
      <c r="I219" s="2">
        <f>SUMIFS('NF-e de Saída'!E:E,'NF-e de Saída'!A:A,Dash!B219,'NF-e de Saída'!F:F,"CANCELADA")</f>
        <v>0</v>
      </c>
    </row>
    <row r="220" spans="2:9" x14ac:dyDescent="0.3">
      <c r="B220">
        <v>426</v>
      </c>
      <c r="C220" t="s">
        <v>3018</v>
      </c>
      <c r="D220" t="s">
        <v>2470</v>
      </c>
      <c r="E220" t="str">
        <f>IF(COUNTIF(Sheet3!E:E,Dash!B220)&gt;0,"Sim","Não")</f>
        <v>Sim</v>
      </c>
      <c r="F220" s="2">
        <f>SUMIFS('NF-e de Entrada'!E:E,'NF-e de Entrada'!A:A,Dash!B220,'NF-e de Entrada'!F:F,"Autorizada")</f>
        <v>18625.230000000007</v>
      </c>
      <c r="G220" s="2">
        <f>SUMIFS('NF-e de Entrada'!E:E,'NF-e de Entrada'!A:A,Dash!B220,'NF-e de Entrada'!F:F,"Cancelada")</f>
        <v>242.8</v>
      </c>
      <c r="H220" s="2">
        <f>SUMIFS('NF-e de Saída'!E:E,'NF-e de Saída'!A:A,Dash!B220,'NF-e de Saída'!F:F,"AUTORIZADA")</f>
        <v>5789.7100000000009</v>
      </c>
      <c r="I220" s="2">
        <f>SUMIFS('NF-e de Saída'!E:E,'NF-e de Saída'!A:A,Dash!B220,'NF-e de Saída'!F:F,"CANCELADA")</f>
        <v>0</v>
      </c>
    </row>
    <row r="221" spans="2:9" x14ac:dyDescent="0.3">
      <c r="B221">
        <v>432</v>
      </c>
      <c r="C221" t="s">
        <v>3019</v>
      </c>
      <c r="D221" t="s">
        <v>3536</v>
      </c>
      <c r="E221" t="str">
        <f>IF(COUNTIF(Sheet3!E:E,Dash!B221)&gt;0,"Sim","Não")</f>
        <v>Não</v>
      </c>
      <c r="F221" s="2">
        <f>SUMIFS('NF-e de Entrada'!E:E,'NF-e de Entrada'!A:A,Dash!B221,'NF-e de Entrada'!F:F,"Autorizada")</f>
        <v>0</v>
      </c>
      <c r="G221" s="2">
        <f>SUMIFS('NF-e de Entrada'!E:E,'NF-e de Entrada'!A:A,Dash!B221,'NF-e de Entrada'!F:F,"Cancelada")</f>
        <v>0</v>
      </c>
      <c r="H221" s="2">
        <f>SUMIFS('NF-e de Saída'!E:E,'NF-e de Saída'!A:A,Dash!B221,'NF-e de Saída'!F:F,"AUTORIZADA")</f>
        <v>0</v>
      </c>
      <c r="I221" s="2">
        <f>SUMIFS('NF-e de Saída'!E:E,'NF-e de Saída'!A:A,Dash!B221,'NF-e de Saída'!F:F,"CANCELADA")</f>
        <v>0</v>
      </c>
    </row>
    <row r="222" spans="2:9" x14ac:dyDescent="0.3">
      <c r="B222">
        <v>433</v>
      </c>
      <c r="C222" t="s">
        <v>3020</v>
      </c>
      <c r="D222" t="s">
        <v>3537</v>
      </c>
      <c r="E222" t="str">
        <f>IF(COUNTIF(Sheet3!E:E,Dash!B222)&gt;0,"Sim","Não")</f>
        <v>Não</v>
      </c>
      <c r="F222" s="2">
        <f>SUMIFS('NF-e de Entrada'!E:E,'NF-e de Entrada'!A:A,Dash!B222,'NF-e de Entrada'!F:F,"Autorizada")</f>
        <v>0</v>
      </c>
      <c r="G222" s="2">
        <f>SUMIFS('NF-e de Entrada'!E:E,'NF-e de Entrada'!A:A,Dash!B222,'NF-e de Entrada'!F:F,"Cancelada")</f>
        <v>0</v>
      </c>
      <c r="H222" s="2">
        <f>SUMIFS('NF-e de Saída'!E:E,'NF-e de Saída'!A:A,Dash!B222,'NF-e de Saída'!F:F,"AUTORIZADA")</f>
        <v>0</v>
      </c>
      <c r="I222" s="2">
        <f>SUMIFS('NF-e de Saída'!E:E,'NF-e de Saída'!A:A,Dash!B222,'NF-e de Saída'!F:F,"CANCELADA")</f>
        <v>0</v>
      </c>
    </row>
    <row r="223" spans="2:9" x14ac:dyDescent="0.3">
      <c r="B223">
        <v>434</v>
      </c>
      <c r="C223" t="s">
        <v>3021</v>
      </c>
      <c r="D223" t="s">
        <v>3538</v>
      </c>
      <c r="E223" t="str">
        <f>IF(COUNTIF(Sheet3!E:E,Dash!B223)&gt;0,"Sim","Não")</f>
        <v>Não</v>
      </c>
      <c r="F223" s="2">
        <f>SUMIFS('NF-e de Entrada'!E:E,'NF-e de Entrada'!A:A,Dash!B223,'NF-e de Entrada'!F:F,"Autorizada")</f>
        <v>0</v>
      </c>
      <c r="G223" s="2">
        <f>SUMIFS('NF-e de Entrada'!E:E,'NF-e de Entrada'!A:A,Dash!B223,'NF-e de Entrada'!F:F,"Cancelada")</f>
        <v>0</v>
      </c>
      <c r="H223" s="2">
        <f>SUMIFS('NF-e de Saída'!E:E,'NF-e de Saída'!A:A,Dash!B223,'NF-e de Saída'!F:F,"AUTORIZADA")</f>
        <v>0</v>
      </c>
      <c r="I223" s="2">
        <f>SUMIFS('NF-e de Saída'!E:E,'NF-e de Saída'!A:A,Dash!B223,'NF-e de Saída'!F:F,"CANCELADA")</f>
        <v>0</v>
      </c>
    </row>
    <row r="224" spans="2:9" x14ac:dyDescent="0.3">
      <c r="B224">
        <v>435</v>
      </c>
      <c r="C224" t="s">
        <v>3022</v>
      </c>
      <c r="D224" t="s">
        <v>3539</v>
      </c>
      <c r="E224" t="str">
        <f>IF(COUNTIF(Sheet3!E:E,Dash!B224)&gt;0,"Sim","Não")</f>
        <v>Não</v>
      </c>
      <c r="F224" s="2">
        <f>SUMIFS('NF-e de Entrada'!E:E,'NF-e de Entrada'!A:A,Dash!B224,'NF-e de Entrada'!F:F,"Autorizada")</f>
        <v>0</v>
      </c>
      <c r="G224" s="2">
        <f>SUMIFS('NF-e de Entrada'!E:E,'NF-e de Entrada'!A:A,Dash!B224,'NF-e de Entrada'!F:F,"Cancelada")</f>
        <v>0</v>
      </c>
      <c r="H224" s="2">
        <f>SUMIFS('NF-e de Saída'!E:E,'NF-e de Saída'!A:A,Dash!B224,'NF-e de Saída'!F:F,"AUTORIZADA")</f>
        <v>0</v>
      </c>
      <c r="I224" s="2">
        <f>SUMIFS('NF-e de Saída'!E:E,'NF-e de Saída'!A:A,Dash!B224,'NF-e de Saída'!F:F,"CANCELADA")</f>
        <v>0</v>
      </c>
    </row>
    <row r="225" spans="2:9" x14ac:dyDescent="0.3">
      <c r="B225">
        <v>436</v>
      </c>
      <c r="C225" t="s">
        <v>3023</v>
      </c>
      <c r="D225" t="s">
        <v>3540</v>
      </c>
      <c r="E225" t="str">
        <f>IF(COUNTIF(Sheet3!E:E,Dash!B225)&gt;0,"Sim","Não")</f>
        <v>Não</v>
      </c>
      <c r="F225" s="2">
        <f>SUMIFS('NF-e de Entrada'!E:E,'NF-e de Entrada'!A:A,Dash!B225,'NF-e de Entrada'!F:F,"Autorizada")</f>
        <v>0</v>
      </c>
      <c r="G225" s="2">
        <f>SUMIFS('NF-e de Entrada'!E:E,'NF-e de Entrada'!A:A,Dash!B225,'NF-e de Entrada'!F:F,"Cancelada")</f>
        <v>0</v>
      </c>
      <c r="H225" s="2">
        <f>SUMIFS('NF-e de Saída'!E:E,'NF-e de Saída'!A:A,Dash!B225,'NF-e de Saída'!F:F,"AUTORIZADA")</f>
        <v>0</v>
      </c>
      <c r="I225" s="2">
        <f>SUMIFS('NF-e de Saída'!E:E,'NF-e de Saída'!A:A,Dash!B225,'NF-e de Saída'!F:F,"CANCELADA")</f>
        <v>0</v>
      </c>
    </row>
    <row r="226" spans="2:9" x14ac:dyDescent="0.3">
      <c r="B226">
        <v>437</v>
      </c>
      <c r="C226" t="s">
        <v>3024</v>
      </c>
      <c r="D226" t="s">
        <v>3541</v>
      </c>
      <c r="E226" t="str">
        <f>IF(COUNTIF(Sheet3!E:E,Dash!B226)&gt;0,"Sim","Não")</f>
        <v>Não</v>
      </c>
      <c r="F226" s="2">
        <f>SUMIFS('NF-e de Entrada'!E:E,'NF-e de Entrada'!A:A,Dash!B226,'NF-e de Entrada'!F:F,"Autorizada")</f>
        <v>0</v>
      </c>
      <c r="G226" s="2">
        <f>SUMIFS('NF-e de Entrada'!E:E,'NF-e de Entrada'!A:A,Dash!B226,'NF-e de Entrada'!F:F,"Cancelada")</f>
        <v>0</v>
      </c>
      <c r="H226" s="2">
        <f>SUMIFS('NF-e de Saída'!E:E,'NF-e de Saída'!A:A,Dash!B226,'NF-e de Saída'!F:F,"AUTORIZADA")</f>
        <v>0</v>
      </c>
      <c r="I226" s="2">
        <f>SUMIFS('NF-e de Saída'!E:E,'NF-e de Saída'!A:A,Dash!B226,'NF-e de Saída'!F:F,"CANCELADA")</f>
        <v>0</v>
      </c>
    </row>
    <row r="227" spans="2:9" x14ac:dyDescent="0.3">
      <c r="B227">
        <v>438</v>
      </c>
      <c r="C227" t="s">
        <v>3025</v>
      </c>
      <c r="D227" t="s">
        <v>3542</v>
      </c>
      <c r="E227" t="str">
        <f>IF(COUNTIF(Sheet3!E:E,Dash!B227)&gt;0,"Sim","Não")</f>
        <v>Não</v>
      </c>
      <c r="F227" s="2">
        <f>SUMIFS('NF-e de Entrada'!E:E,'NF-e de Entrada'!A:A,Dash!B227,'NF-e de Entrada'!F:F,"Autorizada")</f>
        <v>0</v>
      </c>
      <c r="G227" s="2">
        <f>SUMIFS('NF-e de Entrada'!E:E,'NF-e de Entrada'!A:A,Dash!B227,'NF-e de Entrada'!F:F,"Cancelada")</f>
        <v>0</v>
      </c>
      <c r="H227" s="2">
        <f>SUMIFS('NF-e de Saída'!E:E,'NF-e de Saída'!A:A,Dash!B227,'NF-e de Saída'!F:F,"AUTORIZADA")</f>
        <v>0</v>
      </c>
      <c r="I227" s="2">
        <f>SUMIFS('NF-e de Saída'!E:E,'NF-e de Saída'!A:A,Dash!B227,'NF-e de Saída'!F:F,"CANCELADA")</f>
        <v>0</v>
      </c>
    </row>
    <row r="228" spans="2:9" x14ac:dyDescent="0.3">
      <c r="B228">
        <v>440</v>
      </c>
      <c r="C228" t="s">
        <v>3026</v>
      </c>
      <c r="D228" t="s">
        <v>3543</v>
      </c>
      <c r="E228" t="str">
        <f>IF(COUNTIF(Sheet3!E:E,Dash!B228)&gt;0,"Sim","Não")</f>
        <v>Não</v>
      </c>
      <c r="F228" s="2">
        <f>SUMIFS('NF-e de Entrada'!E:E,'NF-e de Entrada'!A:A,Dash!B228,'NF-e de Entrada'!F:F,"Autorizada")</f>
        <v>0</v>
      </c>
      <c r="G228" s="2">
        <f>SUMIFS('NF-e de Entrada'!E:E,'NF-e de Entrada'!A:A,Dash!B228,'NF-e de Entrada'!F:F,"Cancelada")</f>
        <v>0</v>
      </c>
      <c r="H228" s="2">
        <f>SUMIFS('NF-e de Saída'!E:E,'NF-e de Saída'!A:A,Dash!B228,'NF-e de Saída'!F:F,"AUTORIZADA")</f>
        <v>0</v>
      </c>
      <c r="I228" s="2">
        <f>SUMIFS('NF-e de Saída'!E:E,'NF-e de Saída'!A:A,Dash!B228,'NF-e de Saída'!F:F,"CANCELADA")</f>
        <v>0</v>
      </c>
    </row>
    <row r="229" spans="2:9" x14ac:dyDescent="0.3">
      <c r="B229">
        <v>445</v>
      </c>
      <c r="C229" t="s">
        <v>3027</v>
      </c>
      <c r="D229" t="s">
        <v>2477</v>
      </c>
      <c r="E229" t="str">
        <f>IF(COUNTIF(Sheet3!E:E,Dash!B229)&gt;0,"Sim","Não")</f>
        <v>Sim</v>
      </c>
      <c r="F229" s="2">
        <f>SUMIFS('NF-e de Entrada'!E:E,'NF-e de Entrada'!A:A,Dash!B229,'NF-e de Entrada'!F:F,"Autorizada")</f>
        <v>0</v>
      </c>
      <c r="G229" s="2">
        <f>SUMIFS('NF-e de Entrada'!E:E,'NF-e de Entrada'!A:A,Dash!B229,'NF-e de Entrada'!F:F,"Cancelada")</f>
        <v>0</v>
      </c>
      <c r="H229" s="2">
        <f>SUMIFS('NF-e de Saída'!E:E,'NF-e de Saída'!A:A,Dash!B229,'NF-e de Saída'!F:F,"AUTORIZADA")</f>
        <v>0</v>
      </c>
      <c r="I229" s="2">
        <f>SUMIFS('NF-e de Saída'!E:E,'NF-e de Saída'!A:A,Dash!B229,'NF-e de Saída'!F:F,"CANCELADA")</f>
        <v>0</v>
      </c>
    </row>
    <row r="230" spans="2:9" x14ac:dyDescent="0.3">
      <c r="B230">
        <v>446</v>
      </c>
      <c r="C230" t="s">
        <v>3028</v>
      </c>
      <c r="D230" t="s">
        <v>3544</v>
      </c>
      <c r="E230" t="str">
        <f>IF(COUNTIF(Sheet3!E:E,Dash!B230)&gt;0,"Sim","Não")</f>
        <v>Não</v>
      </c>
      <c r="F230" s="2">
        <f>SUMIFS('NF-e de Entrada'!E:E,'NF-e de Entrada'!A:A,Dash!B230,'NF-e de Entrada'!F:F,"Autorizada")</f>
        <v>0</v>
      </c>
      <c r="G230" s="2">
        <f>SUMIFS('NF-e de Entrada'!E:E,'NF-e de Entrada'!A:A,Dash!B230,'NF-e de Entrada'!F:F,"Cancelada")</f>
        <v>0</v>
      </c>
      <c r="H230" s="2">
        <f>SUMIFS('NF-e de Saída'!E:E,'NF-e de Saída'!A:A,Dash!B230,'NF-e de Saída'!F:F,"AUTORIZADA")</f>
        <v>0</v>
      </c>
      <c r="I230" s="2">
        <f>SUMIFS('NF-e de Saída'!E:E,'NF-e de Saída'!A:A,Dash!B230,'NF-e de Saída'!F:F,"CANCELADA")</f>
        <v>0</v>
      </c>
    </row>
    <row r="231" spans="2:9" x14ac:dyDescent="0.3">
      <c r="B231">
        <v>447</v>
      </c>
      <c r="C231" t="s">
        <v>3029</v>
      </c>
      <c r="D231" t="s">
        <v>3545</v>
      </c>
      <c r="E231" t="str">
        <f>IF(COUNTIF(Sheet3!E:E,Dash!B231)&gt;0,"Sim","Não")</f>
        <v>Não</v>
      </c>
      <c r="F231" s="2">
        <f>SUMIFS('NF-e de Entrada'!E:E,'NF-e de Entrada'!A:A,Dash!B231,'NF-e de Entrada'!F:F,"Autorizada")</f>
        <v>0</v>
      </c>
      <c r="G231" s="2">
        <f>SUMIFS('NF-e de Entrada'!E:E,'NF-e de Entrada'!A:A,Dash!B231,'NF-e de Entrada'!F:F,"Cancelada")</f>
        <v>0</v>
      </c>
      <c r="H231" s="2">
        <f>SUMIFS('NF-e de Saída'!E:E,'NF-e de Saída'!A:A,Dash!B231,'NF-e de Saída'!F:F,"AUTORIZADA")</f>
        <v>0</v>
      </c>
      <c r="I231" s="2">
        <f>SUMIFS('NF-e de Saída'!E:E,'NF-e de Saída'!A:A,Dash!B231,'NF-e de Saída'!F:F,"CANCELADA")</f>
        <v>0</v>
      </c>
    </row>
    <row r="232" spans="2:9" x14ac:dyDescent="0.3">
      <c r="B232">
        <v>448</v>
      </c>
      <c r="C232" t="s">
        <v>3030</v>
      </c>
      <c r="D232" t="s">
        <v>3546</v>
      </c>
      <c r="E232" t="str">
        <f>IF(COUNTIF(Sheet3!E:E,Dash!B232)&gt;0,"Sim","Não")</f>
        <v>Não</v>
      </c>
      <c r="F232" s="2">
        <f>SUMIFS('NF-e de Entrada'!E:E,'NF-e de Entrada'!A:A,Dash!B232,'NF-e de Entrada'!F:F,"Autorizada")</f>
        <v>0</v>
      </c>
      <c r="G232" s="2">
        <f>SUMIFS('NF-e de Entrada'!E:E,'NF-e de Entrada'!A:A,Dash!B232,'NF-e de Entrada'!F:F,"Cancelada")</f>
        <v>0</v>
      </c>
      <c r="H232" s="2">
        <f>SUMIFS('NF-e de Saída'!E:E,'NF-e de Saída'!A:A,Dash!B232,'NF-e de Saída'!F:F,"AUTORIZADA")</f>
        <v>0</v>
      </c>
      <c r="I232" s="2">
        <f>SUMIFS('NF-e de Saída'!E:E,'NF-e de Saída'!A:A,Dash!B232,'NF-e de Saída'!F:F,"CANCELADA")</f>
        <v>0</v>
      </c>
    </row>
    <row r="233" spans="2:9" x14ac:dyDescent="0.3">
      <c r="B233">
        <v>449</v>
      </c>
      <c r="C233" t="s">
        <v>3031</v>
      </c>
      <c r="D233" t="s">
        <v>3547</v>
      </c>
      <c r="E233" t="str">
        <f>IF(COUNTIF(Sheet3!E:E,Dash!B233)&gt;0,"Sim","Não")</f>
        <v>Não</v>
      </c>
      <c r="F233" s="2">
        <f>SUMIFS('NF-e de Entrada'!E:E,'NF-e de Entrada'!A:A,Dash!B233,'NF-e de Entrada'!F:F,"Autorizada")</f>
        <v>0</v>
      </c>
      <c r="G233" s="2">
        <f>SUMIFS('NF-e de Entrada'!E:E,'NF-e de Entrada'!A:A,Dash!B233,'NF-e de Entrada'!F:F,"Cancelada")</f>
        <v>0</v>
      </c>
      <c r="H233" s="2">
        <f>SUMIFS('NF-e de Saída'!E:E,'NF-e de Saída'!A:A,Dash!B233,'NF-e de Saída'!F:F,"AUTORIZADA")</f>
        <v>0</v>
      </c>
      <c r="I233" s="2">
        <f>SUMIFS('NF-e de Saída'!E:E,'NF-e de Saída'!A:A,Dash!B233,'NF-e de Saída'!F:F,"CANCELADA")</f>
        <v>0</v>
      </c>
    </row>
    <row r="234" spans="2:9" x14ac:dyDescent="0.3">
      <c r="B234">
        <v>452</v>
      </c>
      <c r="C234" t="s">
        <v>3032</v>
      </c>
      <c r="D234" t="s">
        <v>3548</v>
      </c>
      <c r="E234" t="str">
        <f>IF(COUNTIF(Sheet3!E:E,Dash!B234)&gt;0,"Sim","Não")</f>
        <v>Não</v>
      </c>
      <c r="F234" s="2">
        <f>SUMIFS('NF-e de Entrada'!E:E,'NF-e de Entrada'!A:A,Dash!B234,'NF-e de Entrada'!F:F,"Autorizada")</f>
        <v>0</v>
      </c>
      <c r="G234" s="2">
        <f>SUMIFS('NF-e de Entrada'!E:E,'NF-e de Entrada'!A:A,Dash!B234,'NF-e de Entrada'!F:F,"Cancelada")</f>
        <v>0</v>
      </c>
      <c r="H234" s="2">
        <f>SUMIFS('NF-e de Saída'!E:E,'NF-e de Saída'!A:A,Dash!B234,'NF-e de Saída'!F:F,"AUTORIZADA")</f>
        <v>0</v>
      </c>
      <c r="I234" s="2">
        <f>SUMIFS('NF-e de Saída'!E:E,'NF-e de Saída'!A:A,Dash!B234,'NF-e de Saída'!F:F,"CANCELADA")</f>
        <v>0</v>
      </c>
    </row>
    <row r="235" spans="2:9" x14ac:dyDescent="0.3">
      <c r="B235">
        <v>455</v>
      </c>
      <c r="C235" t="s">
        <v>3033</v>
      </c>
      <c r="D235" t="s">
        <v>3549</v>
      </c>
      <c r="E235" t="str">
        <f>IF(COUNTIF(Sheet3!E:E,Dash!B235)&gt;0,"Sim","Não")</f>
        <v>Não</v>
      </c>
      <c r="F235" s="2">
        <f>SUMIFS('NF-e de Entrada'!E:E,'NF-e de Entrada'!A:A,Dash!B235,'NF-e de Entrada'!F:F,"Autorizada")</f>
        <v>0</v>
      </c>
      <c r="G235" s="2">
        <f>SUMIFS('NF-e de Entrada'!E:E,'NF-e de Entrada'!A:A,Dash!B235,'NF-e de Entrada'!F:F,"Cancelada")</f>
        <v>0</v>
      </c>
      <c r="H235" s="2">
        <f>SUMIFS('NF-e de Saída'!E:E,'NF-e de Saída'!A:A,Dash!B235,'NF-e de Saída'!F:F,"AUTORIZADA")</f>
        <v>0</v>
      </c>
      <c r="I235" s="2">
        <f>SUMIFS('NF-e de Saída'!E:E,'NF-e de Saída'!A:A,Dash!B235,'NF-e de Saída'!F:F,"CANCELADA")</f>
        <v>0</v>
      </c>
    </row>
    <row r="236" spans="2:9" x14ac:dyDescent="0.3">
      <c r="B236">
        <v>456</v>
      </c>
      <c r="C236" t="s">
        <v>3034</v>
      </c>
      <c r="D236" t="s">
        <v>3550</v>
      </c>
      <c r="E236" t="str">
        <f>IF(COUNTIF(Sheet3!E:E,Dash!B236)&gt;0,"Sim","Não")</f>
        <v>Não</v>
      </c>
      <c r="F236" s="2">
        <f>SUMIFS('NF-e de Entrada'!E:E,'NF-e de Entrada'!A:A,Dash!B236,'NF-e de Entrada'!F:F,"Autorizada")</f>
        <v>0</v>
      </c>
      <c r="G236" s="2">
        <f>SUMIFS('NF-e de Entrada'!E:E,'NF-e de Entrada'!A:A,Dash!B236,'NF-e de Entrada'!F:F,"Cancelada")</f>
        <v>0</v>
      </c>
      <c r="H236" s="2">
        <f>SUMIFS('NF-e de Saída'!E:E,'NF-e de Saída'!A:A,Dash!B236,'NF-e de Saída'!F:F,"AUTORIZADA")</f>
        <v>0</v>
      </c>
      <c r="I236" s="2">
        <f>SUMIFS('NF-e de Saída'!E:E,'NF-e de Saída'!A:A,Dash!B236,'NF-e de Saída'!F:F,"CANCELADA")</f>
        <v>0</v>
      </c>
    </row>
    <row r="237" spans="2:9" x14ac:dyDescent="0.3">
      <c r="B237">
        <v>459</v>
      </c>
      <c r="C237" t="s">
        <v>3035</v>
      </c>
      <c r="D237" t="s">
        <v>3551</v>
      </c>
      <c r="E237" t="str">
        <f>IF(COUNTIF(Sheet3!E:E,Dash!B237)&gt;0,"Sim","Não")</f>
        <v>Não</v>
      </c>
      <c r="F237" s="2">
        <f>SUMIFS('NF-e de Entrada'!E:E,'NF-e de Entrada'!A:A,Dash!B237,'NF-e de Entrada'!F:F,"Autorizada")</f>
        <v>0</v>
      </c>
      <c r="G237" s="2">
        <f>SUMIFS('NF-e de Entrada'!E:E,'NF-e de Entrada'!A:A,Dash!B237,'NF-e de Entrada'!F:F,"Cancelada")</f>
        <v>0</v>
      </c>
      <c r="H237" s="2">
        <f>SUMIFS('NF-e de Saída'!E:E,'NF-e de Saída'!A:A,Dash!B237,'NF-e de Saída'!F:F,"AUTORIZADA")</f>
        <v>0</v>
      </c>
      <c r="I237" s="2">
        <f>SUMIFS('NF-e de Saída'!E:E,'NF-e de Saída'!A:A,Dash!B237,'NF-e de Saída'!F:F,"CANCELADA")</f>
        <v>0</v>
      </c>
    </row>
    <row r="238" spans="2:9" x14ac:dyDescent="0.3">
      <c r="B238">
        <v>460</v>
      </c>
      <c r="C238" t="s">
        <v>3036</v>
      </c>
      <c r="D238" t="s">
        <v>3552</v>
      </c>
      <c r="E238" t="str">
        <f>IF(COUNTIF(Sheet3!E:E,Dash!B238)&gt;0,"Sim","Não")</f>
        <v>Não</v>
      </c>
      <c r="F238" s="2">
        <f>SUMIFS('NF-e de Entrada'!E:E,'NF-e de Entrada'!A:A,Dash!B238,'NF-e de Entrada'!F:F,"Autorizada")</f>
        <v>0</v>
      </c>
      <c r="G238" s="2">
        <f>SUMIFS('NF-e de Entrada'!E:E,'NF-e de Entrada'!A:A,Dash!B238,'NF-e de Entrada'!F:F,"Cancelada")</f>
        <v>0</v>
      </c>
      <c r="H238" s="2">
        <f>SUMIFS('NF-e de Saída'!E:E,'NF-e de Saída'!A:A,Dash!B238,'NF-e de Saída'!F:F,"AUTORIZADA")</f>
        <v>0</v>
      </c>
      <c r="I238" s="2">
        <f>SUMIFS('NF-e de Saída'!E:E,'NF-e de Saída'!A:A,Dash!B238,'NF-e de Saída'!F:F,"CANCELADA")</f>
        <v>0</v>
      </c>
    </row>
    <row r="239" spans="2:9" x14ac:dyDescent="0.3">
      <c r="B239">
        <v>461</v>
      </c>
      <c r="C239" t="s">
        <v>3037</v>
      </c>
      <c r="D239" t="s">
        <v>2545</v>
      </c>
      <c r="E239" t="str">
        <f>IF(COUNTIF(Sheet3!E:E,Dash!B239)&gt;0,"Sim","Não")</f>
        <v>Sim</v>
      </c>
      <c r="F239" s="2">
        <f>SUMIFS('NF-e de Entrada'!E:E,'NF-e de Entrada'!A:A,Dash!B239,'NF-e de Entrada'!F:F,"Autorizada")</f>
        <v>0</v>
      </c>
      <c r="G239" s="2">
        <f>SUMIFS('NF-e de Entrada'!E:E,'NF-e de Entrada'!A:A,Dash!B239,'NF-e de Entrada'!F:F,"Cancelada")</f>
        <v>0</v>
      </c>
      <c r="H239" s="2">
        <f>SUMIFS('NF-e de Saída'!E:E,'NF-e de Saída'!A:A,Dash!B239,'NF-e de Saída'!F:F,"AUTORIZADA")</f>
        <v>0</v>
      </c>
      <c r="I239" s="2">
        <f>SUMIFS('NF-e de Saída'!E:E,'NF-e de Saída'!A:A,Dash!B239,'NF-e de Saída'!F:F,"CANCELADA")</f>
        <v>0</v>
      </c>
    </row>
    <row r="240" spans="2:9" x14ac:dyDescent="0.3">
      <c r="B240">
        <v>462</v>
      </c>
      <c r="C240" t="s">
        <v>3038</v>
      </c>
      <c r="D240" t="s">
        <v>3553</v>
      </c>
      <c r="E240" t="str">
        <f>IF(COUNTIF(Sheet3!E:E,Dash!B240)&gt;0,"Sim","Não")</f>
        <v>Não</v>
      </c>
      <c r="F240" s="2">
        <f>SUMIFS('NF-e de Entrada'!E:E,'NF-e de Entrada'!A:A,Dash!B240,'NF-e de Entrada'!F:F,"Autorizada")</f>
        <v>0</v>
      </c>
      <c r="G240" s="2">
        <f>SUMIFS('NF-e de Entrada'!E:E,'NF-e de Entrada'!A:A,Dash!B240,'NF-e de Entrada'!F:F,"Cancelada")</f>
        <v>0</v>
      </c>
      <c r="H240" s="2">
        <f>SUMIFS('NF-e de Saída'!E:E,'NF-e de Saída'!A:A,Dash!B240,'NF-e de Saída'!F:F,"AUTORIZADA")</f>
        <v>0</v>
      </c>
      <c r="I240" s="2">
        <f>SUMIFS('NF-e de Saída'!E:E,'NF-e de Saída'!A:A,Dash!B240,'NF-e de Saída'!F:F,"CANCELADA")</f>
        <v>0</v>
      </c>
    </row>
    <row r="241" spans="2:9" x14ac:dyDescent="0.3">
      <c r="B241">
        <v>464</v>
      </c>
      <c r="C241" t="s">
        <v>3039</v>
      </c>
      <c r="D241" t="s">
        <v>3554</v>
      </c>
      <c r="E241" t="str">
        <f>IF(COUNTIF(Sheet3!E:E,Dash!B241)&gt;0,"Sim","Não")</f>
        <v>Não</v>
      </c>
      <c r="F241" s="2">
        <f>SUMIFS('NF-e de Entrada'!E:E,'NF-e de Entrada'!A:A,Dash!B241,'NF-e de Entrada'!F:F,"Autorizada")</f>
        <v>0</v>
      </c>
      <c r="G241" s="2">
        <f>SUMIFS('NF-e de Entrada'!E:E,'NF-e de Entrada'!A:A,Dash!B241,'NF-e de Entrada'!F:F,"Cancelada")</f>
        <v>0</v>
      </c>
      <c r="H241" s="2">
        <f>SUMIFS('NF-e de Saída'!E:E,'NF-e de Saída'!A:A,Dash!B241,'NF-e de Saída'!F:F,"AUTORIZADA")</f>
        <v>0</v>
      </c>
      <c r="I241" s="2">
        <f>SUMIFS('NF-e de Saída'!E:E,'NF-e de Saída'!A:A,Dash!B241,'NF-e de Saída'!F:F,"CANCELADA")</f>
        <v>0</v>
      </c>
    </row>
    <row r="242" spans="2:9" x14ac:dyDescent="0.3">
      <c r="B242">
        <v>465</v>
      </c>
      <c r="C242" t="s">
        <v>3040</v>
      </c>
      <c r="D242" t="s">
        <v>3555</v>
      </c>
      <c r="E242" t="str">
        <f>IF(COUNTIF(Sheet3!E:E,Dash!B242)&gt;0,"Sim","Não")</f>
        <v>Não</v>
      </c>
      <c r="F242" s="2">
        <f>SUMIFS('NF-e de Entrada'!E:E,'NF-e de Entrada'!A:A,Dash!B242,'NF-e de Entrada'!F:F,"Autorizada")</f>
        <v>0</v>
      </c>
      <c r="G242" s="2">
        <f>SUMIFS('NF-e de Entrada'!E:E,'NF-e de Entrada'!A:A,Dash!B242,'NF-e de Entrada'!F:F,"Cancelada")</f>
        <v>0</v>
      </c>
      <c r="H242" s="2">
        <f>SUMIFS('NF-e de Saída'!E:E,'NF-e de Saída'!A:A,Dash!B242,'NF-e de Saída'!F:F,"AUTORIZADA")</f>
        <v>0</v>
      </c>
      <c r="I242" s="2">
        <f>SUMIFS('NF-e de Saída'!E:E,'NF-e de Saída'!A:A,Dash!B242,'NF-e de Saída'!F:F,"CANCELADA")</f>
        <v>0</v>
      </c>
    </row>
    <row r="243" spans="2:9" x14ac:dyDescent="0.3">
      <c r="B243">
        <v>466</v>
      </c>
      <c r="C243" t="s">
        <v>3041</v>
      </c>
      <c r="D243" t="s">
        <v>3556</v>
      </c>
      <c r="E243" t="str">
        <f>IF(COUNTIF(Sheet3!E:E,Dash!B243)&gt;0,"Sim","Não")</f>
        <v>Não</v>
      </c>
      <c r="F243" s="2">
        <f>SUMIFS('NF-e de Entrada'!E:E,'NF-e de Entrada'!A:A,Dash!B243,'NF-e de Entrada'!F:F,"Autorizada")</f>
        <v>0</v>
      </c>
      <c r="G243" s="2">
        <f>SUMIFS('NF-e de Entrada'!E:E,'NF-e de Entrada'!A:A,Dash!B243,'NF-e de Entrada'!F:F,"Cancelada")</f>
        <v>0</v>
      </c>
      <c r="H243" s="2">
        <f>SUMIFS('NF-e de Saída'!E:E,'NF-e de Saída'!A:A,Dash!B243,'NF-e de Saída'!F:F,"AUTORIZADA")</f>
        <v>0</v>
      </c>
      <c r="I243" s="2">
        <f>SUMIFS('NF-e de Saída'!E:E,'NF-e de Saída'!A:A,Dash!B243,'NF-e de Saída'!F:F,"CANCELADA")</f>
        <v>0</v>
      </c>
    </row>
    <row r="244" spans="2:9" x14ac:dyDescent="0.3">
      <c r="B244">
        <v>467</v>
      </c>
      <c r="C244" t="s">
        <v>3042</v>
      </c>
      <c r="D244" t="s">
        <v>3557</v>
      </c>
      <c r="E244" t="str">
        <f>IF(COUNTIF(Sheet3!E:E,Dash!B244)&gt;0,"Sim","Não")</f>
        <v>Sim</v>
      </c>
      <c r="F244" s="2">
        <f>SUMIFS('NF-e de Entrada'!E:E,'NF-e de Entrada'!A:A,Dash!B244,'NF-e de Entrada'!F:F,"Autorizada")</f>
        <v>0</v>
      </c>
      <c r="G244" s="2">
        <f>SUMIFS('NF-e de Entrada'!E:E,'NF-e de Entrada'!A:A,Dash!B244,'NF-e de Entrada'!F:F,"Cancelada")</f>
        <v>0</v>
      </c>
      <c r="H244" s="2">
        <f>SUMIFS('NF-e de Saída'!E:E,'NF-e de Saída'!A:A,Dash!B244,'NF-e de Saída'!F:F,"AUTORIZADA")</f>
        <v>0</v>
      </c>
      <c r="I244" s="2">
        <f>SUMIFS('NF-e de Saída'!E:E,'NF-e de Saída'!A:A,Dash!B244,'NF-e de Saída'!F:F,"CANCELADA")</f>
        <v>0</v>
      </c>
    </row>
    <row r="245" spans="2:9" x14ac:dyDescent="0.3">
      <c r="B245">
        <v>468</v>
      </c>
      <c r="C245" t="s">
        <v>3043</v>
      </c>
      <c r="D245" t="s">
        <v>3557</v>
      </c>
      <c r="E245" t="str">
        <f>IF(COUNTIF(Sheet3!E:E,Dash!B245)&gt;0,"Sim","Não")</f>
        <v>Não</v>
      </c>
      <c r="F245" s="2">
        <f>SUMIFS('NF-e de Entrada'!E:E,'NF-e de Entrada'!A:A,Dash!B245,'NF-e de Entrada'!F:F,"Autorizada")</f>
        <v>0</v>
      </c>
      <c r="G245" s="2">
        <f>SUMIFS('NF-e de Entrada'!E:E,'NF-e de Entrada'!A:A,Dash!B245,'NF-e de Entrada'!F:F,"Cancelada")</f>
        <v>0</v>
      </c>
      <c r="H245" s="2">
        <f>SUMIFS('NF-e de Saída'!E:E,'NF-e de Saída'!A:A,Dash!B245,'NF-e de Saída'!F:F,"AUTORIZADA")</f>
        <v>0</v>
      </c>
      <c r="I245" s="2">
        <f>SUMIFS('NF-e de Saída'!E:E,'NF-e de Saída'!A:A,Dash!B245,'NF-e de Saída'!F:F,"CANCELADA")</f>
        <v>0</v>
      </c>
    </row>
    <row r="246" spans="2:9" x14ac:dyDescent="0.3">
      <c r="B246">
        <v>469</v>
      </c>
      <c r="C246" t="s">
        <v>3044</v>
      </c>
      <c r="D246" t="s">
        <v>3558</v>
      </c>
      <c r="E246" t="str">
        <f>IF(COUNTIF(Sheet3!E:E,Dash!B246)&gt;0,"Sim","Não")</f>
        <v>Não</v>
      </c>
      <c r="F246" s="2">
        <f>SUMIFS('NF-e de Entrada'!E:E,'NF-e de Entrada'!A:A,Dash!B246,'NF-e de Entrada'!F:F,"Autorizada")</f>
        <v>0</v>
      </c>
      <c r="G246" s="2">
        <f>SUMIFS('NF-e de Entrada'!E:E,'NF-e de Entrada'!A:A,Dash!B246,'NF-e de Entrada'!F:F,"Cancelada")</f>
        <v>0</v>
      </c>
      <c r="H246" s="2">
        <f>SUMIFS('NF-e de Saída'!E:E,'NF-e de Saída'!A:A,Dash!B246,'NF-e de Saída'!F:F,"AUTORIZADA")</f>
        <v>0</v>
      </c>
      <c r="I246" s="2">
        <f>SUMIFS('NF-e de Saída'!E:E,'NF-e de Saída'!A:A,Dash!B246,'NF-e de Saída'!F:F,"CANCELADA")</f>
        <v>0</v>
      </c>
    </row>
    <row r="247" spans="2:9" x14ac:dyDescent="0.3">
      <c r="B247">
        <v>471</v>
      </c>
      <c r="C247" t="s">
        <v>3045</v>
      </c>
      <c r="D247" t="s">
        <v>2481</v>
      </c>
      <c r="E247" t="str">
        <f>IF(COUNTIF(Sheet3!E:E,Dash!B247)&gt;0,"Sim","Não")</f>
        <v>Sim</v>
      </c>
      <c r="F247" s="2">
        <f>SUMIFS('NF-e de Entrada'!E:E,'NF-e de Entrada'!A:A,Dash!B247,'NF-e de Entrada'!F:F,"Autorizada")</f>
        <v>6914.0899999999983</v>
      </c>
      <c r="G247" s="2">
        <f>SUMIFS('NF-e de Entrada'!E:E,'NF-e de Entrada'!A:A,Dash!B247,'NF-e de Entrada'!F:F,"Cancelada")</f>
        <v>21.9</v>
      </c>
      <c r="H247" s="2">
        <f>SUMIFS('NF-e de Saída'!E:E,'NF-e de Saída'!A:A,Dash!B247,'NF-e de Saída'!F:F,"AUTORIZADA")</f>
        <v>0</v>
      </c>
      <c r="I247" s="2">
        <f>SUMIFS('NF-e de Saída'!E:E,'NF-e de Saída'!A:A,Dash!B247,'NF-e de Saída'!F:F,"CANCELADA")</f>
        <v>0</v>
      </c>
    </row>
    <row r="248" spans="2:9" x14ac:dyDescent="0.3">
      <c r="B248">
        <v>472</v>
      </c>
      <c r="C248" t="s">
        <v>3046</v>
      </c>
      <c r="D248" t="s">
        <v>2481</v>
      </c>
      <c r="E248" t="str">
        <f>IF(COUNTIF(Sheet3!E:E,Dash!B248)&gt;0,"Sim","Não")</f>
        <v>Sim</v>
      </c>
      <c r="F248" s="2">
        <f>SUMIFS('NF-e de Entrada'!E:E,'NF-e de Entrada'!A:A,Dash!B248,'NF-e de Entrada'!F:F,"Autorizada")</f>
        <v>12959.939999999984</v>
      </c>
      <c r="G248" s="2">
        <f>SUMIFS('NF-e de Entrada'!E:E,'NF-e de Entrada'!A:A,Dash!B248,'NF-e de Entrada'!F:F,"Cancelada")</f>
        <v>0</v>
      </c>
      <c r="H248" s="2">
        <f>SUMIFS('NF-e de Saída'!E:E,'NF-e de Saída'!A:A,Dash!B248,'NF-e de Saída'!F:F,"AUTORIZADA")</f>
        <v>1355.39</v>
      </c>
      <c r="I248" s="2">
        <f>SUMIFS('NF-e de Saída'!E:E,'NF-e de Saída'!A:A,Dash!B248,'NF-e de Saída'!F:F,"CANCELADA")</f>
        <v>0</v>
      </c>
    </row>
    <row r="249" spans="2:9" x14ac:dyDescent="0.3">
      <c r="B249">
        <v>473</v>
      </c>
      <c r="C249" t="s">
        <v>3047</v>
      </c>
      <c r="D249" t="s">
        <v>3559</v>
      </c>
      <c r="E249" t="str">
        <f>IF(COUNTIF(Sheet3!E:E,Dash!B249)&gt;0,"Sim","Não")</f>
        <v>Não</v>
      </c>
      <c r="F249" s="2">
        <f>SUMIFS('NF-e de Entrada'!E:E,'NF-e de Entrada'!A:A,Dash!B249,'NF-e de Entrada'!F:F,"Autorizada")</f>
        <v>0</v>
      </c>
      <c r="G249" s="2">
        <f>SUMIFS('NF-e de Entrada'!E:E,'NF-e de Entrada'!A:A,Dash!B249,'NF-e de Entrada'!F:F,"Cancelada")</f>
        <v>0</v>
      </c>
      <c r="H249" s="2">
        <f>SUMIFS('NF-e de Saída'!E:E,'NF-e de Saída'!A:A,Dash!B249,'NF-e de Saída'!F:F,"AUTORIZADA")</f>
        <v>0</v>
      </c>
      <c r="I249" s="2">
        <f>SUMIFS('NF-e de Saída'!E:E,'NF-e de Saída'!A:A,Dash!B249,'NF-e de Saída'!F:F,"CANCELADA")</f>
        <v>0</v>
      </c>
    </row>
    <row r="250" spans="2:9" x14ac:dyDescent="0.3">
      <c r="B250">
        <v>475</v>
      </c>
      <c r="C250" t="s">
        <v>3048</v>
      </c>
      <c r="D250" t="s">
        <v>3560</v>
      </c>
      <c r="E250" t="str">
        <f>IF(COUNTIF(Sheet3!E:E,Dash!B250)&gt;0,"Sim","Não")</f>
        <v>Não</v>
      </c>
      <c r="F250" s="2">
        <f>SUMIFS('NF-e de Entrada'!E:E,'NF-e de Entrada'!A:A,Dash!B250,'NF-e de Entrada'!F:F,"Autorizada")</f>
        <v>0</v>
      </c>
      <c r="G250" s="2">
        <f>SUMIFS('NF-e de Entrada'!E:E,'NF-e de Entrada'!A:A,Dash!B250,'NF-e de Entrada'!F:F,"Cancelada")</f>
        <v>0</v>
      </c>
      <c r="H250" s="2">
        <f>SUMIFS('NF-e de Saída'!E:E,'NF-e de Saída'!A:A,Dash!B250,'NF-e de Saída'!F:F,"AUTORIZADA")</f>
        <v>0</v>
      </c>
      <c r="I250" s="2">
        <f>SUMIFS('NF-e de Saída'!E:E,'NF-e de Saída'!A:A,Dash!B250,'NF-e de Saída'!F:F,"CANCELADA")</f>
        <v>0</v>
      </c>
    </row>
    <row r="251" spans="2:9" x14ac:dyDescent="0.3">
      <c r="B251">
        <v>477</v>
      </c>
      <c r="C251" t="s">
        <v>3049</v>
      </c>
      <c r="D251" t="s">
        <v>3561</v>
      </c>
      <c r="E251" t="str">
        <f>IF(COUNTIF(Sheet3!E:E,Dash!B251)&gt;0,"Sim","Não")</f>
        <v>Não</v>
      </c>
      <c r="F251" s="2">
        <f>SUMIFS('NF-e de Entrada'!E:E,'NF-e de Entrada'!A:A,Dash!B251,'NF-e de Entrada'!F:F,"Autorizada")</f>
        <v>0</v>
      </c>
      <c r="G251" s="2">
        <f>SUMIFS('NF-e de Entrada'!E:E,'NF-e de Entrada'!A:A,Dash!B251,'NF-e de Entrada'!F:F,"Cancelada")</f>
        <v>0</v>
      </c>
      <c r="H251" s="2">
        <f>SUMIFS('NF-e de Saída'!E:E,'NF-e de Saída'!A:A,Dash!B251,'NF-e de Saída'!F:F,"AUTORIZADA")</f>
        <v>0</v>
      </c>
      <c r="I251" s="2">
        <f>SUMIFS('NF-e de Saída'!E:E,'NF-e de Saída'!A:A,Dash!B251,'NF-e de Saída'!F:F,"CANCELADA")</f>
        <v>0</v>
      </c>
    </row>
    <row r="252" spans="2:9" x14ac:dyDescent="0.3">
      <c r="B252">
        <v>478</v>
      </c>
      <c r="C252" t="s">
        <v>3050</v>
      </c>
      <c r="D252" t="s">
        <v>3561</v>
      </c>
      <c r="E252" t="str">
        <f>IF(COUNTIF(Sheet3!E:E,Dash!B252)&gt;0,"Sim","Não")</f>
        <v>Não</v>
      </c>
      <c r="F252" s="2">
        <f>SUMIFS('NF-e de Entrada'!E:E,'NF-e de Entrada'!A:A,Dash!B252,'NF-e de Entrada'!F:F,"Autorizada")</f>
        <v>0</v>
      </c>
      <c r="G252" s="2">
        <f>SUMIFS('NF-e de Entrada'!E:E,'NF-e de Entrada'!A:A,Dash!B252,'NF-e de Entrada'!F:F,"Cancelada")</f>
        <v>0</v>
      </c>
      <c r="H252" s="2">
        <f>SUMIFS('NF-e de Saída'!E:E,'NF-e de Saída'!A:A,Dash!B252,'NF-e de Saída'!F:F,"AUTORIZADA")</f>
        <v>0</v>
      </c>
      <c r="I252" s="2">
        <f>SUMIFS('NF-e de Saída'!E:E,'NF-e de Saída'!A:A,Dash!B252,'NF-e de Saída'!F:F,"CANCELADA")</f>
        <v>0</v>
      </c>
    </row>
    <row r="253" spans="2:9" x14ac:dyDescent="0.3">
      <c r="B253">
        <v>479</v>
      </c>
      <c r="C253" t="s">
        <v>3051</v>
      </c>
      <c r="D253" t="s">
        <v>3562</v>
      </c>
      <c r="E253" t="str">
        <f>IF(COUNTIF(Sheet3!E:E,Dash!B253)&gt;0,"Sim","Não")</f>
        <v>Sim</v>
      </c>
      <c r="F253" s="2">
        <f>SUMIFS('NF-e de Entrada'!E:E,'NF-e de Entrada'!A:A,Dash!B253,'NF-e de Entrada'!F:F,"Autorizada")</f>
        <v>0</v>
      </c>
      <c r="G253" s="2">
        <f>SUMIFS('NF-e de Entrada'!E:E,'NF-e de Entrada'!A:A,Dash!B253,'NF-e de Entrada'!F:F,"Cancelada")</f>
        <v>0</v>
      </c>
      <c r="H253" s="2">
        <f>SUMIFS('NF-e de Saída'!E:E,'NF-e de Saída'!A:A,Dash!B253,'NF-e de Saída'!F:F,"AUTORIZADA")</f>
        <v>0</v>
      </c>
      <c r="I253" s="2">
        <f>SUMIFS('NF-e de Saída'!E:E,'NF-e de Saída'!A:A,Dash!B253,'NF-e de Saída'!F:F,"CANCELADA")</f>
        <v>0</v>
      </c>
    </row>
    <row r="254" spans="2:9" x14ac:dyDescent="0.3">
      <c r="B254">
        <v>480</v>
      </c>
      <c r="C254" t="s">
        <v>3052</v>
      </c>
      <c r="D254" t="s">
        <v>3562</v>
      </c>
      <c r="E254" t="str">
        <f>IF(COUNTIF(Sheet3!E:E,Dash!B254)&gt;0,"Sim","Não")</f>
        <v>Sim</v>
      </c>
      <c r="F254" s="2">
        <f>SUMIFS('NF-e de Entrada'!E:E,'NF-e de Entrada'!A:A,Dash!B254,'NF-e de Entrada'!F:F,"Autorizada")</f>
        <v>0</v>
      </c>
      <c r="G254" s="2">
        <f>SUMIFS('NF-e de Entrada'!E:E,'NF-e de Entrada'!A:A,Dash!B254,'NF-e de Entrada'!F:F,"Cancelada")</f>
        <v>0</v>
      </c>
      <c r="H254" s="2">
        <f>SUMIFS('NF-e de Saída'!E:E,'NF-e de Saída'!A:A,Dash!B254,'NF-e de Saída'!F:F,"AUTORIZADA")</f>
        <v>0</v>
      </c>
      <c r="I254" s="2">
        <f>SUMIFS('NF-e de Saída'!E:E,'NF-e de Saída'!A:A,Dash!B254,'NF-e de Saída'!F:F,"CANCELADA")</f>
        <v>0</v>
      </c>
    </row>
    <row r="255" spans="2:9" x14ac:dyDescent="0.3">
      <c r="B255">
        <v>481</v>
      </c>
      <c r="C255" t="s">
        <v>3053</v>
      </c>
      <c r="D255" t="s">
        <v>3562</v>
      </c>
      <c r="E255" t="str">
        <f>IF(COUNTIF(Sheet3!E:E,Dash!B255)&gt;0,"Sim","Não")</f>
        <v>Sim</v>
      </c>
      <c r="F255" s="2">
        <f>SUMIFS('NF-e de Entrada'!E:E,'NF-e de Entrada'!A:A,Dash!B255,'NF-e de Entrada'!F:F,"Autorizada")</f>
        <v>0</v>
      </c>
      <c r="G255" s="2">
        <f>SUMIFS('NF-e de Entrada'!E:E,'NF-e de Entrada'!A:A,Dash!B255,'NF-e de Entrada'!F:F,"Cancelada")</f>
        <v>0</v>
      </c>
      <c r="H255" s="2">
        <f>SUMIFS('NF-e de Saída'!E:E,'NF-e de Saída'!A:A,Dash!B255,'NF-e de Saída'!F:F,"AUTORIZADA")</f>
        <v>0</v>
      </c>
      <c r="I255" s="2">
        <f>SUMIFS('NF-e de Saída'!E:E,'NF-e de Saída'!A:A,Dash!B255,'NF-e de Saída'!F:F,"CANCELADA")</f>
        <v>0</v>
      </c>
    </row>
    <row r="256" spans="2:9" x14ac:dyDescent="0.3">
      <c r="B256">
        <v>482</v>
      </c>
      <c r="C256" t="s">
        <v>3054</v>
      </c>
      <c r="D256" t="s">
        <v>2467</v>
      </c>
      <c r="E256" t="str">
        <f>IF(COUNTIF(Sheet3!E:E,Dash!B256)&gt;0,"Sim","Não")</f>
        <v>Sim</v>
      </c>
      <c r="F256" s="2">
        <f>SUMIFS('NF-e de Entrada'!E:E,'NF-e de Entrada'!A:A,Dash!B256,'NF-e de Entrada'!F:F,"Autorizada")</f>
        <v>23097.79</v>
      </c>
      <c r="G256" s="2">
        <f>SUMIFS('NF-e de Entrada'!E:E,'NF-e de Entrada'!A:A,Dash!B256,'NF-e de Entrada'!F:F,"Cancelada")</f>
        <v>0</v>
      </c>
      <c r="H256" s="2">
        <f>SUMIFS('NF-e de Saída'!E:E,'NF-e de Saída'!A:A,Dash!B256,'NF-e de Saída'!F:F,"AUTORIZADA")</f>
        <v>59650.820000000029</v>
      </c>
      <c r="I256" s="2">
        <f>SUMIFS('NF-e de Saída'!E:E,'NF-e de Saída'!A:A,Dash!B256,'NF-e de Saída'!F:F,"CANCELADA")</f>
        <v>0</v>
      </c>
    </row>
    <row r="257" spans="2:9" x14ac:dyDescent="0.3">
      <c r="B257">
        <v>483</v>
      </c>
      <c r="C257" t="s">
        <v>3055</v>
      </c>
      <c r="D257" t="s">
        <v>3563</v>
      </c>
      <c r="E257" t="str">
        <f>IF(COUNTIF(Sheet3!E:E,Dash!B257)&gt;0,"Sim","Não")</f>
        <v>Sim</v>
      </c>
      <c r="F257" s="2">
        <f>SUMIFS('NF-e de Entrada'!E:E,'NF-e de Entrada'!A:A,Dash!B257,'NF-e de Entrada'!F:F,"Autorizada")</f>
        <v>0</v>
      </c>
      <c r="G257" s="2">
        <f>SUMIFS('NF-e de Entrada'!E:E,'NF-e de Entrada'!A:A,Dash!B257,'NF-e de Entrada'!F:F,"Cancelada")</f>
        <v>0</v>
      </c>
      <c r="H257" s="2">
        <f>SUMIFS('NF-e de Saída'!E:E,'NF-e de Saída'!A:A,Dash!B257,'NF-e de Saída'!F:F,"AUTORIZADA")</f>
        <v>0</v>
      </c>
      <c r="I257" s="2">
        <f>SUMIFS('NF-e de Saída'!E:E,'NF-e de Saída'!A:A,Dash!B257,'NF-e de Saída'!F:F,"CANCELADA")</f>
        <v>0</v>
      </c>
    </row>
    <row r="258" spans="2:9" x14ac:dyDescent="0.3">
      <c r="B258">
        <v>484</v>
      </c>
      <c r="C258" t="s">
        <v>3056</v>
      </c>
      <c r="D258" t="s">
        <v>2467</v>
      </c>
      <c r="E258" t="str">
        <f>IF(COUNTIF(Sheet3!E:E,Dash!B258)&gt;0,"Sim","Não")</f>
        <v>Sim</v>
      </c>
      <c r="F258" s="2">
        <f>SUMIFS('NF-e de Entrada'!E:E,'NF-e de Entrada'!A:A,Dash!B258,'NF-e de Entrada'!F:F,"Autorizada")</f>
        <v>16266.26999999998</v>
      </c>
      <c r="G258" s="2">
        <f>SUMIFS('NF-e de Entrada'!E:E,'NF-e de Entrada'!A:A,Dash!B258,'NF-e de Entrada'!F:F,"Cancelada")</f>
        <v>0</v>
      </c>
      <c r="H258" s="2">
        <f>SUMIFS('NF-e de Saída'!E:E,'NF-e de Saída'!A:A,Dash!B258,'NF-e de Saída'!F:F,"AUTORIZADA")</f>
        <v>0</v>
      </c>
      <c r="I258" s="2">
        <f>SUMIFS('NF-e de Saída'!E:E,'NF-e de Saída'!A:A,Dash!B258,'NF-e de Saída'!F:F,"CANCELADA")</f>
        <v>0</v>
      </c>
    </row>
    <row r="259" spans="2:9" x14ac:dyDescent="0.3">
      <c r="B259">
        <v>485</v>
      </c>
      <c r="C259" t="s">
        <v>3057</v>
      </c>
      <c r="D259" t="s">
        <v>2467</v>
      </c>
      <c r="E259" t="str">
        <f>IF(COUNTIF(Sheet3!E:E,Dash!B259)&gt;0,"Sim","Não")</f>
        <v>Sim</v>
      </c>
      <c r="F259" s="2">
        <f>SUMIFS('NF-e de Entrada'!E:E,'NF-e de Entrada'!A:A,Dash!B259,'NF-e de Entrada'!F:F,"Autorizada")</f>
        <v>27673.970000000038</v>
      </c>
      <c r="G259" s="2">
        <f>SUMIFS('NF-e de Entrada'!E:E,'NF-e de Entrada'!A:A,Dash!B259,'NF-e de Entrada'!F:F,"Cancelada")</f>
        <v>0</v>
      </c>
      <c r="H259" s="2">
        <f>SUMIFS('NF-e de Saída'!E:E,'NF-e de Saída'!A:A,Dash!B259,'NF-e de Saída'!F:F,"AUTORIZADA")</f>
        <v>6360.7899999999991</v>
      </c>
      <c r="I259" s="2">
        <f>SUMIFS('NF-e de Saída'!E:E,'NF-e de Saída'!A:A,Dash!B259,'NF-e de Saída'!F:F,"CANCELADA")</f>
        <v>0</v>
      </c>
    </row>
    <row r="260" spans="2:9" x14ac:dyDescent="0.3">
      <c r="B260">
        <v>486</v>
      </c>
      <c r="C260" t="s">
        <v>3058</v>
      </c>
      <c r="D260" t="s">
        <v>2467</v>
      </c>
      <c r="E260" t="str">
        <f>IF(COUNTIF(Sheet3!E:E,Dash!B260)&gt;0,"Sim","Não")</f>
        <v>Sim</v>
      </c>
      <c r="F260" s="2">
        <f>SUMIFS('NF-e de Entrada'!E:E,'NF-e de Entrada'!A:A,Dash!B260,'NF-e de Entrada'!F:F,"Autorizada")</f>
        <v>0</v>
      </c>
      <c r="G260" s="2">
        <f>SUMIFS('NF-e de Entrada'!E:E,'NF-e de Entrada'!A:A,Dash!B260,'NF-e de Entrada'!F:F,"Cancelada")</f>
        <v>0</v>
      </c>
      <c r="H260" s="2">
        <f>SUMIFS('NF-e de Saída'!E:E,'NF-e de Saída'!A:A,Dash!B260,'NF-e de Saída'!F:F,"AUTORIZADA")</f>
        <v>0</v>
      </c>
      <c r="I260" s="2">
        <f>SUMIFS('NF-e de Saída'!E:E,'NF-e de Saída'!A:A,Dash!B260,'NF-e de Saída'!F:F,"CANCELADA")</f>
        <v>0</v>
      </c>
    </row>
    <row r="261" spans="2:9" x14ac:dyDescent="0.3">
      <c r="B261">
        <v>487</v>
      </c>
      <c r="C261" t="s">
        <v>3059</v>
      </c>
      <c r="D261" t="s">
        <v>2467</v>
      </c>
      <c r="E261" t="str">
        <f>IF(COUNTIF(Sheet3!E:E,Dash!B261)&gt;0,"Sim","Não")</f>
        <v>Sim</v>
      </c>
      <c r="F261" s="2">
        <f>SUMIFS('NF-e de Entrada'!E:E,'NF-e de Entrada'!A:A,Dash!B261,'NF-e de Entrada'!F:F,"Autorizada")</f>
        <v>0</v>
      </c>
      <c r="G261" s="2">
        <f>SUMIFS('NF-e de Entrada'!E:E,'NF-e de Entrada'!A:A,Dash!B261,'NF-e de Entrada'!F:F,"Cancelada")</f>
        <v>0</v>
      </c>
      <c r="H261" s="2">
        <f>SUMIFS('NF-e de Saída'!E:E,'NF-e de Saída'!A:A,Dash!B261,'NF-e de Saída'!F:F,"AUTORIZADA")</f>
        <v>0</v>
      </c>
      <c r="I261" s="2">
        <f>SUMIFS('NF-e de Saída'!E:E,'NF-e de Saída'!A:A,Dash!B261,'NF-e de Saída'!F:F,"CANCELADA")</f>
        <v>0</v>
      </c>
    </row>
    <row r="262" spans="2:9" x14ac:dyDescent="0.3">
      <c r="B262">
        <v>488</v>
      </c>
      <c r="C262" t="s">
        <v>3060</v>
      </c>
      <c r="D262" t="s">
        <v>3564</v>
      </c>
      <c r="E262" t="str">
        <f>IF(COUNTIF(Sheet3!E:E,Dash!B262)&gt;0,"Sim","Não")</f>
        <v>Sim</v>
      </c>
      <c r="F262" s="2">
        <f>SUMIFS('NF-e de Entrada'!E:E,'NF-e de Entrada'!A:A,Dash!B262,'NF-e de Entrada'!F:F,"Autorizada")</f>
        <v>0</v>
      </c>
      <c r="G262" s="2">
        <f>SUMIFS('NF-e de Entrada'!E:E,'NF-e de Entrada'!A:A,Dash!B262,'NF-e de Entrada'!F:F,"Cancelada")</f>
        <v>0</v>
      </c>
      <c r="H262" s="2">
        <f>SUMIFS('NF-e de Saída'!E:E,'NF-e de Saída'!A:A,Dash!B262,'NF-e de Saída'!F:F,"AUTORIZADA")</f>
        <v>0</v>
      </c>
      <c r="I262" s="2">
        <f>SUMIFS('NF-e de Saída'!E:E,'NF-e de Saída'!A:A,Dash!B262,'NF-e de Saída'!F:F,"CANCELADA")</f>
        <v>0</v>
      </c>
    </row>
    <row r="263" spans="2:9" x14ac:dyDescent="0.3">
      <c r="B263">
        <v>489</v>
      </c>
      <c r="C263" t="s">
        <v>3061</v>
      </c>
      <c r="D263" t="s">
        <v>3564</v>
      </c>
      <c r="E263" t="str">
        <f>IF(COUNTIF(Sheet3!E:E,Dash!B263)&gt;0,"Sim","Não")</f>
        <v>Sim</v>
      </c>
      <c r="F263" s="2">
        <f>SUMIFS('NF-e de Entrada'!E:E,'NF-e de Entrada'!A:A,Dash!B263,'NF-e de Entrada'!F:F,"Autorizada")</f>
        <v>0</v>
      </c>
      <c r="G263" s="2">
        <f>SUMIFS('NF-e de Entrada'!E:E,'NF-e de Entrada'!A:A,Dash!B263,'NF-e de Entrada'!F:F,"Cancelada")</f>
        <v>0</v>
      </c>
      <c r="H263" s="2">
        <f>SUMIFS('NF-e de Saída'!E:E,'NF-e de Saída'!A:A,Dash!B263,'NF-e de Saída'!F:F,"AUTORIZADA")</f>
        <v>0</v>
      </c>
      <c r="I263" s="2">
        <f>SUMIFS('NF-e de Saída'!E:E,'NF-e de Saída'!A:A,Dash!B263,'NF-e de Saída'!F:F,"CANCELADA")</f>
        <v>0</v>
      </c>
    </row>
    <row r="264" spans="2:9" x14ac:dyDescent="0.3">
      <c r="B264">
        <v>490</v>
      </c>
      <c r="C264" t="s">
        <v>3062</v>
      </c>
      <c r="D264" t="s">
        <v>3557</v>
      </c>
      <c r="E264" t="str">
        <f>IF(COUNTIF(Sheet3!E:E,Dash!B264)&gt;0,"Sim","Não")</f>
        <v>Não</v>
      </c>
      <c r="F264" s="2">
        <f>SUMIFS('NF-e de Entrada'!E:E,'NF-e de Entrada'!A:A,Dash!B264,'NF-e de Entrada'!F:F,"Autorizada")</f>
        <v>0</v>
      </c>
      <c r="G264" s="2">
        <f>SUMIFS('NF-e de Entrada'!E:E,'NF-e de Entrada'!A:A,Dash!B264,'NF-e de Entrada'!F:F,"Cancelada")</f>
        <v>0</v>
      </c>
      <c r="H264" s="2">
        <f>SUMIFS('NF-e de Saída'!E:E,'NF-e de Saída'!A:A,Dash!B264,'NF-e de Saída'!F:F,"AUTORIZADA")</f>
        <v>0</v>
      </c>
      <c r="I264" s="2">
        <f>SUMIFS('NF-e de Saída'!E:E,'NF-e de Saída'!A:A,Dash!B264,'NF-e de Saída'!F:F,"CANCELADA")</f>
        <v>0</v>
      </c>
    </row>
    <row r="265" spans="2:9" x14ac:dyDescent="0.3">
      <c r="B265">
        <v>491</v>
      </c>
      <c r="C265" t="s">
        <v>3063</v>
      </c>
      <c r="D265" t="s">
        <v>3565</v>
      </c>
      <c r="E265" t="str">
        <f>IF(COUNTIF(Sheet3!E:E,Dash!B265)&gt;0,"Sim","Não")</f>
        <v>Não</v>
      </c>
      <c r="F265" s="2">
        <f>SUMIFS('NF-e de Entrada'!E:E,'NF-e de Entrada'!A:A,Dash!B265,'NF-e de Entrada'!F:F,"Autorizada")</f>
        <v>0</v>
      </c>
      <c r="G265" s="2">
        <f>SUMIFS('NF-e de Entrada'!E:E,'NF-e de Entrada'!A:A,Dash!B265,'NF-e de Entrada'!F:F,"Cancelada")</f>
        <v>0</v>
      </c>
      <c r="H265" s="2">
        <f>SUMIFS('NF-e de Saída'!E:E,'NF-e de Saída'!A:A,Dash!B265,'NF-e de Saída'!F:F,"AUTORIZADA")</f>
        <v>0</v>
      </c>
      <c r="I265" s="2">
        <f>SUMIFS('NF-e de Saída'!E:E,'NF-e de Saída'!A:A,Dash!B265,'NF-e de Saída'!F:F,"CANCELADA")</f>
        <v>0</v>
      </c>
    </row>
    <row r="266" spans="2:9" x14ac:dyDescent="0.3">
      <c r="B266">
        <v>494</v>
      </c>
      <c r="C266" t="s">
        <v>3064</v>
      </c>
      <c r="D266" t="s">
        <v>3566</v>
      </c>
      <c r="E266" t="str">
        <f>IF(COUNTIF(Sheet3!E:E,Dash!B266)&gt;0,"Sim","Não")</f>
        <v>Não</v>
      </c>
      <c r="F266" s="2">
        <f>SUMIFS('NF-e de Entrada'!E:E,'NF-e de Entrada'!A:A,Dash!B266,'NF-e de Entrada'!F:F,"Autorizada")</f>
        <v>0</v>
      </c>
      <c r="G266" s="2">
        <f>SUMIFS('NF-e de Entrada'!E:E,'NF-e de Entrada'!A:A,Dash!B266,'NF-e de Entrada'!F:F,"Cancelada")</f>
        <v>0</v>
      </c>
      <c r="H266" s="2">
        <f>SUMIFS('NF-e de Saída'!E:E,'NF-e de Saída'!A:A,Dash!B266,'NF-e de Saída'!F:F,"AUTORIZADA")</f>
        <v>0</v>
      </c>
      <c r="I266" s="2">
        <f>SUMIFS('NF-e de Saída'!E:E,'NF-e de Saída'!A:A,Dash!B266,'NF-e de Saída'!F:F,"CANCELADA")</f>
        <v>0</v>
      </c>
    </row>
    <row r="267" spans="2:9" x14ac:dyDescent="0.3">
      <c r="B267">
        <v>495</v>
      </c>
      <c r="C267" t="s">
        <v>3065</v>
      </c>
      <c r="D267" t="s">
        <v>3567</v>
      </c>
      <c r="E267" t="str">
        <f>IF(COUNTIF(Sheet3!E:E,Dash!B267)&gt;0,"Sim","Não")</f>
        <v>Não</v>
      </c>
      <c r="F267" s="2">
        <f>SUMIFS('NF-e de Entrada'!E:E,'NF-e de Entrada'!A:A,Dash!B267,'NF-e de Entrada'!F:F,"Autorizada")</f>
        <v>0</v>
      </c>
      <c r="G267" s="2">
        <f>SUMIFS('NF-e de Entrada'!E:E,'NF-e de Entrada'!A:A,Dash!B267,'NF-e de Entrada'!F:F,"Cancelada")</f>
        <v>0</v>
      </c>
      <c r="H267" s="2">
        <f>SUMIFS('NF-e de Saída'!E:E,'NF-e de Saída'!A:A,Dash!B267,'NF-e de Saída'!F:F,"AUTORIZADA")</f>
        <v>0</v>
      </c>
      <c r="I267" s="2">
        <f>SUMIFS('NF-e de Saída'!E:E,'NF-e de Saída'!A:A,Dash!B267,'NF-e de Saída'!F:F,"CANCELADA")</f>
        <v>0</v>
      </c>
    </row>
    <row r="268" spans="2:9" x14ac:dyDescent="0.3">
      <c r="B268">
        <v>496</v>
      </c>
      <c r="C268" t="s">
        <v>3066</v>
      </c>
      <c r="D268" t="s">
        <v>3395</v>
      </c>
      <c r="E268" t="str">
        <f>IF(COUNTIF(Sheet3!E:E,Dash!B268)&gt;0,"Sim","Não")</f>
        <v>Não</v>
      </c>
      <c r="F268" s="2">
        <f>SUMIFS('NF-e de Entrada'!E:E,'NF-e de Entrada'!A:A,Dash!B268,'NF-e de Entrada'!F:F,"Autorizada")</f>
        <v>0</v>
      </c>
      <c r="G268" s="2">
        <f>SUMIFS('NF-e de Entrada'!E:E,'NF-e de Entrada'!A:A,Dash!B268,'NF-e de Entrada'!F:F,"Cancelada")</f>
        <v>0</v>
      </c>
      <c r="H268" s="2">
        <f>SUMIFS('NF-e de Saída'!E:E,'NF-e de Saída'!A:A,Dash!B268,'NF-e de Saída'!F:F,"AUTORIZADA")</f>
        <v>0</v>
      </c>
      <c r="I268" s="2">
        <f>SUMIFS('NF-e de Saída'!E:E,'NF-e de Saída'!A:A,Dash!B268,'NF-e de Saída'!F:F,"CANCELADA")</f>
        <v>0</v>
      </c>
    </row>
    <row r="269" spans="2:9" x14ac:dyDescent="0.3">
      <c r="B269">
        <v>497</v>
      </c>
      <c r="C269" t="s">
        <v>3067</v>
      </c>
      <c r="D269" t="s">
        <v>3568</v>
      </c>
      <c r="E269" t="str">
        <f>IF(COUNTIF(Sheet3!E:E,Dash!B269)&gt;0,"Sim","Não")</f>
        <v>Não</v>
      </c>
      <c r="F269" s="2">
        <f>SUMIFS('NF-e de Entrada'!E:E,'NF-e de Entrada'!A:A,Dash!B269,'NF-e de Entrada'!F:F,"Autorizada")</f>
        <v>0</v>
      </c>
      <c r="G269" s="2">
        <f>SUMIFS('NF-e de Entrada'!E:E,'NF-e de Entrada'!A:A,Dash!B269,'NF-e de Entrada'!F:F,"Cancelada")</f>
        <v>0</v>
      </c>
      <c r="H269" s="2">
        <f>SUMIFS('NF-e de Saída'!E:E,'NF-e de Saída'!A:A,Dash!B269,'NF-e de Saída'!F:F,"AUTORIZADA")</f>
        <v>0</v>
      </c>
      <c r="I269" s="2">
        <f>SUMIFS('NF-e de Saída'!E:E,'NF-e de Saída'!A:A,Dash!B269,'NF-e de Saída'!F:F,"CANCELADA")</f>
        <v>0</v>
      </c>
    </row>
    <row r="270" spans="2:9" x14ac:dyDescent="0.3">
      <c r="B270">
        <v>498</v>
      </c>
      <c r="C270" t="s">
        <v>3068</v>
      </c>
      <c r="D270" t="s">
        <v>3569</v>
      </c>
      <c r="E270" t="str">
        <f>IF(COUNTIF(Sheet3!E:E,Dash!B270)&gt;0,"Sim","Não")</f>
        <v>Não</v>
      </c>
      <c r="F270" s="2">
        <f>SUMIFS('NF-e de Entrada'!E:E,'NF-e de Entrada'!A:A,Dash!B270,'NF-e de Entrada'!F:F,"Autorizada")</f>
        <v>0</v>
      </c>
      <c r="G270" s="2">
        <f>SUMIFS('NF-e de Entrada'!E:E,'NF-e de Entrada'!A:A,Dash!B270,'NF-e de Entrada'!F:F,"Cancelada")</f>
        <v>0</v>
      </c>
      <c r="H270" s="2">
        <f>SUMIFS('NF-e de Saída'!E:E,'NF-e de Saída'!A:A,Dash!B270,'NF-e de Saída'!F:F,"AUTORIZADA")</f>
        <v>0</v>
      </c>
      <c r="I270" s="2">
        <f>SUMIFS('NF-e de Saída'!E:E,'NF-e de Saída'!A:A,Dash!B270,'NF-e de Saída'!F:F,"CANCELADA")</f>
        <v>0</v>
      </c>
    </row>
    <row r="271" spans="2:9" x14ac:dyDescent="0.3">
      <c r="B271">
        <v>499</v>
      </c>
      <c r="C271" t="s">
        <v>3069</v>
      </c>
      <c r="D271" t="s">
        <v>3570</v>
      </c>
      <c r="E271" t="str">
        <f>IF(COUNTIF(Sheet3!E:E,Dash!B271)&gt;0,"Sim","Não")</f>
        <v>Não</v>
      </c>
      <c r="F271" s="2">
        <f>SUMIFS('NF-e de Entrada'!E:E,'NF-e de Entrada'!A:A,Dash!B271,'NF-e de Entrada'!F:F,"Autorizada")</f>
        <v>0</v>
      </c>
      <c r="G271" s="2">
        <f>SUMIFS('NF-e de Entrada'!E:E,'NF-e de Entrada'!A:A,Dash!B271,'NF-e de Entrada'!F:F,"Cancelada")</f>
        <v>0</v>
      </c>
      <c r="H271" s="2">
        <f>SUMIFS('NF-e de Saída'!E:E,'NF-e de Saída'!A:A,Dash!B271,'NF-e de Saída'!F:F,"AUTORIZADA")</f>
        <v>0</v>
      </c>
      <c r="I271" s="2">
        <f>SUMIFS('NF-e de Saída'!E:E,'NF-e de Saída'!A:A,Dash!B271,'NF-e de Saída'!F:F,"CANCELADA")</f>
        <v>0</v>
      </c>
    </row>
    <row r="272" spans="2:9" x14ac:dyDescent="0.3">
      <c r="B272">
        <v>500</v>
      </c>
      <c r="C272" t="s">
        <v>3070</v>
      </c>
      <c r="D272" t="s">
        <v>3571</v>
      </c>
      <c r="E272" t="str">
        <f>IF(COUNTIF(Sheet3!E:E,Dash!B272)&gt;0,"Sim","Não")</f>
        <v>Não</v>
      </c>
      <c r="F272" s="2">
        <f>SUMIFS('NF-e de Entrada'!E:E,'NF-e de Entrada'!A:A,Dash!B272,'NF-e de Entrada'!F:F,"Autorizada")</f>
        <v>0</v>
      </c>
      <c r="G272" s="2">
        <f>SUMIFS('NF-e de Entrada'!E:E,'NF-e de Entrada'!A:A,Dash!B272,'NF-e de Entrada'!F:F,"Cancelada")</f>
        <v>0</v>
      </c>
      <c r="H272" s="2">
        <f>SUMIFS('NF-e de Saída'!E:E,'NF-e de Saída'!A:A,Dash!B272,'NF-e de Saída'!F:F,"AUTORIZADA")</f>
        <v>0</v>
      </c>
      <c r="I272" s="2">
        <f>SUMIFS('NF-e de Saída'!E:E,'NF-e de Saída'!A:A,Dash!B272,'NF-e de Saída'!F:F,"CANCELADA")</f>
        <v>0</v>
      </c>
    </row>
    <row r="273" spans="2:9" x14ac:dyDescent="0.3">
      <c r="B273">
        <v>503</v>
      </c>
      <c r="C273" t="s">
        <v>3071</v>
      </c>
      <c r="D273" t="s">
        <v>3572</v>
      </c>
      <c r="E273" t="str">
        <f>IF(COUNTIF(Sheet3!E:E,Dash!B273)&gt;0,"Sim","Não")</f>
        <v>Não</v>
      </c>
      <c r="F273" s="2">
        <f>SUMIFS('NF-e de Entrada'!E:E,'NF-e de Entrada'!A:A,Dash!B273,'NF-e de Entrada'!F:F,"Autorizada")</f>
        <v>0</v>
      </c>
      <c r="G273" s="2">
        <f>SUMIFS('NF-e de Entrada'!E:E,'NF-e de Entrada'!A:A,Dash!B273,'NF-e de Entrada'!F:F,"Cancelada")</f>
        <v>0</v>
      </c>
      <c r="H273" s="2">
        <f>SUMIFS('NF-e de Saída'!E:E,'NF-e de Saída'!A:A,Dash!B273,'NF-e de Saída'!F:F,"AUTORIZADA")</f>
        <v>0</v>
      </c>
      <c r="I273" s="2">
        <f>SUMIFS('NF-e de Saída'!E:E,'NF-e de Saída'!A:A,Dash!B273,'NF-e de Saída'!F:F,"CANCELADA")</f>
        <v>0</v>
      </c>
    </row>
    <row r="274" spans="2:9" x14ac:dyDescent="0.3">
      <c r="B274">
        <v>504</v>
      </c>
      <c r="C274" t="s">
        <v>3072</v>
      </c>
      <c r="D274" t="s">
        <v>3573</v>
      </c>
      <c r="E274" t="str">
        <f>IF(COUNTIF(Sheet3!E:E,Dash!B274)&gt;0,"Sim","Não")</f>
        <v>Não</v>
      </c>
      <c r="F274" s="2">
        <f>SUMIFS('NF-e de Entrada'!E:E,'NF-e de Entrada'!A:A,Dash!B274,'NF-e de Entrada'!F:F,"Autorizada")</f>
        <v>0</v>
      </c>
      <c r="G274" s="2">
        <f>SUMIFS('NF-e de Entrada'!E:E,'NF-e de Entrada'!A:A,Dash!B274,'NF-e de Entrada'!F:F,"Cancelada")</f>
        <v>0</v>
      </c>
      <c r="H274" s="2">
        <f>SUMIFS('NF-e de Saída'!E:E,'NF-e de Saída'!A:A,Dash!B274,'NF-e de Saída'!F:F,"AUTORIZADA")</f>
        <v>0</v>
      </c>
      <c r="I274" s="2">
        <f>SUMIFS('NF-e de Saída'!E:E,'NF-e de Saída'!A:A,Dash!B274,'NF-e de Saída'!F:F,"CANCELADA")</f>
        <v>0</v>
      </c>
    </row>
    <row r="275" spans="2:9" x14ac:dyDescent="0.3">
      <c r="B275">
        <v>507</v>
      </c>
      <c r="C275" t="s">
        <v>3073</v>
      </c>
      <c r="D275" t="s">
        <v>3574</v>
      </c>
      <c r="E275" t="str">
        <f>IF(COUNTIF(Sheet3!E:E,Dash!B275)&gt;0,"Sim","Não")</f>
        <v>Sim</v>
      </c>
      <c r="F275" s="2">
        <f>SUMIFS('NF-e de Entrada'!E:E,'NF-e de Entrada'!A:A,Dash!B275,'NF-e de Entrada'!F:F,"Autorizada")</f>
        <v>0</v>
      </c>
      <c r="G275" s="2">
        <f>SUMIFS('NF-e de Entrada'!E:E,'NF-e de Entrada'!A:A,Dash!B275,'NF-e de Entrada'!F:F,"Cancelada")</f>
        <v>0</v>
      </c>
      <c r="H275" s="2">
        <f>SUMIFS('NF-e de Saída'!E:E,'NF-e de Saída'!A:A,Dash!B275,'NF-e de Saída'!F:F,"AUTORIZADA")</f>
        <v>0</v>
      </c>
      <c r="I275" s="2">
        <f>SUMIFS('NF-e de Saída'!E:E,'NF-e de Saída'!A:A,Dash!B275,'NF-e de Saída'!F:F,"CANCELADA")</f>
        <v>0</v>
      </c>
    </row>
    <row r="276" spans="2:9" x14ac:dyDescent="0.3">
      <c r="B276">
        <v>508</v>
      </c>
      <c r="C276" t="s">
        <v>3074</v>
      </c>
      <c r="D276" t="s">
        <v>3575</v>
      </c>
      <c r="E276" t="str">
        <f>IF(COUNTIF(Sheet3!E:E,Dash!B276)&gt;0,"Sim","Não")</f>
        <v>Não</v>
      </c>
      <c r="F276" s="2">
        <f>SUMIFS('NF-e de Entrada'!E:E,'NF-e de Entrada'!A:A,Dash!B276,'NF-e de Entrada'!F:F,"Autorizada")</f>
        <v>0</v>
      </c>
      <c r="G276" s="2">
        <f>SUMIFS('NF-e de Entrada'!E:E,'NF-e de Entrada'!A:A,Dash!B276,'NF-e de Entrada'!F:F,"Cancelada")</f>
        <v>0</v>
      </c>
      <c r="H276" s="2">
        <f>SUMIFS('NF-e de Saída'!E:E,'NF-e de Saída'!A:A,Dash!B276,'NF-e de Saída'!F:F,"AUTORIZADA")</f>
        <v>0</v>
      </c>
      <c r="I276" s="2">
        <f>SUMIFS('NF-e de Saída'!E:E,'NF-e de Saída'!A:A,Dash!B276,'NF-e de Saída'!F:F,"CANCELADA")</f>
        <v>0</v>
      </c>
    </row>
    <row r="277" spans="2:9" x14ac:dyDescent="0.3">
      <c r="B277">
        <v>510</v>
      </c>
      <c r="C277" t="s">
        <v>3075</v>
      </c>
      <c r="D277" t="s">
        <v>2731</v>
      </c>
      <c r="E277" t="str">
        <f>IF(COUNTIF(Sheet3!E:E,Dash!B277)&gt;0,"Sim","Não")</f>
        <v>Sim</v>
      </c>
      <c r="F277" s="2">
        <f>SUMIFS('NF-e de Entrada'!E:E,'NF-e de Entrada'!A:A,Dash!B277,'NF-e de Entrada'!F:F,"Autorizada")</f>
        <v>0</v>
      </c>
      <c r="G277" s="2">
        <f>SUMIFS('NF-e de Entrada'!E:E,'NF-e de Entrada'!A:A,Dash!B277,'NF-e de Entrada'!F:F,"Cancelada")</f>
        <v>0</v>
      </c>
      <c r="H277" s="2">
        <f>SUMIFS('NF-e de Saída'!E:E,'NF-e de Saída'!A:A,Dash!B277,'NF-e de Saída'!F:F,"AUTORIZADA")</f>
        <v>0</v>
      </c>
      <c r="I277" s="2">
        <f>SUMIFS('NF-e de Saída'!E:E,'NF-e de Saída'!A:A,Dash!B277,'NF-e de Saída'!F:F,"CANCELADA")</f>
        <v>0</v>
      </c>
    </row>
    <row r="278" spans="2:9" x14ac:dyDescent="0.3">
      <c r="B278">
        <v>511</v>
      </c>
      <c r="C278" t="s">
        <v>3076</v>
      </c>
      <c r="D278" t="s">
        <v>3576</v>
      </c>
      <c r="E278" t="str">
        <f>IF(COUNTIF(Sheet3!E:E,Dash!B278)&gt;0,"Sim","Não")</f>
        <v>Não</v>
      </c>
      <c r="F278" s="2">
        <f>SUMIFS('NF-e de Entrada'!E:E,'NF-e de Entrada'!A:A,Dash!B278,'NF-e de Entrada'!F:F,"Autorizada")</f>
        <v>0</v>
      </c>
      <c r="G278" s="2">
        <f>SUMIFS('NF-e de Entrada'!E:E,'NF-e de Entrada'!A:A,Dash!B278,'NF-e de Entrada'!F:F,"Cancelada")</f>
        <v>0</v>
      </c>
      <c r="H278" s="2">
        <f>SUMIFS('NF-e de Saída'!E:E,'NF-e de Saída'!A:A,Dash!B278,'NF-e de Saída'!F:F,"AUTORIZADA")</f>
        <v>0</v>
      </c>
      <c r="I278" s="2">
        <f>SUMIFS('NF-e de Saída'!E:E,'NF-e de Saída'!A:A,Dash!B278,'NF-e de Saída'!F:F,"CANCELADA")</f>
        <v>0</v>
      </c>
    </row>
    <row r="279" spans="2:9" x14ac:dyDescent="0.3">
      <c r="B279">
        <v>513</v>
      </c>
      <c r="C279" t="s">
        <v>3077</v>
      </c>
      <c r="D279" t="s">
        <v>3577</v>
      </c>
      <c r="E279" t="str">
        <f>IF(COUNTIF(Sheet3!E:E,Dash!B279)&gt;0,"Sim","Não")</f>
        <v>Não</v>
      </c>
      <c r="F279" s="2">
        <f>SUMIFS('NF-e de Entrada'!E:E,'NF-e de Entrada'!A:A,Dash!B279,'NF-e de Entrada'!F:F,"Autorizada")</f>
        <v>0</v>
      </c>
      <c r="G279" s="2">
        <f>SUMIFS('NF-e de Entrada'!E:E,'NF-e de Entrada'!A:A,Dash!B279,'NF-e de Entrada'!F:F,"Cancelada")</f>
        <v>0</v>
      </c>
      <c r="H279" s="2">
        <f>SUMIFS('NF-e de Saída'!E:E,'NF-e de Saída'!A:A,Dash!B279,'NF-e de Saída'!F:F,"AUTORIZADA")</f>
        <v>0</v>
      </c>
      <c r="I279" s="2">
        <f>SUMIFS('NF-e de Saída'!E:E,'NF-e de Saída'!A:A,Dash!B279,'NF-e de Saída'!F:F,"CANCELADA")</f>
        <v>0</v>
      </c>
    </row>
    <row r="280" spans="2:9" x14ac:dyDescent="0.3">
      <c r="B280">
        <v>514</v>
      </c>
      <c r="C280" t="s">
        <v>3078</v>
      </c>
      <c r="D280" t="s">
        <v>2510</v>
      </c>
      <c r="E280" t="str">
        <f>IF(COUNTIF(Sheet3!E:E,Dash!B280)&gt;0,"Sim","Não")</f>
        <v>Sim</v>
      </c>
      <c r="F280" s="2">
        <f>SUMIFS('NF-e de Entrada'!E:E,'NF-e de Entrada'!A:A,Dash!B280,'NF-e de Entrada'!F:F,"Autorizada")</f>
        <v>63343.190000000031</v>
      </c>
      <c r="G280" s="2">
        <f>SUMIFS('NF-e de Entrada'!E:E,'NF-e de Entrada'!A:A,Dash!B280,'NF-e de Entrada'!F:F,"Cancelada")</f>
        <v>0</v>
      </c>
      <c r="H280" s="2">
        <f>SUMIFS('NF-e de Saída'!E:E,'NF-e de Saída'!A:A,Dash!B280,'NF-e de Saída'!F:F,"AUTORIZADA")</f>
        <v>0</v>
      </c>
      <c r="I280" s="2">
        <f>SUMIFS('NF-e de Saída'!E:E,'NF-e de Saída'!A:A,Dash!B280,'NF-e de Saída'!F:F,"CANCELADA")</f>
        <v>0</v>
      </c>
    </row>
    <row r="281" spans="2:9" x14ac:dyDescent="0.3">
      <c r="B281">
        <v>515</v>
      </c>
      <c r="C281" t="s">
        <v>3079</v>
      </c>
      <c r="D281" t="s">
        <v>3578</v>
      </c>
      <c r="E281" t="str">
        <f>IF(COUNTIF(Sheet3!E:E,Dash!B281)&gt;0,"Sim","Não")</f>
        <v>Não</v>
      </c>
      <c r="F281" s="2">
        <f>SUMIFS('NF-e de Entrada'!E:E,'NF-e de Entrada'!A:A,Dash!B281,'NF-e de Entrada'!F:F,"Autorizada")</f>
        <v>0</v>
      </c>
      <c r="G281" s="2">
        <f>SUMIFS('NF-e de Entrada'!E:E,'NF-e de Entrada'!A:A,Dash!B281,'NF-e de Entrada'!F:F,"Cancelada")</f>
        <v>0</v>
      </c>
      <c r="H281" s="2">
        <f>SUMIFS('NF-e de Saída'!E:E,'NF-e de Saída'!A:A,Dash!B281,'NF-e de Saída'!F:F,"AUTORIZADA")</f>
        <v>0</v>
      </c>
      <c r="I281" s="2">
        <f>SUMIFS('NF-e de Saída'!E:E,'NF-e de Saída'!A:A,Dash!B281,'NF-e de Saída'!F:F,"CANCELADA")</f>
        <v>0</v>
      </c>
    </row>
    <row r="282" spans="2:9" x14ac:dyDescent="0.3">
      <c r="B282">
        <v>516</v>
      </c>
      <c r="C282" t="s">
        <v>3080</v>
      </c>
      <c r="D282" t="s">
        <v>3579</v>
      </c>
      <c r="E282" t="str">
        <f>IF(COUNTIF(Sheet3!E:E,Dash!B282)&gt;0,"Sim","Não")</f>
        <v>Não</v>
      </c>
      <c r="F282" s="2">
        <f>SUMIFS('NF-e de Entrada'!E:E,'NF-e de Entrada'!A:A,Dash!B282,'NF-e de Entrada'!F:F,"Autorizada")</f>
        <v>0</v>
      </c>
      <c r="G282" s="2">
        <f>SUMIFS('NF-e de Entrada'!E:E,'NF-e de Entrada'!A:A,Dash!B282,'NF-e de Entrada'!F:F,"Cancelada")</f>
        <v>0</v>
      </c>
      <c r="H282" s="2">
        <f>SUMIFS('NF-e de Saída'!E:E,'NF-e de Saída'!A:A,Dash!B282,'NF-e de Saída'!F:F,"AUTORIZADA")</f>
        <v>0</v>
      </c>
      <c r="I282" s="2">
        <f>SUMIFS('NF-e de Saída'!E:E,'NF-e de Saída'!A:A,Dash!B282,'NF-e de Saída'!F:F,"CANCELADA")</f>
        <v>0</v>
      </c>
    </row>
    <row r="283" spans="2:9" x14ac:dyDescent="0.3">
      <c r="B283">
        <v>517</v>
      </c>
      <c r="C283" t="s">
        <v>3081</v>
      </c>
      <c r="D283" t="s">
        <v>2469</v>
      </c>
      <c r="E283" t="str">
        <f>IF(COUNTIF(Sheet3!E:E,Dash!B283)&gt;0,"Sim","Não")</f>
        <v>Sim</v>
      </c>
      <c r="F283" s="2">
        <f>SUMIFS('NF-e de Entrada'!E:E,'NF-e de Entrada'!A:A,Dash!B283,'NF-e de Entrada'!F:F,"Autorizada")</f>
        <v>255849.13</v>
      </c>
      <c r="G283" s="2">
        <f>SUMIFS('NF-e de Entrada'!E:E,'NF-e de Entrada'!A:A,Dash!B283,'NF-e de Entrada'!F:F,"Cancelada")</f>
        <v>0</v>
      </c>
      <c r="H283" s="2">
        <f>SUMIFS('NF-e de Saída'!E:E,'NF-e de Saída'!A:A,Dash!B283,'NF-e de Saída'!F:F,"AUTORIZADA")</f>
        <v>171009</v>
      </c>
      <c r="I283" s="2">
        <f>SUMIFS('NF-e de Saída'!E:E,'NF-e de Saída'!A:A,Dash!B283,'NF-e de Saída'!F:F,"CANCELADA")</f>
        <v>2910</v>
      </c>
    </row>
    <row r="284" spans="2:9" x14ac:dyDescent="0.3">
      <c r="B284">
        <v>518</v>
      </c>
      <c r="C284" t="s">
        <v>3082</v>
      </c>
      <c r="D284" t="s">
        <v>3580</v>
      </c>
      <c r="E284" t="str">
        <f>IF(COUNTIF(Sheet3!E:E,Dash!B284)&gt;0,"Sim","Não")</f>
        <v>Não</v>
      </c>
      <c r="F284" s="2">
        <f>SUMIFS('NF-e de Entrada'!E:E,'NF-e de Entrada'!A:A,Dash!B284,'NF-e de Entrada'!F:F,"Autorizada")</f>
        <v>0</v>
      </c>
      <c r="G284" s="2">
        <f>SUMIFS('NF-e de Entrada'!E:E,'NF-e de Entrada'!A:A,Dash!B284,'NF-e de Entrada'!F:F,"Cancelada")</f>
        <v>0</v>
      </c>
      <c r="H284" s="2">
        <f>SUMIFS('NF-e de Saída'!E:E,'NF-e de Saída'!A:A,Dash!B284,'NF-e de Saída'!F:F,"AUTORIZADA")</f>
        <v>0</v>
      </c>
      <c r="I284" s="2">
        <f>SUMIFS('NF-e de Saída'!E:E,'NF-e de Saída'!A:A,Dash!B284,'NF-e de Saída'!F:F,"CANCELADA")</f>
        <v>0</v>
      </c>
    </row>
    <row r="285" spans="2:9" x14ac:dyDescent="0.3">
      <c r="B285">
        <v>519</v>
      </c>
      <c r="C285" t="s">
        <v>3083</v>
      </c>
      <c r="D285" t="s">
        <v>2714</v>
      </c>
      <c r="E285" t="str">
        <f>IF(COUNTIF(Sheet3!E:E,Dash!B285)&gt;0,"Sim","Não")</f>
        <v>Sim</v>
      </c>
      <c r="F285" s="2">
        <f>SUMIFS('NF-e de Entrada'!E:E,'NF-e de Entrada'!A:A,Dash!B285,'NF-e de Entrada'!F:F,"Autorizada")</f>
        <v>0</v>
      </c>
      <c r="G285" s="2">
        <f>SUMIFS('NF-e de Entrada'!E:E,'NF-e de Entrada'!A:A,Dash!B285,'NF-e de Entrada'!F:F,"Cancelada")</f>
        <v>0</v>
      </c>
      <c r="H285" s="2">
        <f>SUMIFS('NF-e de Saída'!E:E,'NF-e de Saída'!A:A,Dash!B285,'NF-e de Saída'!F:F,"AUTORIZADA")</f>
        <v>0</v>
      </c>
      <c r="I285" s="2">
        <f>SUMIFS('NF-e de Saída'!E:E,'NF-e de Saída'!A:A,Dash!B285,'NF-e de Saída'!F:F,"CANCELADA")</f>
        <v>0</v>
      </c>
    </row>
    <row r="286" spans="2:9" x14ac:dyDescent="0.3">
      <c r="B286">
        <v>520</v>
      </c>
      <c r="C286" t="s">
        <v>3084</v>
      </c>
      <c r="D286" t="s">
        <v>3581</v>
      </c>
      <c r="E286" t="str">
        <f>IF(COUNTIF(Sheet3!E:E,Dash!B286)&gt;0,"Sim","Não")</f>
        <v>Não</v>
      </c>
      <c r="F286" s="2">
        <f>SUMIFS('NF-e de Entrada'!E:E,'NF-e de Entrada'!A:A,Dash!B286,'NF-e de Entrada'!F:F,"Autorizada")</f>
        <v>0</v>
      </c>
      <c r="G286" s="2">
        <f>SUMIFS('NF-e de Entrada'!E:E,'NF-e de Entrada'!A:A,Dash!B286,'NF-e de Entrada'!F:F,"Cancelada")</f>
        <v>0</v>
      </c>
      <c r="H286" s="2">
        <f>SUMIFS('NF-e de Saída'!E:E,'NF-e de Saída'!A:A,Dash!B286,'NF-e de Saída'!F:F,"AUTORIZADA")</f>
        <v>0</v>
      </c>
      <c r="I286" s="2">
        <f>SUMIFS('NF-e de Saída'!E:E,'NF-e de Saída'!A:A,Dash!B286,'NF-e de Saída'!F:F,"CANCELADA")</f>
        <v>0</v>
      </c>
    </row>
    <row r="287" spans="2:9" x14ac:dyDescent="0.3">
      <c r="B287">
        <v>521</v>
      </c>
      <c r="C287" t="s">
        <v>3085</v>
      </c>
      <c r="D287" t="s">
        <v>3582</v>
      </c>
      <c r="E287" t="str">
        <f>IF(COUNTIF(Sheet3!E:E,Dash!B287)&gt;0,"Sim","Não")</f>
        <v>Sim</v>
      </c>
      <c r="F287" s="2">
        <f>SUMIFS('NF-e de Entrada'!E:E,'NF-e de Entrada'!A:A,Dash!B287,'NF-e de Entrada'!F:F,"Autorizada")</f>
        <v>0</v>
      </c>
      <c r="G287" s="2">
        <f>SUMIFS('NF-e de Entrada'!E:E,'NF-e de Entrada'!A:A,Dash!B287,'NF-e de Entrada'!F:F,"Cancelada")</f>
        <v>0</v>
      </c>
      <c r="H287" s="2">
        <f>SUMIFS('NF-e de Saída'!E:E,'NF-e de Saída'!A:A,Dash!B287,'NF-e de Saída'!F:F,"AUTORIZADA")</f>
        <v>0</v>
      </c>
      <c r="I287" s="2">
        <f>SUMIFS('NF-e de Saída'!E:E,'NF-e de Saída'!A:A,Dash!B287,'NF-e de Saída'!F:F,"CANCELADA")</f>
        <v>0</v>
      </c>
    </row>
    <row r="288" spans="2:9" x14ac:dyDescent="0.3">
      <c r="B288">
        <v>522</v>
      </c>
      <c r="C288" t="s">
        <v>3086</v>
      </c>
      <c r="D288" t="s">
        <v>3583</v>
      </c>
      <c r="E288" t="str">
        <f>IF(COUNTIF(Sheet3!E:E,Dash!B288)&gt;0,"Sim","Não")</f>
        <v>Não</v>
      </c>
      <c r="F288" s="2">
        <f>SUMIFS('NF-e de Entrada'!E:E,'NF-e de Entrada'!A:A,Dash!B288,'NF-e de Entrada'!F:F,"Autorizada")</f>
        <v>0</v>
      </c>
      <c r="G288" s="2">
        <f>SUMIFS('NF-e de Entrada'!E:E,'NF-e de Entrada'!A:A,Dash!B288,'NF-e de Entrada'!F:F,"Cancelada")</f>
        <v>0</v>
      </c>
      <c r="H288" s="2">
        <f>SUMIFS('NF-e de Saída'!E:E,'NF-e de Saída'!A:A,Dash!B288,'NF-e de Saída'!F:F,"AUTORIZADA")</f>
        <v>0</v>
      </c>
      <c r="I288" s="2">
        <f>SUMIFS('NF-e de Saída'!E:E,'NF-e de Saída'!A:A,Dash!B288,'NF-e de Saída'!F:F,"CANCELADA")</f>
        <v>0</v>
      </c>
    </row>
    <row r="289" spans="2:9" x14ac:dyDescent="0.3">
      <c r="B289">
        <v>524</v>
      </c>
      <c r="C289" t="s">
        <v>3087</v>
      </c>
      <c r="D289" t="s">
        <v>2598</v>
      </c>
      <c r="E289" t="str">
        <f>IF(COUNTIF(Sheet3!E:E,Dash!B289)&gt;0,"Sim","Não")</f>
        <v>Sim</v>
      </c>
      <c r="F289" s="2">
        <f>SUMIFS('NF-e de Entrada'!E:E,'NF-e de Entrada'!A:A,Dash!B289,'NF-e de Entrada'!F:F,"Autorizada")</f>
        <v>0</v>
      </c>
      <c r="G289" s="2">
        <f>SUMIFS('NF-e de Entrada'!E:E,'NF-e de Entrada'!A:A,Dash!B289,'NF-e de Entrada'!F:F,"Cancelada")</f>
        <v>0</v>
      </c>
      <c r="H289" s="2">
        <f>SUMIFS('NF-e de Saída'!E:E,'NF-e de Saída'!A:A,Dash!B289,'NF-e de Saída'!F:F,"AUTORIZADA")</f>
        <v>0</v>
      </c>
      <c r="I289" s="2">
        <f>SUMIFS('NF-e de Saída'!E:E,'NF-e de Saída'!A:A,Dash!B289,'NF-e de Saída'!F:F,"CANCELADA")</f>
        <v>0</v>
      </c>
    </row>
    <row r="290" spans="2:9" x14ac:dyDescent="0.3">
      <c r="B290">
        <v>526</v>
      </c>
      <c r="C290" t="s">
        <v>3088</v>
      </c>
      <c r="D290" t="s">
        <v>3584</v>
      </c>
      <c r="E290" t="str">
        <f>IF(COUNTIF(Sheet3!E:E,Dash!B290)&gt;0,"Sim","Não")</f>
        <v>Não</v>
      </c>
      <c r="F290" s="2">
        <f>SUMIFS('NF-e de Entrada'!E:E,'NF-e de Entrada'!A:A,Dash!B290,'NF-e de Entrada'!F:F,"Autorizada")</f>
        <v>0</v>
      </c>
      <c r="G290" s="2">
        <f>SUMIFS('NF-e de Entrada'!E:E,'NF-e de Entrada'!A:A,Dash!B290,'NF-e de Entrada'!F:F,"Cancelada")</f>
        <v>0</v>
      </c>
      <c r="H290" s="2">
        <f>SUMIFS('NF-e de Saída'!E:E,'NF-e de Saída'!A:A,Dash!B290,'NF-e de Saída'!F:F,"AUTORIZADA")</f>
        <v>0</v>
      </c>
      <c r="I290" s="2">
        <f>SUMIFS('NF-e de Saída'!E:E,'NF-e de Saída'!A:A,Dash!B290,'NF-e de Saída'!F:F,"CANCELADA")</f>
        <v>0</v>
      </c>
    </row>
    <row r="291" spans="2:9" x14ac:dyDescent="0.3">
      <c r="B291">
        <v>527</v>
      </c>
      <c r="C291" t="s">
        <v>3089</v>
      </c>
      <c r="D291" t="s">
        <v>3585</v>
      </c>
      <c r="E291" t="str">
        <f>IF(COUNTIF(Sheet3!E:E,Dash!B291)&gt;0,"Sim","Não")</f>
        <v>Não</v>
      </c>
      <c r="F291" s="2">
        <f>SUMIFS('NF-e de Entrada'!E:E,'NF-e de Entrada'!A:A,Dash!B291,'NF-e de Entrada'!F:F,"Autorizada")</f>
        <v>0</v>
      </c>
      <c r="G291" s="2">
        <f>SUMIFS('NF-e de Entrada'!E:E,'NF-e de Entrada'!A:A,Dash!B291,'NF-e de Entrada'!F:F,"Cancelada")</f>
        <v>0</v>
      </c>
      <c r="H291" s="2">
        <f>SUMIFS('NF-e de Saída'!E:E,'NF-e de Saída'!A:A,Dash!B291,'NF-e de Saída'!F:F,"AUTORIZADA")</f>
        <v>0</v>
      </c>
      <c r="I291" s="2">
        <f>SUMIFS('NF-e de Saída'!E:E,'NF-e de Saída'!A:A,Dash!B291,'NF-e de Saída'!F:F,"CANCELADA")</f>
        <v>0</v>
      </c>
    </row>
    <row r="292" spans="2:9" x14ac:dyDescent="0.3">
      <c r="B292">
        <v>528</v>
      </c>
      <c r="C292" t="s">
        <v>3090</v>
      </c>
      <c r="D292" t="s">
        <v>3586</v>
      </c>
      <c r="E292" t="str">
        <f>IF(COUNTIF(Sheet3!E:E,Dash!B292)&gt;0,"Sim","Não")</f>
        <v>Não</v>
      </c>
      <c r="F292" s="2">
        <f>SUMIFS('NF-e de Entrada'!E:E,'NF-e de Entrada'!A:A,Dash!B292,'NF-e de Entrada'!F:F,"Autorizada")</f>
        <v>0</v>
      </c>
      <c r="G292" s="2">
        <f>SUMIFS('NF-e de Entrada'!E:E,'NF-e de Entrada'!A:A,Dash!B292,'NF-e de Entrada'!F:F,"Cancelada")</f>
        <v>0</v>
      </c>
      <c r="H292" s="2">
        <f>SUMIFS('NF-e de Saída'!E:E,'NF-e de Saída'!A:A,Dash!B292,'NF-e de Saída'!F:F,"AUTORIZADA")</f>
        <v>0</v>
      </c>
      <c r="I292" s="2">
        <f>SUMIFS('NF-e de Saída'!E:E,'NF-e de Saída'!A:A,Dash!B292,'NF-e de Saída'!F:F,"CANCELADA")</f>
        <v>0</v>
      </c>
    </row>
    <row r="293" spans="2:9" x14ac:dyDescent="0.3">
      <c r="B293">
        <v>529</v>
      </c>
      <c r="C293" t="s">
        <v>3091</v>
      </c>
      <c r="D293" t="s">
        <v>3587</v>
      </c>
      <c r="E293" t="str">
        <f>IF(COUNTIF(Sheet3!E:E,Dash!B293)&gt;0,"Sim","Não")</f>
        <v>Não</v>
      </c>
      <c r="F293" s="2">
        <f>SUMIFS('NF-e de Entrada'!E:E,'NF-e de Entrada'!A:A,Dash!B293,'NF-e de Entrada'!F:F,"Autorizada")</f>
        <v>0</v>
      </c>
      <c r="G293" s="2">
        <f>SUMIFS('NF-e de Entrada'!E:E,'NF-e de Entrada'!A:A,Dash!B293,'NF-e de Entrada'!F:F,"Cancelada")</f>
        <v>0</v>
      </c>
      <c r="H293" s="2">
        <f>SUMIFS('NF-e de Saída'!E:E,'NF-e de Saída'!A:A,Dash!B293,'NF-e de Saída'!F:F,"AUTORIZADA")</f>
        <v>0</v>
      </c>
      <c r="I293" s="2">
        <f>SUMIFS('NF-e de Saída'!E:E,'NF-e de Saída'!A:A,Dash!B293,'NF-e de Saída'!F:F,"CANCELADA")</f>
        <v>0</v>
      </c>
    </row>
    <row r="294" spans="2:9" x14ac:dyDescent="0.3">
      <c r="B294">
        <v>531</v>
      </c>
      <c r="C294" t="s">
        <v>3092</v>
      </c>
      <c r="D294" t="s">
        <v>3588</v>
      </c>
      <c r="E294" t="str">
        <f>IF(COUNTIF(Sheet3!E:E,Dash!B294)&gt;0,"Sim","Não")</f>
        <v>Não</v>
      </c>
      <c r="F294" s="2">
        <f>SUMIFS('NF-e de Entrada'!E:E,'NF-e de Entrada'!A:A,Dash!B294,'NF-e de Entrada'!F:F,"Autorizada")</f>
        <v>0</v>
      </c>
      <c r="G294" s="2">
        <f>SUMIFS('NF-e de Entrada'!E:E,'NF-e de Entrada'!A:A,Dash!B294,'NF-e de Entrada'!F:F,"Cancelada")</f>
        <v>0</v>
      </c>
      <c r="H294" s="2">
        <f>SUMIFS('NF-e de Saída'!E:E,'NF-e de Saída'!A:A,Dash!B294,'NF-e de Saída'!F:F,"AUTORIZADA")</f>
        <v>0</v>
      </c>
      <c r="I294" s="2">
        <f>SUMIFS('NF-e de Saída'!E:E,'NF-e de Saída'!A:A,Dash!B294,'NF-e de Saída'!F:F,"CANCELADA")</f>
        <v>0</v>
      </c>
    </row>
    <row r="295" spans="2:9" x14ac:dyDescent="0.3">
      <c r="B295">
        <v>532</v>
      </c>
      <c r="C295" t="s">
        <v>3093</v>
      </c>
      <c r="D295" t="s">
        <v>3589</v>
      </c>
      <c r="E295" t="str">
        <f>IF(COUNTIF(Sheet3!E:E,Dash!B295)&gt;0,"Sim","Não")</f>
        <v>Não</v>
      </c>
      <c r="F295" s="2">
        <f>SUMIFS('NF-e de Entrada'!E:E,'NF-e de Entrada'!A:A,Dash!B295,'NF-e de Entrada'!F:F,"Autorizada")</f>
        <v>0</v>
      </c>
      <c r="G295" s="2">
        <f>SUMIFS('NF-e de Entrada'!E:E,'NF-e de Entrada'!A:A,Dash!B295,'NF-e de Entrada'!F:F,"Cancelada")</f>
        <v>0</v>
      </c>
      <c r="H295" s="2">
        <f>SUMIFS('NF-e de Saída'!E:E,'NF-e de Saída'!A:A,Dash!B295,'NF-e de Saída'!F:F,"AUTORIZADA")</f>
        <v>0</v>
      </c>
      <c r="I295" s="2">
        <f>SUMIFS('NF-e de Saída'!E:E,'NF-e de Saída'!A:A,Dash!B295,'NF-e de Saída'!F:F,"CANCELADA")</f>
        <v>0</v>
      </c>
    </row>
    <row r="296" spans="2:9" x14ac:dyDescent="0.3">
      <c r="B296">
        <v>535</v>
      </c>
      <c r="C296" t="s">
        <v>3094</v>
      </c>
      <c r="D296" t="s">
        <v>3590</v>
      </c>
      <c r="E296" t="str">
        <f>IF(COUNTIF(Sheet3!E:E,Dash!B296)&gt;0,"Sim","Não")</f>
        <v>Não</v>
      </c>
      <c r="F296" s="2">
        <f>SUMIFS('NF-e de Entrada'!E:E,'NF-e de Entrada'!A:A,Dash!B296,'NF-e de Entrada'!F:F,"Autorizada")</f>
        <v>0</v>
      </c>
      <c r="G296" s="2">
        <f>SUMIFS('NF-e de Entrada'!E:E,'NF-e de Entrada'!A:A,Dash!B296,'NF-e de Entrada'!F:F,"Cancelada")</f>
        <v>0</v>
      </c>
      <c r="H296" s="2">
        <f>SUMIFS('NF-e de Saída'!E:E,'NF-e de Saída'!A:A,Dash!B296,'NF-e de Saída'!F:F,"AUTORIZADA")</f>
        <v>0</v>
      </c>
      <c r="I296" s="2">
        <f>SUMIFS('NF-e de Saída'!E:E,'NF-e de Saída'!A:A,Dash!B296,'NF-e de Saída'!F:F,"CANCELADA")</f>
        <v>0</v>
      </c>
    </row>
    <row r="297" spans="2:9" x14ac:dyDescent="0.3">
      <c r="B297">
        <v>536</v>
      </c>
      <c r="C297" t="s">
        <v>3095</v>
      </c>
      <c r="D297" t="s">
        <v>3591</v>
      </c>
      <c r="E297" t="str">
        <f>IF(COUNTIF(Sheet3!E:E,Dash!B297)&gt;0,"Sim","Não")</f>
        <v>Não</v>
      </c>
      <c r="F297" s="2">
        <f>SUMIFS('NF-e de Entrada'!E:E,'NF-e de Entrada'!A:A,Dash!B297,'NF-e de Entrada'!F:F,"Autorizada")</f>
        <v>0</v>
      </c>
      <c r="G297" s="2">
        <f>SUMIFS('NF-e de Entrada'!E:E,'NF-e de Entrada'!A:A,Dash!B297,'NF-e de Entrada'!F:F,"Cancelada")</f>
        <v>0</v>
      </c>
      <c r="H297" s="2">
        <f>SUMIFS('NF-e de Saída'!E:E,'NF-e de Saída'!A:A,Dash!B297,'NF-e de Saída'!F:F,"AUTORIZADA")</f>
        <v>0</v>
      </c>
      <c r="I297" s="2">
        <f>SUMIFS('NF-e de Saída'!E:E,'NF-e de Saída'!A:A,Dash!B297,'NF-e de Saída'!F:F,"CANCELADA")</f>
        <v>0</v>
      </c>
    </row>
    <row r="298" spans="2:9" x14ac:dyDescent="0.3">
      <c r="B298">
        <v>537</v>
      </c>
      <c r="C298" t="s">
        <v>3096</v>
      </c>
      <c r="D298" t="s">
        <v>3592</v>
      </c>
      <c r="E298" t="str">
        <f>IF(COUNTIF(Sheet3!E:E,Dash!B298)&gt;0,"Sim","Não")</f>
        <v>Não</v>
      </c>
      <c r="F298" s="2">
        <f>SUMIFS('NF-e de Entrada'!E:E,'NF-e de Entrada'!A:A,Dash!B298,'NF-e de Entrada'!F:F,"Autorizada")</f>
        <v>0</v>
      </c>
      <c r="G298" s="2">
        <f>SUMIFS('NF-e de Entrada'!E:E,'NF-e de Entrada'!A:A,Dash!B298,'NF-e de Entrada'!F:F,"Cancelada")</f>
        <v>0</v>
      </c>
      <c r="H298" s="2">
        <f>SUMIFS('NF-e de Saída'!E:E,'NF-e de Saída'!A:A,Dash!B298,'NF-e de Saída'!F:F,"AUTORIZADA")</f>
        <v>0</v>
      </c>
      <c r="I298" s="2">
        <f>SUMIFS('NF-e de Saída'!E:E,'NF-e de Saída'!A:A,Dash!B298,'NF-e de Saída'!F:F,"CANCELADA")</f>
        <v>0</v>
      </c>
    </row>
    <row r="299" spans="2:9" x14ac:dyDescent="0.3">
      <c r="B299">
        <v>538</v>
      </c>
      <c r="C299" t="s">
        <v>3097</v>
      </c>
      <c r="D299" t="s">
        <v>3593</v>
      </c>
      <c r="E299" t="str">
        <f>IF(COUNTIF(Sheet3!E:E,Dash!B299)&gt;0,"Sim","Não")</f>
        <v>Não</v>
      </c>
      <c r="F299" s="2">
        <f>SUMIFS('NF-e de Entrada'!E:E,'NF-e de Entrada'!A:A,Dash!B299,'NF-e de Entrada'!F:F,"Autorizada")</f>
        <v>0</v>
      </c>
      <c r="G299" s="2">
        <f>SUMIFS('NF-e de Entrada'!E:E,'NF-e de Entrada'!A:A,Dash!B299,'NF-e de Entrada'!F:F,"Cancelada")</f>
        <v>0</v>
      </c>
      <c r="H299" s="2">
        <f>SUMIFS('NF-e de Saída'!E:E,'NF-e de Saída'!A:A,Dash!B299,'NF-e de Saída'!F:F,"AUTORIZADA")</f>
        <v>0</v>
      </c>
      <c r="I299" s="2">
        <f>SUMIFS('NF-e de Saída'!E:E,'NF-e de Saída'!A:A,Dash!B299,'NF-e de Saída'!F:F,"CANCELADA")</f>
        <v>0</v>
      </c>
    </row>
    <row r="300" spans="2:9" x14ac:dyDescent="0.3">
      <c r="B300">
        <v>539</v>
      </c>
      <c r="C300" t="s">
        <v>3098</v>
      </c>
      <c r="D300" t="s">
        <v>3594</v>
      </c>
      <c r="E300" t="str">
        <f>IF(COUNTIF(Sheet3!E:E,Dash!B300)&gt;0,"Sim","Não")</f>
        <v>Não</v>
      </c>
      <c r="F300" s="2">
        <f>SUMIFS('NF-e de Entrada'!E:E,'NF-e de Entrada'!A:A,Dash!B300,'NF-e de Entrada'!F:F,"Autorizada")</f>
        <v>0</v>
      </c>
      <c r="G300" s="2">
        <f>SUMIFS('NF-e de Entrada'!E:E,'NF-e de Entrada'!A:A,Dash!B300,'NF-e de Entrada'!F:F,"Cancelada")</f>
        <v>0</v>
      </c>
      <c r="H300" s="2">
        <f>SUMIFS('NF-e de Saída'!E:E,'NF-e de Saída'!A:A,Dash!B300,'NF-e de Saída'!F:F,"AUTORIZADA")</f>
        <v>0</v>
      </c>
      <c r="I300" s="2">
        <f>SUMIFS('NF-e de Saída'!E:E,'NF-e de Saída'!A:A,Dash!B300,'NF-e de Saída'!F:F,"CANCELADA")</f>
        <v>0</v>
      </c>
    </row>
    <row r="301" spans="2:9" x14ac:dyDescent="0.3">
      <c r="B301">
        <v>543</v>
      </c>
      <c r="C301" t="s">
        <v>3099</v>
      </c>
      <c r="D301" t="s">
        <v>3595</v>
      </c>
      <c r="E301" t="str">
        <f>IF(COUNTIF(Sheet3!E:E,Dash!B301)&gt;0,"Sim","Não")</f>
        <v>Não</v>
      </c>
      <c r="F301" s="2">
        <f>SUMIFS('NF-e de Entrada'!E:E,'NF-e de Entrada'!A:A,Dash!B301,'NF-e de Entrada'!F:F,"Autorizada")</f>
        <v>0</v>
      </c>
      <c r="G301" s="2">
        <f>SUMIFS('NF-e de Entrada'!E:E,'NF-e de Entrada'!A:A,Dash!B301,'NF-e de Entrada'!F:F,"Cancelada")</f>
        <v>0</v>
      </c>
      <c r="H301" s="2">
        <f>SUMIFS('NF-e de Saída'!E:E,'NF-e de Saída'!A:A,Dash!B301,'NF-e de Saída'!F:F,"AUTORIZADA")</f>
        <v>0</v>
      </c>
      <c r="I301" s="2">
        <f>SUMIFS('NF-e de Saída'!E:E,'NF-e de Saída'!A:A,Dash!B301,'NF-e de Saída'!F:F,"CANCELADA")</f>
        <v>0</v>
      </c>
    </row>
    <row r="302" spans="2:9" x14ac:dyDescent="0.3">
      <c r="B302">
        <v>544</v>
      </c>
      <c r="C302" t="s">
        <v>3100</v>
      </c>
      <c r="D302" t="s">
        <v>3596</v>
      </c>
      <c r="E302" t="str">
        <f>IF(COUNTIF(Sheet3!E:E,Dash!B302)&gt;0,"Sim","Não")</f>
        <v>Não</v>
      </c>
      <c r="F302" s="2">
        <f>SUMIFS('NF-e de Entrada'!E:E,'NF-e de Entrada'!A:A,Dash!B302,'NF-e de Entrada'!F:F,"Autorizada")</f>
        <v>0</v>
      </c>
      <c r="G302" s="2">
        <f>SUMIFS('NF-e de Entrada'!E:E,'NF-e de Entrada'!A:A,Dash!B302,'NF-e de Entrada'!F:F,"Cancelada")</f>
        <v>0</v>
      </c>
      <c r="H302" s="2">
        <f>SUMIFS('NF-e de Saída'!E:E,'NF-e de Saída'!A:A,Dash!B302,'NF-e de Saída'!F:F,"AUTORIZADA")</f>
        <v>0</v>
      </c>
      <c r="I302" s="2">
        <f>SUMIFS('NF-e de Saída'!E:E,'NF-e de Saída'!A:A,Dash!B302,'NF-e de Saída'!F:F,"CANCELADA")</f>
        <v>0</v>
      </c>
    </row>
    <row r="303" spans="2:9" x14ac:dyDescent="0.3">
      <c r="B303">
        <v>545</v>
      </c>
      <c r="C303" t="s">
        <v>3101</v>
      </c>
      <c r="D303" t="s">
        <v>3596</v>
      </c>
      <c r="E303" t="str">
        <f>IF(COUNTIF(Sheet3!E:E,Dash!B303)&gt;0,"Sim","Não")</f>
        <v>Não</v>
      </c>
      <c r="F303" s="2">
        <f>SUMIFS('NF-e de Entrada'!E:E,'NF-e de Entrada'!A:A,Dash!B303,'NF-e de Entrada'!F:F,"Autorizada")</f>
        <v>0</v>
      </c>
      <c r="G303" s="2">
        <f>SUMIFS('NF-e de Entrada'!E:E,'NF-e de Entrada'!A:A,Dash!B303,'NF-e de Entrada'!F:F,"Cancelada")</f>
        <v>0</v>
      </c>
      <c r="H303" s="2">
        <f>SUMIFS('NF-e de Saída'!E:E,'NF-e de Saída'!A:A,Dash!B303,'NF-e de Saída'!F:F,"AUTORIZADA")</f>
        <v>0</v>
      </c>
      <c r="I303" s="2">
        <f>SUMIFS('NF-e de Saída'!E:E,'NF-e de Saída'!A:A,Dash!B303,'NF-e de Saída'!F:F,"CANCELADA")</f>
        <v>0</v>
      </c>
    </row>
    <row r="304" spans="2:9" x14ac:dyDescent="0.3">
      <c r="B304">
        <v>547</v>
      </c>
      <c r="C304" t="s">
        <v>3102</v>
      </c>
      <c r="D304" t="s">
        <v>2499</v>
      </c>
      <c r="E304" t="str">
        <f>IF(COUNTIF(Sheet3!E:E,Dash!B304)&gt;0,"Sim","Não")</f>
        <v>Sim</v>
      </c>
      <c r="F304" s="2">
        <f>SUMIFS('NF-e de Entrada'!E:E,'NF-e de Entrada'!A:A,Dash!B304,'NF-e de Entrada'!F:F,"Autorizada")</f>
        <v>36947.25</v>
      </c>
      <c r="G304" s="2">
        <f>SUMIFS('NF-e de Entrada'!E:E,'NF-e de Entrada'!A:A,Dash!B304,'NF-e de Entrada'!F:F,"Cancelada")</f>
        <v>0</v>
      </c>
      <c r="H304" s="2">
        <f>SUMIFS('NF-e de Saída'!E:E,'NF-e de Saída'!A:A,Dash!B304,'NF-e de Saída'!F:F,"AUTORIZADA")</f>
        <v>0</v>
      </c>
      <c r="I304" s="2">
        <f>SUMIFS('NF-e de Saída'!E:E,'NF-e de Saída'!A:A,Dash!B304,'NF-e de Saída'!F:F,"CANCELADA")</f>
        <v>0</v>
      </c>
    </row>
    <row r="305" spans="2:9" x14ac:dyDescent="0.3">
      <c r="B305">
        <v>548</v>
      </c>
      <c r="C305" t="s">
        <v>3103</v>
      </c>
      <c r="D305" t="s">
        <v>3597</v>
      </c>
      <c r="E305" t="str">
        <f>IF(COUNTIF(Sheet3!E:E,Dash!B305)&gt;0,"Sim","Não")</f>
        <v>Não</v>
      </c>
      <c r="F305" s="2">
        <f>SUMIFS('NF-e de Entrada'!E:E,'NF-e de Entrada'!A:A,Dash!B305,'NF-e de Entrada'!F:F,"Autorizada")</f>
        <v>0</v>
      </c>
      <c r="G305" s="2">
        <f>SUMIFS('NF-e de Entrada'!E:E,'NF-e de Entrada'!A:A,Dash!B305,'NF-e de Entrada'!F:F,"Cancelada")</f>
        <v>0</v>
      </c>
      <c r="H305" s="2">
        <f>SUMIFS('NF-e de Saída'!E:E,'NF-e de Saída'!A:A,Dash!B305,'NF-e de Saída'!F:F,"AUTORIZADA")</f>
        <v>0</v>
      </c>
      <c r="I305" s="2">
        <f>SUMIFS('NF-e de Saída'!E:E,'NF-e de Saída'!A:A,Dash!B305,'NF-e de Saída'!F:F,"CANCELADA")</f>
        <v>0</v>
      </c>
    </row>
    <row r="306" spans="2:9" x14ac:dyDescent="0.3">
      <c r="B306">
        <v>549</v>
      </c>
      <c r="C306" t="s">
        <v>3104</v>
      </c>
      <c r="D306" t="s">
        <v>2588</v>
      </c>
      <c r="E306" t="str">
        <f>IF(COUNTIF(Sheet3!E:E,Dash!B306)&gt;0,"Sim","Não")</f>
        <v>Sim</v>
      </c>
      <c r="F306" s="2">
        <f>SUMIFS('NF-e de Entrada'!E:E,'NF-e de Entrada'!A:A,Dash!B306,'NF-e de Entrada'!F:F,"Autorizada")</f>
        <v>0</v>
      </c>
      <c r="G306" s="2">
        <f>SUMIFS('NF-e de Entrada'!E:E,'NF-e de Entrada'!A:A,Dash!B306,'NF-e de Entrada'!F:F,"Cancelada")</f>
        <v>0</v>
      </c>
      <c r="H306" s="2">
        <f>SUMIFS('NF-e de Saída'!E:E,'NF-e de Saída'!A:A,Dash!B306,'NF-e de Saída'!F:F,"AUTORIZADA")</f>
        <v>0</v>
      </c>
      <c r="I306" s="2">
        <f>SUMIFS('NF-e de Saída'!E:E,'NF-e de Saída'!A:A,Dash!B306,'NF-e de Saída'!F:F,"CANCELADA")</f>
        <v>0</v>
      </c>
    </row>
    <row r="307" spans="2:9" x14ac:dyDescent="0.3">
      <c r="B307">
        <v>550</v>
      </c>
      <c r="C307" t="s">
        <v>3105</v>
      </c>
      <c r="D307" t="s">
        <v>3598</v>
      </c>
      <c r="E307" t="str">
        <f>IF(COUNTIF(Sheet3!E:E,Dash!B307)&gt;0,"Sim","Não")</f>
        <v>Não</v>
      </c>
      <c r="F307" s="2">
        <f>SUMIFS('NF-e de Entrada'!E:E,'NF-e de Entrada'!A:A,Dash!B307,'NF-e de Entrada'!F:F,"Autorizada")</f>
        <v>0</v>
      </c>
      <c r="G307" s="2">
        <f>SUMIFS('NF-e de Entrada'!E:E,'NF-e de Entrada'!A:A,Dash!B307,'NF-e de Entrada'!F:F,"Cancelada")</f>
        <v>0</v>
      </c>
      <c r="H307" s="2">
        <f>SUMIFS('NF-e de Saída'!E:E,'NF-e de Saída'!A:A,Dash!B307,'NF-e de Saída'!F:F,"AUTORIZADA")</f>
        <v>0</v>
      </c>
      <c r="I307" s="2">
        <f>SUMIFS('NF-e de Saída'!E:E,'NF-e de Saída'!A:A,Dash!B307,'NF-e de Saída'!F:F,"CANCELADA")</f>
        <v>0</v>
      </c>
    </row>
    <row r="308" spans="2:9" x14ac:dyDescent="0.3">
      <c r="B308">
        <v>551</v>
      </c>
      <c r="C308" t="s">
        <v>3106</v>
      </c>
      <c r="D308" t="s">
        <v>3599</v>
      </c>
      <c r="E308" t="str">
        <f>IF(COUNTIF(Sheet3!E:E,Dash!B308)&gt;0,"Sim","Não")</f>
        <v>Não</v>
      </c>
      <c r="F308" s="2">
        <f>SUMIFS('NF-e de Entrada'!E:E,'NF-e de Entrada'!A:A,Dash!B308,'NF-e de Entrada'!F:F,"Autorizada")</f>
        <v>0</v>
      </c>
      <c r="G308" s="2">
        <f>SUMIFS('NF-e de Entrada'!E:E,'NF-e de Entrada'!A:A,Dash!B308,'NF-e de Entrada'!F:F,"Cancelada")</f>
        <v>0</v>
      </c>
      <c r="H308" s="2">
        <f>SUMIFS('NF-e de Saída'!E:E,'NF-e de Saída'!A:A,Dash!B308,'NF-e de Saída'!F:F,"AUTORIZADA")</f>
        <v>0</v>
      </c>
      <c r="I308" s="2">
        <f>SUMIFS('NF-e de Saída'!E:E,'NF-e de Saída'!A:A,Dash!B308,'NF-e de Saída'!F:F,"CANCELADA")</f>
        <v>0</v>
      </c>
    </row>
    <row r="309" spans="2:9" x14ac:dyDescent="0.3">
      <c r="B309">
        <v>554</v>
      </c>
      <c r="C309" t="s">
        <v>3107</v>
      </c>
      <c r="D309" t="s">
        <v>2753</v>
      </c>
      <c r="E309" t="str">
        <f>IF(COUNTIF(Sheet3!E:E,Dash!B309)&gt;0,"Sim","Não")</f>
        <v>Sim</v>
      </c>
      <c r="F309" s="2">
        <f>SUMIFS('NF-e de Entrada'!E:E,'NF-e de Entrada'!A:A,Dash!B309,'NF-e de Entrada'!F:F,"Autorizada")</f>
        <v>0</v>
      </c>
      <c r="G309" s="2">
        <f>SUMIFS('NF-e de Entrada'!E:E,'NF-e de Entrada'!A:A,Dash!B309,'NF-e de Entrada'!F:F,"Cancelada")</f>
        <v>0</v>
      </c>
      <c r="H309" s="2">
        <f>SUMIFS('NF-e de Saída'!E:E,'NF-e de Saída'!A:A,Dash!B309,'NF-e de Saída'!F:F,"AUTORIZADA")</f>
        <v>0</v>
      </c>
      <c r="I309" s="2">
        <f>SUMIFS('NF-e de Saída'!E:E,'NF-e de Saída'!A:A,Dash!B309,'NF-e de Saída'!F:F,"CANCELADA")</f>
        <v>0</v>
      </c>
    </row>
    <row r="310" spans="2:9" x14ac:dyDescent="0.3">
      <c r="B310">
        <v>555</v>
      </c>
      <c r="C310" t="s">
        <v>3108</v>
      </c>
      <c r="D310" t="s">
        <v>3600</v>
      </c>
      <c r="E310" t="str">
        <f>IF(COUNTIF(Sheet3!E:E,Dash!B310)&gt;0,"Sim","Não")</f>
        <v>Não</v>
      </c>
      <c r="F310" s="2">
        <f>SUMIFS('NF-e de Entrada'!E:E,'NF-e de Entrada'!A:A,Dash!B310,'NF-e de Entrada'!F:F,"Autorizada")</f>
        <v>0</v>
      </c>
      <c r="G310" s="2">
        <f>SUMIFS('NF-e de Entrada'!E:E,'NF-e de Entrada'!A:A,Dash!B310,'NF-e de Entrada'!F:F,"Cancelada")</f>
        <v>0</v>
      </c>
      <c r="H310" s="2">
        <f>SUMIFS('NF-e de Saída'!E:E,'NF-e de Saída'!A:A,Dash!B310,'NF-e de Saída'!F:F,"AUTORIZADA")</f>
        <v>0</v>
      </c>
      <c r="I310" s="2">
        <f>SUMIFS('NF-e de Saída'!E:E,'NF-e de Saída'!A:A,Dash!B310,'NF-e de Saída'!F:F,"CANCELADA")</f>
        <v>0</v>
      </c>
    </row>
    <row r="311" spans="2:9" x14ac:dyDescent="0.3">
      <c r="B311">
        <v>556</v>
      </c>
      <c r="C311" t="s">
        <v>3109</v>
      </c>
      <c r="D311" t="s">
        <v>3601</v>
      </c>
      <c r="E311" t="str">
        <f>IF(COUNTIF(Sheet3!E:E,Dash!B311)&gt;0,"Sim","Não")</f>
        <v>Não</v>
      </c>
      <c r="F311" s="2">
        <f>SUMIFS('NF-e de Entrada'!E:E,'NF-e de Entrada'!A:A,Dash!B311,'NF-e de Entrada'!F:F,"Autorizada")</f>
        <v>0</v>
      </c>
      <c r="G311" s="2">
        <f>SUMIFS('NF-e de Entrada'!E:E,'NF-e de Entrada'!A:A,Dash!B311,'NF-e de Entrada'!F:F,"Cancelada")</f>
        <v>0</v>
      </c>
      <c r="H311" s="2">
        <f>SUMIFS('NF-e de Saída'!E:E,'NF-e de Saída'!A:A,Dash!B311,'NF-e de Saída'!F:F,"AUTORIZADA")</f>
        <v>0</v>
      </c>
      <c r="I311" s="2">
        <f>SUMIFS('NF-e de Saída'!E:E,'NF-e de Saída'!A:A,Dash!B311,'NF-e de Saída'!F:F,"CANCELADA")</f>
        <v>0</v>
      </c>
    </row>
    <row r="312" spans="2:9" x14ac:dyDescent="0.3">
      <c r="B312">
        <v>558</v>
      </c>
      <c r="C312" t="s">
        <v>3110</v>
      </c>
      <c r="D312" t="s">
        <v>2552</v>
      </c>
      <c r="E312" t="str">
        <f>IF(COUNTIF(Sheet3!E:E,Dash!B312)&gt;0,"Sim","Não")</f>
        <v>Sim</v>
      </c>
      <c r="F312" s="2">
        <f>SUMIFS('NF-e de Entrada'!E:E,'NF-e de Entrada'!A:A,Dash!B312,'NF-e de Entrada'!F:F,"Autorizada")</f>
        <v>0</v>
      </c>
      <c r="G312" s="2">
        <f>SUMIFS('NF-e de Entrada'!E:E,'NF-e de Entrada'!A:A,Dash!B312,'NF-e de Entrada'!F:F,"Cancelada")</f>
        <v>0</v>
      </c>
      <c r="H312" s="2">
        <f>SUMIFS('NF-e de Saída'!E:E,'NF-e de Saída'!A:A,Dash!B312,'NF-e de Saída'!F:F,"AUTORIZADA")</f>
        <v>0</v>
      </c>
      <c r="I312" s="2">
        <f>SUMIFS('NF-e de Saída'!E:E,'NF-e de Saída'!A:A,Dash!B312,'NF-e de Saída'!F:F,"CANCELADA")</f>
        <v>0</v>
      </c>
    </row>
    <row r="313" spans="2:9" x14ac:dyDescent="0.3">
      <c r="B313">
        <v>559</v>
      </c>
      <c r="C313" t="s">
        <v>3111</v>
      </c>
      <c r="D313" t="s">
        <v>2527</v>
      </c>
      <c r="E313" t="str">
        <f>IF(COUNTIF(Sheet3!E:E,Dash!B313)&gt;0,"Sim","Não")</f>
        <v>Sim</v>
      </c>
      <c r="F313" s="2">
        <f>SUMIFS('NF-e de Entrada'!E:E,'NF-e de Entrada'!A:A,Dash!B313,'NF-e de Entrada'!F:F,"Autorizada")</f>
        <v>0</v>
      </c>
      <c r="G313" s="2">
        <f>SUMIFS('NF-e de Entrada'!E:E,'NF-e de Entrada'!A:A,Dash!B313,'NF-e de Entrada'!F:F,"Cancelada")</f>
        <v>0</v>
      </c>
      <c r="H313" s="2">
        <f>SUMIFS('NF-e de Saída'!E:E,'NF-e de Saída'!A:A,Dash!B313,'NF-e de Saída'!F:F,"AUTORIZADA")</f>
        <v>0</v>
      </c>
      <c r="I313" s="2">
        <f>SUMIFS('NF-e de Saída'!E:E,'NF-e de Saída'!A:A,Dash!B313,'NF-e de Saída'!F:F,"CANCELADA")</f>
        <v>0</v>
      </c>
    </row>
    <row r="314" spans="2:9" x14ac:dyDescent="0.3">
      <c r="B314">
        <v>560</v>
      </c>
      <c r="C314" t="s">
        <v>3112</v>
      </c>
      <c r="D314" t="s">
        <v>3602</v>
      </c>
      <c r="E314" t="str">
        <f>IF(COUNTIF(Sheet3!E:E,Dash!B314)&gt;0,"Sim","Não")</f>
        <v>Não</v>
      </c>
      <c r="F314" s="2">
        <f>SUMIFS('NF-e de Entrada'!E:E,'NF-e de Entrada'!A:A,Dash!B314,'NF-e de Entrada'!F:F,"Autorizada")</f>
        <v>0</v>
      </c>
      <c r="G314" s="2">
        <f>SUMIFS('NF-e de Entrada'!E:E,'NF-e de Entrada'!A:A,Dash!B314,'NF-e de Entrada'!F:F,"Cancelada")</f>
        <v>0</v>
      </c>
      <c r="H314" s="2">
        <f>SUMIFS('NF-e de Saída'!E:E,'NF-e de Saída'!A:A,Dash!B314,'NF-e de Saída'!F:F,"AUTORIZADA")</f>
        <v>0</v>
      </c>
      <c r="I314" s="2">
        <f>SUMIFS('NF-e de Saída'!E:E,'NF-e de Saída'!A:A,Dash!B314,'NF-e de Saída'!F:F,"CANCELADA")</f>
        <v>0</v>
      </c>
    </row>
    <row r="315" spans="2:9" x14ac:dyDescent="0.3">
      <c r="B315">
        <v>561</v>
      </c>
      <c r="C315" t="s">
        <v>3113</v>
      </c>
      <c r="D315" t="s">
        <v>2692</v>
      </c>
      <c r="E315" t="str">
        <f>IF(COUNTIF(Sheet3!E:E,Dash!B315)&gt;0,"Sim","Não")</f>
        <v>Sim</v>
      </c>
      <c r="F315" s="2">
        <f>SUMIFS('NF-e de Entrada'!E:E,'NF-e de Entrada'!A:A,Dash!B315,'NF-e de Entrada'!F:F,"Autorizada")</f>
        <v>0</v>
      </c>
      <c r="G315" s="2">
        <f>SUMIFS('NF-e de Entrada'!E:E,'NF-e de Entrada'!A:A,Dash!B315,'NF-e de Entrada'!F:F,"Cancelada")</f>
        <v>0</v>
      </c>
      <c r="H315" s="2">
        <f>SUMIFS('NF-e de Saída'!E:E,'NF-e de Saída'!A:A,Dash!B315,'NF-e de Saída'!F:F,"AUTORIZADA")</f>
        <v>0</v>
      </c>
      <c r="I315" s="2">
        <f>SUMIFS('NF-e de Saída'!E:E,'NF-e de Saída'!A:A,Dash!B315,'NF-e de Saída'!F:F,"CANCELADA")</f>
        <v>0</v>
      </c>
    </row>
    <row r="316" spans="2:9" x14ac:dyDescent="0.3">
      <c r="B316">
        <v>562</v>
      </c>
      <c r="C316" t="s">
        <v>3114</v>
      </c>
      <c r="D316" t="s">
        <v>3603</v>
      </c>
      <c r="E316" t="str">
        <f>IF(COUNTIF(Sheet3!E:E,Dash!B316)&gt;0,"Sim","Não")</f>
        <v>Sim</v>
      </c>
      <c r="F316" s="2">
        <f>SUMIFS('NF-e de Entrada'!E:E,'NF-e de Entrada'!A:A,Dash!B316,'NF-e de Entrada'!F:F,"Autorizada")</f>
        <v>0</v>
      </c>
      <c r="G316" s="2">
        <f>SUMIFS('NF-e de Entrada'!E:E,'NF-e de Entrada'!A:A,Dash!B316,'NF-e de Entrada'!F:F,"Cancelada")</f>
        <v>0</v>
      </c>
      <c r="H316" s="2">
        <f>SUMIFS('NF-e de Saída'!E:E,'NF-e de Saída'!A:A,Dash!B316,'NF-e de Saída'!F:F,"AUTORIZADA")</f>
        <v>0</v>
      </c>
      <c r="I316" s="2">
        <f>SUMIFS('NF-e de Saída'!E:E,'NF-e de Saída'!A:A,Dash!B316,'NF-e de Saída'!F:F,"CANCELADA")</f>
        <v>0</v>
      </c>
    </row>
    <row r="317" spans="2:9" x14ac:dyDescent="0.3">
      <c r="B317">
        <v>563</v>
      </c>
      <c r="C317" t="s">
        <v>3115</v>
      </c>
      <c r="D317" t="s">
        <v>3604</v>
      </c>
      <c r="E317" t="str">
        <f>IF(COUNTIF(Sheet3!E:E,Dash!B317)&gt;0,"Sim","Não")</f>
        <v>Sim</v>
      </c>
      <c r="F317" s="2">
        <f>SUMIFS('NF-e de Entrada'!E:E,'NF-e de Entrada'!A:A,Dash!B317,'NF-e de Entrada'!F:F,"Autorizada")</f>
        <v>76193.180000000008</v>
      </c>
      <c r="G317" s="2">
        <f>SUMIFS('NF-e de Entrada'!E:E,'NF-e de Entrada'!A:A,Dash!B317,'NF-e de Entrada'!F:F,"Cancelada")</f>
        <v>0</v>
      </c>
      <c r="H317" s="2">
        <f>SUMIFS('NF-e de Saída'!E:E,'NF-e de Saída'!A:A,Dash!B317,'NF-e de Saída'!F:F,"AUTORIZADA")</f>
        <v>0</v>
      </c>
      <c r="I317" s="2">
        <f>SUMIFS('NF-e de Saída'!E:E,'NF-e de Saída'!A:A,Dash!B317,'NF-e de Saída'!F:F,"CANCELADA")</f>
        <v>0</v>
      </c>
    </row>
    <row r="318" spans="2:9" x14ac:dyDescent="0.3">
      <c r="B318">
        <v>566</v>
      </c>
      <c r="C318" t="s">
        <v>3116</v>
      </c>
      <c r="D318" t="s">
        <v>3605</v>
      </c>
      <c r="E318" t="str">
        <f>IF(COUNTIF(Sheet3!E:E,Dash!B318)&gt;0,"Sim","Não")</f>
        <v>Não</v>
      </c>
      <c r="F318" s="2">
        <f>SUMIFS('NF-e de Entrada'!E:E,'NF-e de Entrada'!A:A,Dash!B318,'NF-e de Entrada'!F:F,"Autorizada")</f>
        <v>0</v>
      </c>
      <c r="G318" s="2">
        <f>SUMIFS('NF-e de Entrada'!E:E,'NF-e de Entrada'!A:A,Dash!B318,'NF-e de Entrada'!F:F,"Cancelada")</f>
        <v>0</v>
      </c>
      <c r="H318" s="2">
        <f>SUMIFS('NF-e de Saída'!E:E,'NF-e de Saída'!A:A,Dash!B318,'NF-e de Saída'!F:F,"AUTORIZADA")</f>
        <v>0</v>
      </c>
      <c r="I318" s="2">
        <f>SUMIFS('NF-e de Saída'!E:E,'NF-e de Saída'!A:A,Dash!B318,'NF-e de Saída'!F:F,"CANCELADA")</f>
        <v>0</v>
      </c>
    </row>
    <row r="319" spans="2:9" x14ac:dyDescent="0.3">
      <c r="B319">
        <v>567</v>
      </c>
      <c r="C319" t="s">
        <v>3117</v>
      </c>
      <c r="D319" t="s">
        <v>2531</v>
      </c>
      <c r="E319" t="str">
        <f>IF(COUNTIF(Sheet3!E:E,Dash!B319)&gt;0,"Sim","Não")</f>
        <v>Sim</v>
      </c>
      <c r="F319" s="2">
        <f>SUMIFS('NF-e de Entrada'!E:E,'NF-e de Entrada'!A:A,Dash!B319,'NF-e de Entrada'!F:F,"Autorizada")</f>
        <v>0</v>
      </c>
      <c r="G319" s="2">
        <f>SUMIFS('NF-e de Entrada'!E:E,'NF-e de Entrada'!A:A,Dash!B319,'NF-e de Entrada'!F:F,"Cancelada")</f>
        <v>0</v>
      </c>
      <c r="H319" s="2">
        <f>SUMIFS('NF-e de Saída'!E:E,'NF-e de Saída'!A:A,Dash!B319,'NF-e de Saída'!F:F,"AUTORIZADA")</f>
        <v>0</v>
      </c>
      <c r="I319" s="2">
        <f>SUMIFS('NF-e de Saída'!E:E,'NF-e de Saída'!A:A,Dash!B319,'NF-e de Saída'!F:F,"CANCELADA")</f>
        <v>0</v>
      </c>
    </row>
    <row r="320" spans="2:9" x14ac:dyDescent="0.3">
      <c r="B320">
        <v>568</v>
      </c>
      <c r="C320" t="s">
        <v>3118</v>
      </c>
      <c r="D320" t="s">
        <v>3606</v>
      </c>
      <c r="E320" t="str">
        <f>IF(COUNTIF(Sheet3!E:E,Dash!B320)&gt;0,"Sim","Não")</f>
        <v>Não</v>
      </c>
      <c r="F320" s="2">
        <f>SUMIFS('NF-e de Entrada'!E:E,'NF-e de Entrada'!A:A,Dash!B320,'NF-e de Entrada'!F:F,"Autorizada")</f>
        <v>0</v>
      </c>
      <c r="G320" s="2">
        <f>SUMIFS('NF-e de Entrada'!E:E,'NF-e de Entrada'!A:A,Dash!B320,'NF-e de Entrada'!F:F,"Cancelada")</f>
        <v>0</v>
      </c>
      <c r="H320" s="2">
        <f>SUMIFS('NF-e de Saída'!E:E,'NF-e de Saída'!A:A,Dash!B320,'NF-e de Saída'!F:F,"AUTORIZADA")</f>
        <v>0</v>
      </c>
      <c r="I320" s="2">
        <f>SUMIFS('NF-e de Saída'!E:E,'NF-e de Saída'!A:A,Dash!B320,'NF-e de Saída'!F:F,"CANCELADA")</f>
        <v>0</v>
      </c>
    </row>
    <row r="321" spans="2:9" x14ac:dyDescent="0.3">
      <c r="B321">
        <v>569</v>
      </c>
      <c r="C321" t="s">
        <v>3119</v>
      </c>
      <c r="D321" t="s">
        <v>3607</v>
      </c>
      <c r="E321" t="str">
        <f>IF(COUNTIF(Sheet3!E:E,Dash!B321)&gt;0,"Sim","Não")</f>
        <v>Não</v>
      </c>
      <c r="F321" s="2">
        <f>SUMIFS('NF-e de Entrada'!E:E,'NF-e de Entrada'!A:A,Dash!B321,'NF-e de Entrada'!F:F,"Autorizada")</f>
        <v>0</v>
      </c>
      <c r="G321" s="2">
        <f>SUMIFS('NF-e de Entrada'!E:E,'NF-e de Entrada'!A:A,Dash!B321,'NF-e de Entrada'!F:F,"Cancelada")</f>
        <v>0</v>
      </c>
      <c r="H321" s="2">
        <f>SUMIFS('NF-e de Saída'!E:E,'NF-e de Saída'!A:A,Dash!B321,'NF-e de Saída'!F:F,"AUTORIZADA")</f>
        <v>0</v>
      </c>
      <c r="I321" s="2">
        <f>SUMIFS('NF-e de Saída'!E:E,'NF-e de Saída'!A:A,Dash!B321,'NF-e de Saída'!F:F,"CANCELADA")</f>
        <v>0</v>
      </c>
    </row>
    <row r="322" spans="2:9" x14ac:dyDescent="0.3">
      <c r="B322">
        <v>573</v>
      </c>
      <c r="C322" t="s">
        <v>3120</v>
      </c>
      <c r="D322" t="s">
        <v>2703</v>
      </c>
      <c r="E322" t="str">
        <f>IF(COUNTIF(Sheet3!E:E,Dash!B322)&gt;0,"Sim","Não")</f>
        <v>Sim</v>
      </c>
      <c r="F322" s="2">
        <f>SUMIFS('NF-e de Entrada'!E:E,'NF-e de Entrada'!A:A,Dash!B322,'NF-e de Entrada'!F:F,"Autorizada")</f>
        <v>0</v>
      </c>
      <c r="G322" s="2">
        <f>SUMIFS('NF-e de Entrada'!E:E,'NF-e de Entrada'!A:A,Dash!B322,'NF-e de Entrada'!F:F,"Cancelada")</f>
        <v>0</v>
      </c>
      <c r="H322" s="2">
        <f>SUMIFS('NF-e de Saída'!E:E,'NF-e de Saída'!A:A,Dash!B322,'NF-e de Saída'!F:F,"AUTORIZADA")</f>
        <v>0</v>
      </c>
      <c r="I322" s="2">
        <f>SUMIFS('NF-e de Saída'!E:E,'NF-e de Saída'!A:A,Dash!B322,'NF-e de Saída'!F:F,"CANCELADA")</f>
        <v>0</v>
      </c>
    </row>
    <row r="323" spans="2:9" x14ac:dyDescent="0.3">
      <c r="B323">
        <v>574</v>
      </c>
      <c r="C323" t="s">
        <v>3121</v>
      </c>
      <c r="D323" t="s">
        <v>3608</v>
      </c>
      <c r="E323" t="str">
        <f>IF(COUNTIF(Sheet3!E:E,Dash!B323)&gt;0,"Sim","Não")</f>
        <v>Não</v>
      </c>
      <c r="F323" s="2">
        <f>SUMIFS('NF-e de Entrada'!E:E,'NF-e de Entrada'!A:A,Dash!B323,'NF-e de Entrada'!F:F,"Autorizada")</f>
        <v>0</v>
      </c>
      <c r="G323" s="2">
        <f>SUMIFS('NF-e de Entrada'!E:E,'NF-e de Entrada'!A:A,Dash!B323,'NF-e de Entrada'!F:F,"Cancelada")</f>
        <v>0</v>
      </c>
      <c r="H323" s="2">
        <f>SUMIFS('NF-e de Saída'!E:E,'NF-e de Saída'!A:A,Dash!B323,'NF-e de Saída'!F:F,"AUTORIZADA")</f>
        <v>0</v>
      </c>
      <c r="I323" s="2">
        <f>SUMIFS('NF-e de Saída'!E:E,'NF-e de Saída'!A:A,Dash!B323,'NF-e de Saída'!F:F,"CANCELADA")</f>
        <v>0</v>
      </c>
    </row>
    <row r="324" spans="2:9" x14ac:dyDescent="0.3">
      <c r="B324">
        <v>579</v>
      </c>
      <c r="C324" t="s">
        <v>3122</v>
      </c>
      <c r="D324" t="s">
        <v>3609</v>
      </c>
      <c r="E324" t="str">
        <f>IF(COUNTIF(Sheet3!E:E,Dash!B324)&gt;0,"Sim","Não")</f>
        <v>Não</v>
      </c>
      <c r="F324" s="2">
        <f>SUMIFS('NF-e de Entrada'!E:E,'NF-e de Entrada'!A:A,Dash!B324,'NF-e de Entrada'!F:F,"Autorizada")</f>
        <v>0</v>
      </c>
      <c r="G324" s="2">
        <f>SUMIFS('NF-e de Entrada'!E:E,'NF-e de Entrada'!A:A,Dash!B324,'NF-e de Entrada'!F:F,"Cancelada")</f>
        <v>0</v>
      </c>
      <c r="H324" s="2">
        <f>SUMIFS('NF-e de Saída'!E:E,'NF-e de Saída'!A:A,Dash!B324,'NF-e de Saída'!F:F,"AUTORIZADA")</f>
        <v>0</v>
      </c>
      <c r="I324" s="2">
        <f>SUMIFS('NF-e de Saída'!E:E,'NF-e de Saída'!A:A,Dash!B324,'NF-e de Saída'!F:F,"CANCELADA")</f>
        <v>0</v>
      </c>
    </row>
    <row r="325" spans="2:9" x14ac:dyDescent="0.3">
      <c r="B325">
        <v>581</v>
      </c>
      <c r="C325" t="s">
        <v>3123</v>
      </c>
      <c r="D325" t="s">
        <v>3610</v>
      </c>
      <c r="E325" t="str">
        <f>IF(COUNTIF(Sheet3!E:E,Dash!B325)&gt;0,"Sim","Não")</f>
        <v>Não</v>
      </c>
      <c r="F325" s="2">
        <f>SUMIFS('NF-e de Entrada'!E:E,'NF-e de Entrada'!A:A,Dash!B325,'NF-e de Entrada'!F:F,"Autorizada")</f>
        <v>0</v>
      </c>
      <c r="G325" s="2">
        <f>SUMIFS('NF-e de Entrada'!E:E,'NF-e de Entrada'!A:A,Dash!B325,'NF-e de Entrada'!F:F,"Cancelada")</f>
        <v>0</v>
      </c>
      <c r="H325" s="2">
        <f>SUMIFS('NF-e de Saída'!E:E,'NF-e de Saída'!A:A,Dash!B325,'NF-e de Saída'!F:F,"AUTORIZADA")</f>
        <v>0</v>
      </c>
      <c r="I325" s="2">
        <f>SUMIFS('NF-e de Saída'!E:E,'NF-e de Saída'!A:A,Dash!B325,'NF-e de Saída'!F:F,"CANCELADA")</f>
        <v>0</v>
      </c>
    </row>
    <row r="326" spans="2:9" x14ac:dyDescent="0.3">
      <c r="B326">
        <v>584</v>
      </c>
      <c r="C326" t="s">
        <v>3124</v>
      </c>
      <c r="D326" t="s">
        <v>3611</v>
      </c>
      <c r="E326" t="str">
        <f>IF(COUNTIF(Sheet3!E:E,Dash!B326)&gt;0,"Sim","Não")</f>
        <v>Não</v>
      </c>
      <c r="F326" s="2">
        <f>SUMIFS('NF-e de Entrada'!E:E,'NF-e de Entrada'!A:A,Dash!B326,'NF-e de Entrada'!F:F,"Autorizada")</f>
        <v>0</v>
      </c>
      <c r="G326" s="2">
        <f>SUMIFS('NF-e de Entrada'!E:E,'NF-e de Entrada'!A:A,Dash!B326,'NF-e de Entrada'!F:F,"Cancelada")</f>
        <v>0</v>
      </c>
      <c r="H326" s="2">
        <f>SUMIFS('NF-e de Saída'!E:E,'NF-e de Saída'!A:A,Dash!B326,'NF-e de Saída'!F:F,"AUTORIZADA")</f>
        <v>0</v>
      </c>
      <c r="I326" s="2">
        <f>SUMIFS('NF-e de Saída'!E:E,'NF-e de Saída'!A:A,Dash!B326,'NF-e de Saída'!F:F,"CANCELADA")</f>
        <v>0</v>
      </c>
    </row>
    <row r="327" spans="2:9" x14ac:dyDescent="0.3">
      <c r="B327">
        <v>585</v>
      </c>
      <c r="C327" t="s">
        <v>3125</v>
      </c>
      <c r="D327" t="s">
        <v>3612</v>
      </c>
      <c r="E327" t="str">
        <f>IF(COUNTIF(Sheet3!E:E,Dash!B327)&gt;0,"Sim","Não")</f>
        <v>Não</v>
      </c>
      <c r="F327" s="2">
        <f>SUMIFS('NF-e de Entrada'!E:E,'NF-e de Entrada'!A:A,Dash!B327,'NF-e de Entrada'!F:F,"Autorizada")</f>
        <v>0</v>
      </c>
      <c r="G327" s="2">
        <f>SUMIFS('NF-e de Entrada'!E:E,'NF-e de Entrada'!A:A,Dash!B327,'NF-e de Entrada'!F:F,"Cancelada")</f>
        <v>0</v>
      </c>
      <c r="H327" s="2">
        <f>SUMIFS('NF-e de Saída'!E:E,'NF-e de Saída'!A:A,Dash!B327,'NF-e de Saída'!F:F,"AUTORIZADA")</f>
        <v>0</v>
      </c>
      <c r="I327" s="2">
        <f>SUMIFS('NF-e de Saída'!E:E,'NF-e de Saída'!A:A,Dash!B327,'NF-e de Saída'!F:F,"CANCELADA")</f>
        <v>0</v>
      </c>
    </row>
    <row r="328" spans="2:9" x14ac:dyDescent="0.3">
      <c r="B328">
        <v>586</v>
      </c>
      <c r="C328" t="s">
        <v>3126</v>
      </c>
      <c r="D328" t="s">
        <v>2650</v>
      </c>
      <c r="E328" t="str">
        <f>IF(COUNTIF(Sheet3!E:E,Dash!B328)&gt;0,"Sim","Não")</f>
        <v>Sim</v>
      </c>
      <c r="F328" s="2">
        <f>SUMIFS('NF-e de Entrada'!E:E,'NF-e de Entrada'!A:A,Dash!B328,'NF-e de Entrada'!F:F,"Autorizada")</f>
        <v>0</v>
      </c>
      <c r="G328" s="2">
        <f>SUMIFS('NF-e de Entrada'!E:E,'NF-e de Entrada'!A:A,Dash!B328,'NF-e de Entrada'!F:F,"Cancelada")</f>
        <v>0</v>
      </c>
      <c r="H328" s="2">
        <f>SUMIFS('NF-e de Saída'!E:E,'NF-e de Saída'!A:A,Dash!B328,'NF-e de Saída'!F:F,"AUTORIZADA")</f>
        <v>0</v>
      </c>
      <c r="I328" s="2">
        <f>SUMIFS('NF-e de Saída'!E:E,'NF-e de Saída'!A:A,Dash!B328,'NF-e de Saída'!F:F,"CANCELADA")</f>
        <v>0</v>
      </c>
    </row>
    <row r="329" spans="2:9" x14ac:dyDescent="0.3">
      <c r="B329">
        <v>587</v>
      </c>
      <c r="C329" t="s">
        <v>3127</v>
      </c>
      <c r="D329" t="s">
        <v>3613</v>
      </c>
      <c r="E329" t="str">
        <f>IF(COUNTIF(Sheet3!E:E,Dash!B329)&gt;0,"Sim","Não")</f>
        <v>Não</v>
      </c>
      <c r="F329" s="2">
        <f>SUMIFS('NF-e de Entrada'!E:E,'NF-e de Entrada'!A:A,Dash!B329,'NF-e de Entrada'!F:F,"Autorizada")</f>
        <v>0</v>
      </c>
      <c r="G329" s="2">
        <f>SUMIFS('NF-e de Entrada'!E:E,'NF-e de Entrada'!A:A,Dash!B329,'NF-e de Entrada'!F:F,"Cancelada")</f>
        <v>0</v>
      </c>
      <c r="H329" s="2">
        <f>SUMIFS('NF-e de Saída'!E:E,'NF-e de Saída'!A:A,Dash!B329,'NF-e de Saída'!F:F,"AUTORIZADA")</f>
        <v>0</v>
      </c>
      <c r="I329" s="2">
        <f>SUMIFS('NF-e de Saída'!E:E,'NF-e de Saída'!A:A,Dash!B329,'NF-e de Saída'!F:F,"CANCELADA")</f>
        <v>0</v>
      </c>
    </row>
    <row r="330" spans="2:9" x14ac:dyDescent="0.3">
      <c r="B330">
        <v>588</v>
      </c>
      <c r="C330" t="s">
        <v>3128</v>
      </c>
      <c r="D330" t="s">
        <v>3614</v>
      </c>
      <c r="E330" t="str">
        <f>IF(COUNTIF(Sheet3!E:E,Dash!B330)&gt;0,"Sim","Não")</f>
        <v>Não</v>
      </c>
      <c r="F330" s="2">
        <f>SUMIFS('NF-e de Entrada'!E:E,'NF-e de Entrada'!A:A,Dash!B330,'NF-e de Entrada'!F:F,"Autorizada")</f>
        <v>0</v>
      </c>
      <c r="G330" s="2">
        <f>SUMIFS('NF-e de Entrada'!E:E,'NF-e de Entrada'!A:A,Dash!B330,'NF-e de Entrada'!F:F,"Cancelada")</f>
        <v>0</v>
      </c>
      <c r="H330" s="2">
        <f>SUMIFS('NF-e de Saída'!E:E,'NF-e de Saída'!A:A,Dash!B330,'NF-e de Saída'!F:F,"AUTORIZADA")</f>
        <v>0</v>
      </c>
      <c r="I330" s="2">
        <f>SUMIFS('NF-e de Saída'!E:E,'NF-e de Saída'!A:A,Dash!B330,'NF-e de Saída'!F:F,"CANCELADA")</f>
        <v>0</v>
      </c>
    </row>
    <row r="331" spans="2:9" x14ac:dyDescent="0.3">
      <c r="B331">
        <v>589</v>
      </c>
      <c r="C331" t="s">
        <v>3129</v>
      </c>
      <c r="D331" t="s">
        <v>3615</v>
      </c>
      <c r="E331" t="str">
        <f>IF(COUNTIF(Sheet3!E:E,Dash!B331)&gt;0,"Sim","Não")</f>
        <v>Não</v>
      </c>
      <c r="F331" s="2">
        <f>SUMIFS('NF-e de Entrada'!E:E,'NF-e de Entrada'!A:A,Dash!B331,'NF-e de Entrada'!F:F,"Autorizada")</f>
        <v>0</v>
      </c>
      <c r="G331" s="2">
        <f>SUMIFS('NF-e de Entrada'!E:E,'NF-e de Entrada'!A:A,Dash!B331,'NF-e de Entrada'!F:F,"Cancelada")</f>
        <v>0</v>
      </c>
      <c r="H331" s="2">
        <f>SUMIFS('NF-e de Saída'!E:E,'NF-e de Saída'!A:A,Dash!B331,'NF-e de Saída'!F:F,"AUTORIZADA")</f>
        <v>0</v>
      </c>
      <c r="I331" s="2">
        <f>SUMIFS('NF-e de Saída'!E:E,'NF-e de Saída'!A:A,Dash!B331,'NF-e de Saída'!F:F,"CANCELADA")</f>
        <v>0</v>
      </c>
    </row>
    <row r="332" spans="2:9" x14ac:dyDescent="0.3">
      <c r="B332">
        <v>591</v>
      </c>
      <c r="C332" t="s">
        <v>3130</v>
      </c>
      <c r="D332" t="s">
        <v>3616</v>
      </c>
      <c r="E332" t="str">
        <f>IF(COUNTIF(Sheet3!E:E,Dash!B332)&gt;0,"Sim","Não")</f>
        <v>Não</v>
      </c>
      <c r="F332" s="2">
        <f>SUMIFS('NF-e de Entrada'!E:E,'NF-e de Entrada'!A:A,Dash!B332,'NF-e de Entrada'!F:F,"Autorizada")</f>
        <v>0</v>
      </c>
      <c r="G332" s="2">
        <f>SUMIFS('NF-e de Entrada'!E:E,'NF-e de Entrada'!A:A,Dash!B332,'NF-e de Entrada'!F:F,"Cancelada")</f>
        <v>0</v>
      </c>
      <c r="H332" s="2">
        <f>SUMIFS('NF-e de Saída'!E:E,'NF-e de Saída'!A:A,Dash!B332,'NF-e de Saída'!F:F,"AUTORIZADA")</f>
        <v>0</v>
      </c>
      <c r="I332" s="2">
        <f>SUMIFS('NF-e de Saída'!E:E,'NF-e de Saída'!A:A,Dash!B332,'NF-e de Saída'!F:F,"CANCELADA")</f>
        <v>0</v>
      </c>
    </row>
    <row r="333" spans="2:9" x14ac:dyDescent="0.3">
      <c r="B333">
        <v>592</v>
      </c>
      <c r="C333" t="s">
        <v>3131</v>
      </c>
      <c r="D333" t="s">
        <v>3617</v>
      </c>
      <c r="E333" t="str">
        <f>IF(COUNTIF(Sheet3!E:E,Dash!B333)&gt;0,"Sim","Não")</f>
        <v>Não</v>
      </c>
      <c r="F333" s="2">
        <f>SUMIFS('NF-e de Entrada'!E:E,'NF-e de Entrada'!A:A,Dash!B333,'NF-e de Entrada'!F:F,"Autorizada")</f>
        <v>0</v>
      </c>
      <c r="G333" s="2">
        <f>SUMIFS('NF-e de Entrada'!E:E,'NF-e de Entrada'!A:A,Dash!B333,'NF-e de Entrada'!F:F,"Cancelada")</f>
        <v>0</v>
      </c>
      <c r="H333" s="2">
        <f>SUMIFS('NF-e de Saída'!E:E,'NF-e de Saída'!A:A,Dash!B333,'NF-e de Saída'!F:F,"AUTORIZADA")</f>
        <v>0</v>
      </c>
      <c r="I333" s="2">
        <f>SUMIFS('NF-e de Saída'!E:E,'NF-e de Saída'!A:A,Dash!B333,'NF-e de Saída'!F:F,"CANCELADA")</f>
        <v>0</v>
      </c>
    </row>
    <row r="334" spans="2:9" x14ac:dyDescent="0.3">
      <c r="B334">
        <v>594</v>
      </c>
      <c r="C334" t="s">
        <v>3132</v>
      </c>
      <c r="D334" t="s">
        <v>3618</v>
      </c>
      <c r="E334" t="str">
        <f>IF(COUNTIF(Sheet3!E:E,Dash!B334)&gt;0,"Sim","Não")</f>
        <v>Não</v>
      </c>
      <c r="F334" s="2">
        <f>SUMIFS('NF-e de Entrada'!E:E,'NF-e de Entrada'!A:A,Dash!B334,'NF-e de Entrada'!F:F,"Autorizada")</f>
        <v>0</v>
      </c>
      <c r="G334" s="2">
        <f>SUMIFS('NF-e de Entrada'!E:E,'NF-e de Entrada'!A:A,Dash!B334,'NF-e de Entrada'!F:F,"Cancelada")</f>
        <v>0</v>
      </c>
      <c r="H334" s="2">
        <f>SUMIFS('NF-e de Saída'!E:E,'NF-e de Saída'!A:A,Dash!B334,'NF-e de Saída'!F:F,"AUTORIZADA")</f>
        <v>0</v>
      </c>
      <c r="I334" s="2">
        <f>SUMIFS('NF-e de Saída'!E:E,'NF-e de Saída'!A:A,Dash!B334,'NF-e de Saída'!F:F,"CANCELADA")</f>
        <v>0</v>
      </c>
    </row>
    <row r="335" spans="2:9" x14ac:dyDescent="0.3">
      <c r="B335">
        <v>595</v>
      </c>
      <c r="C335" t="s">
        <v>3133</v>
      </c>
      <c r="D335" t="s">
        <v>3619</v>
      </c>
      <c r="E335" t="str">
        <f>IF(COUNTIF(Sheet3!E:E,Dash!B335)&gt;0,"Sim","Não")</f>
        <v>Não</v>
      </c>
      <c r="F335" s="2">
        <f>SUMIFS('NF-e de Entrada'!E:E,'NF-e de Entrada'!A:A,Dash!B335,'NF-e de Entrada'!F:F,"Autorizada")</f>
        <v>0</v>
      </c>
      <c r="G335" s="2">
        <f>SUMIFS('NF-e de Entrada'!E:E,'NF-e de Entrada'!A:A,Dash!B335,'NF-e de Entrada'!F:F,"Cancelada")</f>
        <v>0</v>
      </c>
      <c r="H335" s="2">
        <f>SUMIFS('NF-e de Saída'!E:E,'NF-e de Saída'!A:A,Dash!B335,'NF-e de Saída'!F:F,"AUTORIZADA")</f>
        <v>0</v>
      </c>
      <c r="I335" s="2">
        <f>SUMIFS('NF-e de Saída'!E:E,'NF-e de Saída'!A:A,Dash!B335,'NF-e de Saída'!F:F,"CANCELADA")</f>
        <v>0</v>
      </c>
    </row>
    <row r="336" spans="2:9" x14ac:dyDescent="0.3">
      <c r="B336">
        <v>596</v>
      </c>
      <c r="C336" t="s">
        <v>3134</v>
      </c>
      <c r="D336" t="s">
        <v>3620</v>
      </c>
      <c r="E336" t="str">
        <f>IF(COUNTIF(Sheet3!E:E,Dash!B336)&gt;0,"Sim","Não")</f>
        <v>Não</v>
      </c>
      <c r="F336" s="2">
        <f>SUMIFS('NF-e de Entrada'!E:E,'NF-e de Entrada'!A:A,Dash!B336,'NF-e de Entrada'!F:F,"Autorizada")</f>
        <v>0</v>
      </c>
      <c r="G336" s="2">
        <f>SUMIFS('NF-e de Entrada'!E:E,'NF-e de Entrada'!A:A,Dash!B336,'NF-e de Entrada'!F:F,"Cancelada")</f>
        <v>0</v>
      </c>
      <c r="H336" s="2">
        <f>SUMIFS('NF-e de Saída'!E:E,'NF-e de Saída'!A:A,Dash!B336,'NF-e de Saída'!F:F,"AUTORIZADA")</f>
        <v>0</v>
      </c>
      <c r="I336" s="2">
        <f>SUMIFS('NF-e de Saída'!E:E,'NF-e de Saída'!A:A,Dash!B336,'NF-e de Saída'!F:F,"CANCELADA")</f>
        <v>0</v>
      </c>
    </row>
    <row r="337" spans="2:9" x14ac:dyDescent="0.3">
      <c r="B337">
        <v>597</v>
      </c>
      <c r="C337" t="s">
        <v>3135</v>
      </c>
      <c r="D337" t="s">
        <v>2735</v>
      </c>
      <c r="E337" t="str">
        <f>IF(COUNTIF(Sheet3!E:E,Dash!B337)&gt;0,"Sim","Não")</f>
        <v>Sim</v>
      </c>
      <c r="F337" s="2">
        <f>SUMIFS('NF-e de Entrada'!E:E,'NF-e de Entrada'!A:A,Dash!B337,'NF-e de Entrada'!F:F,"Autorizada")</f>
        <v>0</v>
      </c>
      <c r="G337" s="2">
        <f>SUMIFS('NF-e de Entrada'!E:E,'NF-e de Entrada'!A:A,Dash!B337,'NF-e de Entrada'!F:F,"Cancelada")</f>
        <v>0</v>
      </c>
      <c r="H337" s="2">
        <f>SUMIFS('NF-e de Saída'!E:E,'NF-e de Saída'!A:A,Dash!B337,'NF-e de Saída'!F:F,"AUTORIZADA")</f>
        <v>0</v>
      </c>
      <c r="I337" s="2">
        <f>SUMIFS('NF-e de Saída'!E:E,'NF-e de Saída'!A:A,Dash!B337,'NF-e de Saída'!F:F,"CANCELADA")</f>
        <v>0</v>
      </c>
    </row>
    <row r="338" spans="2:9" x14ac:dyDescent="0.3">
      <c r="B338">
        <v>598</v>
      </c>
      <c r="C338" t="s">
        <v>3136</v>
      </c>
      <c r="D338" t="s">
        <v>3621</v>
      </c>
      <c r="E338" t="str">
        <f>IF(COUNTIF(Sheet3!E:E,Dash!B338)&gt;0,"Sim","Não")</f>
        <v>Não</v>
      </c>
      <c r="F338" s="2">
        <f>SUMIFS('NF-e de Entrada'!E:E,'NF-e de Entrada'!A:A,Dash!B338,'NF-e de Entrada'!F:F,"Autorizada")</f>
        <v>0</v>
      </c>
      <c r="G338" s="2">
        <f>SUMIFS('NF-e de Entrada'!E:E,'NF-e de Entrada'!A:A,Dash!B338,'NF-e de Entrada'!F:F,"Cancelada")</f>
        <v>0</v>
      </c>
      <c r="H338" s="2">
        <f>SUMIFS('NF-e de Saída'!E:E,'NF-e de Saída'!A:A,Dash!B338,'NF-e de Saída'!F:F,"AUTORIZADA")</f>
        <v>0</v>
      </c>
      <c r="I338" s="2">
        <f>SUMIFS('NF-e de Saída'!E:E,'NF-e de Saída'!A:A,Dash!B338,'NF-e de Saída'!F:F,"CANCELADA")</f>
        <v>0</v>
      </c>
    </row>
    <row r="339" spans="2:9" x14ac:dyDescent="0.3">
      <c r="B339">
        <v>601</v>
      </c>
      <c r="C339" t="s">
        <v>3137</v>
      </c>
      <c r="D339" t="s">
        <v>3622</v>
      </c>
      <c r="E339" t="str">
        <f>IF(COUNTIF(Sheet3!E:E,Dash!B339)&gt;0,"Sim","Não")</f>
        <v>Não</v>
      </c>
      <c r="F339" s="2">
        <f>SUMIFS('NF-e de Entrada'!E:E,'NF-e de Entrada'!A:A,Dash!B339,'NF-e de Entrada'!F:F,"Autorizada")</f>
        <v>0</v>
      </c>
      <c r="G339" s="2">
        <f>SUMIFS('NF-e de Entrada'!E:E,'NF-e de Entrada'!A:A,Dash!B339,'NF-e de Entrada'!F:F,"Cancelada")</f>
        <v>0</v>
      </c>
      <c r="H339" s="2">
        <f>SUMIFS('NF-e de Saída'!E:E,'NF-e de Saída'!A:A,Dash!B339,'NF-e de Saída'!F:F,"AUTORIZADA")</f>
        <v>0</v>
      </c>
      <c r="I339" s="2">
        <f>SUMIFS('NF-e de Saída'!E:E,'NF-e de Saída'!A:A,Dash!B339,'NF-e de Saída'!F:F,"CANCELADA")</f>
        <v>0</v>
      </c>
    </row>
    <row r="340" spans="2:9" x14ac:dyDescent="0.3">
      <c r="B340">
        <v>602</v>
      </c>
      <c r="C340" t="s">
        <v>3138</v>
      </c>
      <c r="D340" t="s">
        <v>2729</v>
      </c>
      <c r="E340" t="str">
        <f>IF(COUNTIF(Sheet3!E:E,Dash!B340)&gt;0,"Sim","Não")</f>
        <v>Sim</v>
      </c>
      <c r="F340" s="2">
        <f>SUMIFS('NF-e de Entrada'!E:E,'NF-e de Entrada'!A:A,Dash!B340,'NF-e de Entrada'!F:F,"Autorizada")</f>
        <v>0</v>
      </c>
      <c r="G340" s="2">
        <f>SUMIFS('NF-e de Entrada'!E:E,'NF-e de Entrada'!A:A,Dash!B340,'NF-e de Entrada'!F:F,"Cancelada")</f>
        <v>0</v>
      </c>
      <c r="H340" s="2">
        <f>SUMIFS('NF-e de Saída'!E:E,'NF-e de Saída'!A:A,Dash!B340,'NF-e de Saída'!F:F,"AUTORIZADA")</f>
        <v>0</v>
      </c>
      <c r="I340" s="2">
        <f>SUMIFS('NF-e de Saída'!E:E,'NF-e de Saída'!A:A,Dash!B340,'NF-e de Saída'!F:F,"CANCELADA")</f>
        <v>0</v>
      </c>
    </row>
    <row r="341" spans="2:9" x14ac:dyDescent="0.3">
      <c r="B341">
        <v>603</v>
      </c>
      <c r="C341" t="s">
        <v>3139</v>
      </c>
      <c r="D341" t="s">
        <v>3623</v>
      </c>
      <c r="E341" t="str">
        <f>IF(COUNTIF(Sheet3!E:E,Dash!B341)&gt;0,"Sim","Não")</f>
        <v>Não</v>
      </c>
      <c r="F341" s="2">
        <f>SUMIFS('NF-e de Entrada'!E:E,'NF-e de Entrada'!A:A,Dash!B341,'NF-e de Entrada'!F:F,"Autorizada")</f>
        <v>0</v>
      </c>
      <c r="G341" s="2">
        <f>SUMIFS('NF-e de Entrada'!E:E,'NF-e de Entrada'!A:A,Dash!B341,'NF-e de Entrada'!F:F,"Cancelada")</f>
        <v>0</v>
      </c>
      <c r="H341" s="2">
        <f>SUMIFS('NF-e de Saída'!E:E,'NF-e de Saída'!A:A,Dash!B341,'NF-e de Saída'!F:F,"AUTORIZADA")</f>
        <v>0</v>
      </c>
      <c r="I341" s="2">
        <f>SUMIFS('NF-e de Saída'!E:E,'NF-e de Saída'!A:A,Dash!B341,'NF-e de Saída'!F:F,"CANCELADA")</f>
        <v>0</v>
      </c>
    </row>
    <row r="342" spans="2:9" x14ac:dyDescent="0.3">
      <c r="B342">
        <v>604</v>
      </c>
      <c r="C342" t="s">
        <v>3140</v>
      </c>
      <c r="D342" t="s">
        <v>3624</v>
      </c>
      <c r="E342" t="str">
        <f>IF(COUNTIF(Sheet3!E:E,Dash!B342)&gt;0,"Sim","Não")</f>
        <v>Não</v>
      </c>
      <c r="F342" s="2">
        <f>SUMIFS('NF-e de Entrada'!E:E,'NF-e de Entrada'!A:A,Dash!B342,'NF-e de Entrada'!F:F,"Autorizada")</f>
        <v>0</v>
      </c>
      <c r="G342" s="2">
        <f>SUMIFS('NF-e de Entrada'!E:E,'NF-e de Entrada'!A:A,Dash!B342,'NF-e de Entrada'!F:F,"Cancelada")</f>
        <v>0</v>
      </c>
      <c r="H342" s="2">
        <f>SUMIFS('NF-e de Saída'!E:E,'NF-e de Saída'!A:A,Dash!B342,'NF-e de Saída'!F:F,"AUTORIZADA")</f>
        <v>0</v>
      </c>
      <c r="I342" s="2">
        <f>SUMIFS('NF-e de Saída'!E:E,'NF-e de Saída'!A:A,Dash!B342,'NF-e de Saída'!F:F,"CANCELADA")</f>
        <v>0</v>
      </c>
    </row>
    <row r="343" spans="2:9" x14ac:dyDescent="0.3">
      <c r="B343">
        <v>608</v>
      </c>
      <c r="C343" t="s">
        <v>3141</v>
      </c>
      <c r="D343" t="s">
        <v>3625</v>
      </c>
      <c r="E343" t="str">
        <f>IF(COUNTIF(Sheet3!E:E,Dash!B343)&gt;0,"Sim","Não")</f>
        <v>Não</v>
      </c>
      <c r="F343" s="2">
        <f>SUMIFS('NF-e de Entrada'!E:E,'NF-e de Entrada'!A:A,Dash!B343,'NF-e de Entrada'!F:F,"Autorizada")</f>
        <v>0</v>
      </c>
      <c r="G343" s="2">
        <f>SUMIFS('NF-e de Entrada'!E:E,'NF-e de Entrada'!A:A,Dash!B343,'NF-e de Entrada'!F:F,"Cancelada")</f>
        <v>0</v>
      </c>
      <c r="H343" s="2">
        <f>SUMIFS('NF-e de Saída'!E:E,'NF-e de Saída'!A:A,Dash!B343,'NF-e de Saída'!F:F,"AUTORIZADA")</f>
        <v>0</v>
      </c>
      <c r="I343" s="2">
        <f>SUMIFS('NF-e de Saída'!E:E,'NF-e de Saída'!A:A,Dash!B343,'NF-e de Saída'!F:F,"CANCELADA")</f>
        <v>0</v>
      </c>
    </row>
    <row r="344" spans="2:9" x14ac:dyDescent="0.3">
      <c r="B344">
        <v>609</v>
      </c>
      <c r="C344" t="s">
        <v>3142</v>
      </c>
      <c r="D344" t="s">
        <v>3626</v>
      </c>
      <c r="E344" t="str">
        <f>IF(COUNTIF(Sheet3!E:E,Dash!B344)&gt;0,"Sim","Não")</f>
        <v>Sim</v>
      </c>
      <c r="F344" s="2">
        <f>SUMIFS('NF-e de Entrada'!E:E,'NF-e de Entrada'!A:A,Dash!B344,'NF-e de Entrada'!F:F,"Autorizada")</f>
        <v>0</v>
      </c>
      <c r="G344" s="2">
        <f>SUMIFS('NF-e de Entrada'!E:E,'NF-e de Entrada'!A:A,Dash!B344,'NF-e de Entrada'!F:F,"Cancelada")</f>
        <v>0</v>
      </c>
      <c r="H344" s="2">
        <f>SUMIFS('NF-e de Saída'!E:E,'NF-e de Saída'!A:A,Dash!B344,'NF-e de Saída'!F:F,"AUTORIZADA")</f>
        <v>0</v>
      </c>
      <c r="I344" s="2">
        <f>SUMIFS('NF-e de Saída'!E:E,'NF-e de Saída'!A:A,Dash!B344,'NF-e de Saída'!F:F,"CANCELADA")</f>
        <v>0</v>
      </c>
    </row>
    <row r="345" spans="2:9" x14ac:dyDescent="0.3">
      <c r="B345">
        <v>610</v>
      </c>
      <c r="C345" t="s">
        <v>3143</v>
      </c>
      <c r="D345" t="s">
        <v>2625</v>
      </c>
      <c r="E345" t="str">
        <f>IF(COUNTIF(Sheet3!E:E,Dash!B345)&gt;0,"Sim","Não")</f>
        <v>Sim</v>
      </c>
      <c r="F345" s="2">
        <f>SUMIFS('NF-e de Entrada'!E:E,'NF-e de Entrada'!A:A,Dash!B345,'NF-e de Entrada'!F:F,"Autorizada")</f>
        <v>0</v>
      </c>
      <c r="G345" s="2">
        <f>SUMIFS('NF-e de Entrada'!E:E,'NF-e de Entrada'!A:A,Dash!B345,'NF-e de Entrada'!F:F,"Cancelada")</f>
        <v>0</v>
      </c>
      <c r="H345" s="2">
        <f>SUMIFS('NF-e de Saída'!E:E,'NF-e de Saída'!A:A,Dash!B345,'NF-e de Saída'!F:F,"AUTORIZADA")</f>
        <v>0</v>
      </c>
      <c r="I345" s="2">
        <f>SUMIFS('NF-e de Saída'!E:E,'NF-e de Saída'!A:A,Dash!B345,'NF-e de Saída'!F:F,"CANCELADA")</f>
        <v>0</v>
      </c>
    </row>
    <row r="346" spans="2:9" x14ac:dyDescent="0.3">
      <c r="B346">
        <v>611</v>
      </c>
      <c r="C346" t="s">
        <v>3144</v>
      </c>
      <c r="D346" t="s">
        <v>2497</v>
      </c>
      <c r="E346" t="str">
        <f>IF(COUNTIF(Sheet3!E:E,Dash!B346)&gt;0,"Sim","Não")</f>
        <v>Sim</v>
      </c>
      <c r="F346" s="2">
        <f>SUMIFS('NF-e de Entrada'!E:E,'NF-e de Entrada'!A:A,Dash!B346,'NF-e de Entrada'!F:F,"Autorizada")</f>
        <v>9744.2900000000009</v>
      </c>
      <c r="G346" s="2">
        <f>SUMIFS('NF-e de Entrada'!E:E,'NF-e de Entrada'!A:A,Dash!B346,'NF-e de Entrada'!F:F,"Cancelada")</f>
        <v>0</v>
      </c>
      <c r="H346" s="2">
        <f>SUMIFS('NF-e de Saída'!E:E,'NF-e de Saída'!A:A,Dash!B346,'NF-e de Saída'!F:F,"AUTORIZADA")</f>
        <v>0</v>
      </c>
      <c r="I346" s="2">
        <f>SUMIFS('NF-e de Saída'!E:E,'NF-e de Saída'!A:A,Dash!B346,'NF-e de Saída'!F:F,"CANCELADA")</f>
        <v>0</v>
      </c>
    </row>
    <row r="347" spans="2:9" x14ac:dyDescent="0.3">
      <c r="B347">
        <v>612</v>
      </c>
      <c r="C347" t="s">
        <v>3145</v>
      </c>
      <c r="D347" t="s">
        <v>3627</v>
      </c>
      <c r="E347" t="str">
        <f>IF(COUNTIF(Sheet3!E:E,Dash!B347)&gt;0,"Sim","Não")</f>
        <v>Sim</v>
      </c>
      <c r="F347" s="2">
        <f>SUMIFS('NF-e de Entrada'!E:E,'NF-e de Entrada'!A:A,Dash!B347,'NF-e de Entrada'!F:F,"Autorizada")</f>
        <v>11479.210000000003</v>
      </c>
      <c r="G347" s="2">
        <f>SUMIFS('NF-e de Entrada'!E:E,'NF-e de Entrada'!A:A,Dash!B347,'NF-e de Entrada'!F:F,"Cancelada")</f>
        <v>0</v>
      </c>
      <c r="H347" s="2">
        <f>SUMIFS('NF-e de Saída'!E:E,'NF-e de Saída'!A:A,Dash!B347,'NF-e de Saída'!F:F,"AUTORIZADA")</f>
        <v>0</v>
      </c>
      <c r="I347" s="2">
        <f>SUMIFS('NF-e de Saída'!E:E,'NF-e de Saída'!A:A,Dash!B347,'NF-e de Saída'!F:F,"CANCELADA")</f>
        <v>0</v>
      </c>
    </row>
    <row r="348" spans="2:9" x14ac:dyDescent="0.3">
      <c r="B348">
        <v>613</v>
      </c>
      <c r="C348" t="s">
        <v>3146</v>
      </c>
      <c r="D348" t="s">
        <v>3628</v>
      </c>
      <c r="E348" t="str">
        <f>IF(COUNTIF(Sheet3!E:E,Dash!B348)&gt;0,"Sim","Não")</f>
        <v>Sim</v>
      </c>
      <c r="F348" s="2">
        <f>SUMIFS('NF-e de Entrada'!E:E,'NF-e de Entrada'!A:A,Dash!B348,'NF-e de Entrada'!F:F,"Autorizada")</f>
        <v>0</v>
      </c>
      <c r="G348" s="2">
        <f>SUMIFS('NF-e de Entrada'!E:E,'NF-e de Entrada'!A:A,Dash!B348,'NF-e de Entrada'!F:F,"Cancelada")</f>
        <v>0</v>
      </c>
      <c r="H348" s="2">
        <f>SUMIFS('NF-e de Saída'!E:E,'NF-e de Saída'!A:A,Dash!B348,'NF-e de Saída'!F:F,"AUTORIZADA")</f>
        <v>0</v>
      </c>
      <c r="I348" s="2">
        <f>SUMIFS('NF-e de Saída'!E:E,'NF-e de Saída'!A:A,Dash!B348,'NF-e de Saída'!F:F,"CANCELADA")</f>
        <v>0</v>
      </c>
    </row>
    <row r="349" spans="2:9" x14ac:dyDescent="0.3">
      <c r="B349">
        <v>614</v>
      </c>
      <c r="C349" t="s">
        <v>3147</v>
      </c>
      <c r="D349" t="s">
        <v>2492</v>
      </c>
      <c r="E349" t="str">
        <f>IF(COUNTIF(Sheet3!E:E,Dash!B349)&gt;0,"Sim","Não")</f>
        <v>Sim</v>
      </c>
      <c r="F349" s="2">
        <f>SUMIFS('NF-e de Entrada'!E:E,'NF-e de Entrada'!A:A,Dash!B349,'NF-e de Entrada'!F:F,"Autorizada")</f>
        <v>0</v>
      </c>
      <c r="G349" s="2">
        <f>SUMIFS('NF-e de Entrada'!E:E,'NF-e de Entrada'!A:A,Dash!B349,'NF-e de Entrada'!F:F,"Cancelada")</f>
        <v>0</v>
      </c>
      <c r="H349" s="2">
        <f>SUMIFS('NF-e de Saída'!E:E,'NF-e de Saída'!A:A,Dash!B349,'NF-e de Saída'!F:F,"AUTORIZADA")</f>
        <v>0</v>
      </c>
      <c r="I349" s="2">
        <f>SUMIFS('NF-e de Saída'!E:E,'NF-e de Saída'!A:A,Dash!B349,'NF-e de Saída'!F:F,"CANCELADA")</f>
        <v>0</v>
      </c>
    </row>
    <row r="350" spans="2:9" x14ac:dyDescent="0.3">
      <c r="B350">
        <v>616</v>
      </c>
      <c r="C350" t="s">
        <v>3148</v>
      </c>
      <c r="D350" t="s">
        <v>3629</v>
      </c>
      <c r="E350" t="str">
        <f>IF(COUNTIF(Sheet3!E:E,Dash!B350)&gt;0,"Sim","Não")</f>
        <v>Sim</v>
      </c>
      <c r="F350" s="2">
        <f>SUMIFS('NF-e de Entrada'!E:E,'NF-e de Entrada'!A:A,Dash!B350,'NF-e de Entrada'!F:F,"Autorizada")</f>
        <v>0</v>
      </c>
      <c r="G350" s="2">
        <f>SUMIFS('NF-e de Entrada'!E:E,'NF-e de Entrada'!A:A,Dash!B350,'NF-e de Entrada'!F:F,"Cancelada")</f>
        <v>0</v>
      </c>
      <c r="H350" s="2">
        <f>SUMIFS('NF-e de Saída'!E:E,'NF-e de Saída'!A:A,Dash!B350,'NF-e de Saída'!F:F,"AUTORIZADA")</f>
        <v>0</v>
      </c>
      <c r="I350" s="2">
        <f>SUMIFS('NF-e de Saída'!E:E,'NF-e de Saída'!A:A,Dash!B350,'NF-e de Saída'!F:F,"CANCELADA")</f>
        <v>0</v>
      </c>
    </row>
    <row r="351" spans="2:9" x14ac:dyDescent="0.3">
      <c r="B351">
        <v>617</v>
      </c>
      <c r="C351" t="s">
        <v>3149</v>
      </c>
      <c r="D351" t="s">
        <v>3630</v>
      </c>
      <c r="E351" t="str">
        <f>IF(COUNTIF(Sheet3!E:E,Dash!B351)&gt;0,"Sim","Não")</f>
        <v>Sim</v>
      </c>
      <c r="F351" s="2">
        <f>SUMIFS('NF-e de Entrada'!E:E,'NF-e de Entrada'!A:A,Dash!B351,'NF-e de Entrada'!F:F,"Autorizada")</f>
        <v>8374.58</v>
      </c>
      <c r="G351" s="2">
        <f>SUMIFS('NF-e de Entrada'!E:E,'NF-e de Entrada'!A:A,Dash!B351,'NF-e de Entrada'!F:F,"Cancelada")</f>
        <v>0</v>
      </c>
      <c r="H351" s="2">
        <f>SUMIFS('NF-e de Saída'!E:E,'NF-e de Saída'!A:A,Dash!B351,'NF-e de Saída'!F:F,"AUTORIZADA")</f>
        <v>0</v>
      </c>
      <c r="I351" s="2">
        <f>SUMIFS('NF-e de Saída'!E:E,'NF-e de Saída'!A:A,Dash!B351,'NF-e de Saída'!F:F,"CANCELADA")</f>
        <v>0</v>
      </c>
    </row>
    <row r="352" spans="2:9" x14ac:dyDescent="0.3">
      <c r="B352">
        <v>618</v>
      </c>
      <c r="C352" t="s">
        <v>3150</v>
      </c>
      <c r="D352" t="s">
        <v>3631</v>
      </c>
      <c r="E352" t="str">
        <f>IF(COUNTIF(Sheet3!E:E,Dash!B352)&gt;0,"Sim","Não")</f>
        <v>Sim</v>
      </c>
      <c r="F352" s="2">
        <f>SUMIFS('NF-e de Entrada'!E:E,'NF-e de Entrada'!A:A,Dash!B352,'NF-e de Entrada'!F:F,"Autorizada")</f>
        <v>0</v>
      </c>
      <c r="G352" s="2">
        <f>SUMIFS('NF-e de Entrada'!E:E,'NF-e de Entrada'!A:A,Dash!B352,'NF-e de Entrada'!F:F,"Cancelada")</f>
        <v>0</v>
      </c>
      <c r="H352" s="2">
        <f>SUMIFS('NF-e de Saída'!E:E,'NF-e de Saída'!A:A,Dash!B352,'NF-e de Saída'!F:F,"AUTORIZADA")</f>
        <v>0</v>
      </c>
      <c r="I352" s="2">
        <f>SUMIFS('NF-e de Saída'!E:E,'NF-e de Saída'!A:A,Dash!B352,'NF-e de Saída'!F:F,"CANCELADA")</f>
        <v>0</v>
      </c>
    </row>
    <row r="353" spans="2:9" x14ac:dyDescent="0.3">
      <c r="B353">
        <v>619</v>
      </c>
      <c r="C353" t="s">
        <v>3151</v>
      </c>
      <c r="D353" t="s">
        <v>3632</v>
      </c>
      <c r="E353" t="str">
        <f>IF(COUNTIF(Sheet3!E:E,Dash!B353)&gt;0,"Sim","Não")</f>
        <v>Sim</v>
      </c>
      <c r="F353" s="2">
        <f>SUMIFS('NF-e de Entrada'!E:E,'NF-e de Entrada'!A:A,Dash!B353,'NF-e de Entrada'!F:F,"Autorizada")</f>
        <v>8958.6299999999992</v>
      </c>
      <c r="G353" s="2">
        <f>SUMIFS('NF-e de Entrada'!E:E,'NF-e de Entrada'!A:A,Dash!B353,'NF-e de Entrada'!F:F,"Cancelada")</f>
        <v>0</v>
      </c>
      <c r="H353" s="2">
        <f>SUMIFS('NF-e de Saída'!E:E,'NF-e de Saída'!A:A,Dash!B353,'NF-e de Saída'!F:F,"AUTORIZADA")</f>
        <v>0</v>
      </c>
      <c r="I353" s="2">
        <f>SUMIFS('NF-e de Saída'!E:E,'NF-e de Saída'!A:A,Dash!B353,'NF-e de Saída'!F:F,"CANCELADA")</f>
        <v>0</v>
      </c>
    </row>
    <row r="354" spans="2:9" x14ac:dyDescent="0.3">
      <c r="B354">
        <v>620</v>
      </c>
      <c r="C354" t="s">
        <v>3152</v>
      </c>
      <c r="D354" t="s">
        <v>3633</v>
      </c>
      <c r="E354" t="str">
        <f>IF(COUNTIF(Sheet3!E:E,Dash!B354)&gt;0,"Sim","Não")</f>
        <v>Não</v>
      </c>
      <c r="F354" s="2">
        <f>SUMIFS('NF-e de Entrada'!E:E,'NF-e de Entrada'!A:A,Dash!B354,'NF-e de Entrada'!F:F,"Autorizada")</f>
        <v>0</v>
      </c>
      <c r="G354" s="2">
        <f>SUMIFS('NF-e de Entrada'!E:E,'NF-e de Entrada'!A:A,Dash!B354,'NF-e de Entrada'!F:F,"Cancelada")</f>
        <v>0</v>
      </c>
      <c r="H354" s="2">
        <f>SUMIFS('NF-e de Saída'!E:E,'NF-e de Saída'!A:A,Dash!B354,'NF-e de Saída'!F:F,"AUTORIZADA")</f>
        <v>0</v>
      </c>
      <c r="I354" s="2">
        <f>SUMIFS('NF-e de Saída'!E:E,'NF-e de Saída'!A:A,Dash!B354,'NF-e de Saída'!F:F,"CANCELADA")</f>
        <v>0</v>
      </c>
    </row>
    <row r="355" spans="2:9" x14ac:dyDescent="0.3">
      <c r="B355">
        <v>621</v>
      </c>
      <c r="C355" t="s">
        <v>3153</v>
      </c>
      <c r="D355" t="s">
        <v>3634</v>
      </c>
      <c r="E355" t="str">
        <f>IF(COUNTIF(Sheet3!E:E,Dash!B355)&gt;0,"Sim","Não")</f>
        <v>Sim</v>
      </c>
      <c r="F355" s="2">
        <f>SUMIFS('NF-e de Entrada'!E:E,'NF-e de Entrada'!A:A,Dash!B355,'NF-e de Entrada'!F:F,"Autorizada")</f>
        <v>0</v>
      </c>
      <c r="G355" s="2">
        <f>SUMIFS('NF-e de Entrada'!E:E,'NF-e de Entrada'!A:A,Dash!B355,'NF-e de Entrada'!F:F,"Cancelada")</f>
        <v>0</v>
      </c>
      <c r="H355" s="2">
        <f>SUMIFS('NF-e de Saída'!E:E,'NF-e de Saída'!A:A,Dash!B355,'NF-e de Saída'!F:F,"AUTORIZADA")</f>
        <v>0</v>
      </c>
      <c r="I355" s="2">
        <f>SUMIFS('NF-e de Saída'!E:E,'NF-e de Saída'!A:A,Dash!B355,'NF-e de Saída'!F:F,"CANCELADA")</f>
        <v>0</v>
      </c>
    </row>
    <row r="356" spans="2:9" x14ac:dyDescent="0.3">
      <c r="B356">
        <v>622</v>
      </c>
      <c r="C356" t="s">
        <v>3154</v>
      </c>
      <c r="D356" t="s">
        <v>3635</v>
      </c>
      <c r="E356" t="str">
        <f>IF(COUNTIF(Sheet3!E:E,Dash!B356)&gt;0,"Sim","Não")</f>
        <v>Não</v>
      </c>
      <c r="F356" s="2">
        <f>SUMIFS('NF-e de Entrada'!E:E,'NF-e de Entrada'!A:A,Dash!B356,'NF-e de Entrada'!F:F,"Autorizada")</f>
        <v>0</v>
      </c>
      <c r="G356" s="2">
        <f>SUMIFS('NF-e de Entrada'!E:E,'NF-e de Entrada'!A:A,Dash!B356,'NF-e de Entrada'!F:F,"Cancelada")</f>
        <v>0</v>
      </c>
      <c r="H356" s="2">
        <f>SUMIFS('NF-e de Saída'!E:E,'NF-e de Saída'!A:A,Dash!B356,'NF-e de Saída'!F:F,"AUTORIZADA")</f>
        <v>0</v>
      </c>
      <c r="I356" s="2">
        <f>SUMIFS('NF-e de Saída'!E:E,'NF-e de Saída'!A:A,Dash!B356,'NF-e de Saída'!F:F,"CANCELADA")</f>
        <v>0</v>
      </c>
    </row>
    <row r="357" spans="2:9" x14ac:dyDescent="0.3">
      <c r="B357">
        <v>625</v>
      </c>
      <c r="C357" t="s">
        <v>3155</v>
      </c>
      <c r="D357" t="s">
        <v>3636</v>
      </c>
      <c r="E357" t="str">
        <f>IF(COUNTIF(Sheet3!E:E,Dash!B357)&gt;0,"Sim","Não")</f>
        <v>Não</v>
      </c>
      <c r="F357" s="2">
        <f>SUMIFS('NF-e de Entrada'!E:E,'NF-e de Entrada'!A:A,Dash!B357,'NF-e de Entrada'!F:F,"Autorizada")</f>
        <v>0</v>
      </c>
      <c r="G357" s="2">
        <f>SUMIFS('NF-e de Entrada'!E:E,'NF-e de Entrada'!A:A,Dash!B357,'NF-e de Entrada'!F:F,"Cancelada")</f>
        <v>0</v>
      </c>
      <c r="H357" s="2">
        <f>SUMIFS('NF-e de Saída'!E:E,'NF-e de Saída'!A:A,Dash!B357,'NF-e de Saída'!F:F,"AUTORIZADA")</f>
        <v>0</v>
      </c>
      <c r="I357" s="2">
        <f>SUMIFS('NF-e de Saída'!E:E,'NF-e de Saída'!A:A,Dash!B357,'NF-e de Saída'!F:F,"CANCELADA")</f>
        <v>0</v>
      </c>
    </row>
    <row r="358" spans="2:9" x14ac:dyDescent="0.3">
      <c r="B358">
        <v>626</v>
      </c>
      <c r="C358" t="s">
        <v>3156</v>
      </c>
      <c r="D358" t="s">
        <v>2528</v>
      </c>
      <c r="E358" t="str">
        <f>IF(COUNTIF(Sheet3!E:E,Dash!B358)&gt;0,"Sim","Não")</f>
        <v>Sim</v>
      </c>
      <c r="F358" s="2">
        <f>SUMIFS('NF-e de Entrada'!E:E,'NF-e de Entrada'!A:A,Dash!B358,'NF-e de Entrada'!F:F,"Autorizada")</f>
        <v>0</v>
      </c>
      <c r="G358" s="2">
        <f>SUMIFS('NF-e de Entrada'!E:E,'NF-e de Entrada'!A:A,Dash!B358,'NF-e de Entrada'!F:F,"Cancelada")</f>
        <v>0</v>
      </c>
      <c r="H358" s="2">
        <f>SUMIFS('NF-e de Saída'!E:E,'NF-e de Saída'!A:A,Dash!B358,'NF-e de Saída'!F:F,"AUTORIZADA")</f>
        <v>0</v>
      </c>
      <c r="I358" s="2">
        <f>SUMIFS('NF-e de Saída'!E:E,'NF-e de Saída'!A:A,Dash!B358,'NF-e de Saída'!F:F,"CANCELADA")</f>
        <v>0</v>
      </c>
    </row>
    <row r="359" spans="2:9" x14ac:dyDescent="0.3">
      <c r="B359">
        <v>628</v>
      </c>
      <c r="C359" t="s">
        <v>3157</v>
      </c>
      <c r="D359" t="s">
        <v>3637</v>
      </c>
      <c r="E359" t="str">
        <f>IF(COUNTIF(Sheet3!E:E,Dash!B359)&gt;0,"Sim","Não")</f>
        <v>Não</v>
      </c>
      <c r="F359" s="2">
        <f>SUMIFS('NF-e de Entrada'!E:E,'NF-e de Entrada'!A:A,Dash!B359,'NF-e de Entrada'!F:F,"Autorizada")</f>
        <v>0</v>
      </c>
      <c r="G359" s="2">
        <f>SUMIFS('NF-e de Entrada'!E:E,'NF-e de Entrada'!A:A,Dash!B359,'NF-e de Entrada'!F:F,"Cancelada")</f>
        <v>0</v>
      </c>
      <c r="H359" s="2">
        <f>SUMIFS('NF-e de Saída'!E:E,'NF-e de Saída'!A:A,Dash!B359,'NF-e de Saída'!F:F,"AUTORIZADA")</f>
        <v>0</v>
      </c>
      <c r="I359" s="2">
        <f>SUMIFS('NF-e de Saída'!E:E,'NF-e de Saída'!A:A,Dash!B359,'NF-e de Saída'!F:F,"CANCELADA")</f>
        <v>0</v>
      </c>
    </row>
    <row r="360" spans="2:9" x14ac:dyDescent="0.3">
      <c r="B360">
        <v>630</v>
      </c>
      <c r="C360" t="s">
        <v>3158</v>
      </c>
      <c r="D360" t="s">
        <v>3638</v>
      </c>
      <c r="E360" t="str">
        <f>IF(COUNTIF(Sheet3!E:E,Dash!B360)&gt;0,"Sim","Não")</f>
        <v>Não</v>
      </c>
      <c r="F360" s="2">
        <f>SUMIFS('NF-e de Entrada'!E:E,'NF-e de Entrada'!A:A,Dash!B360,'NF-e de Entrada'!F:F,"Autorizada")</f>
        <v>0</v>
      </c>
      <c r="G360" s="2">
        <f>SUMIFS('NF-e de Entrada'!E:E,'NF-e de Entrada'!A:A,Dash!B360,'NF-e de Entrada'!F:F,"Cancelada")</f>
        <v>0</v>
      </c>
      <c r="H360" s="2">
        <f>SUMIFS('NF-e de Saída'!E:E,'NF-e de Saída'!A:A,Dash!B360,'NF-e de Saída'!F:F,"AUTORIZADA")</f>
        <v>0</v>
      </c>
      <c r="I360" s="2">
        <f>SUMIFS('NF-e de Saída'!E:E,'NF-e de Saída'!A:A,Dash!B360,'NF-e de Saída'!F:F,"CANCELADA")</f>
        <v>0</v>
      </c>
    </row>
    <row r="361" spans="2:9" x14ac:dyDescent="0.3">
      <c r="B361">
        <v>631</v>
      </c>
      <c r="C361" t="s">
        <v>3159</v>
      </c>
      <c r="D361" t="s">
        <v>3628</v>
      </c>
      <c r="E361" t="str">
        <f>IF(COUNTIF(Sheet3!E:E,Dash!B361)&gt;0,"Sim","Não")</f>
        <v>Sim</v>
      </c>
      <c r="F361" s="2">
        <f>SUMIFS('NF-e de Entrada'!E:E,'NF-e de Entrada'!A:A,Dash!B361,'NF-e de Entrada'!F:F,"Autorizada")</f>
        <v>0</v>
      </c>
      <c r="G361" s="2">
        <f>SUMIFS('NF-e de Entrada'!E:E,'NF-e de Entrada'!A:A,Dash!B361,'NF-e de Entrada'!F:F,"Cancelada")</f>
        <v>0</v>
      </c>
      <c r="H361" s="2">
        <f>SUMIFS('NF-e de Saída'!E:E,'NF-e de Saída'!A:A,Dash!B361,'NF-e de Saída'!F:F,"AUTORIZADA")</f>
        <v>0</v>
      </c>
      <c r="I361" s="2">
        <f>SUMIFS('NF-e de Saída'!E:E,'NF-e de Saída'!A:A,Dash!B361,'NF-e de Saída'!F:F,"CANCELADA")</f>
        <v>0</v>
      </c>
    </row>
    <row r="362" spans="2:9" x14ac:dyDescent="0.3">
      <c r="B362">
        <v>633</v>
      </c>
      <c r="C362" t="s">
        <v>3160</v>
      </c>
      <c r="D362" t="s">
        <v>3639</v>
      </c>
      <c r="E362" t="str">
        <f>IF(COUNTIF(Sheet3!E:E,Dash!B362)&gt;0,"Sim","Não")</f>
        <v>Não</v>
      </c>
      <c r="F362" s="2">
        <f>SUMIFS('NF-e de Entrada'!E:E,'NF-e de Entrada'!A:A,Dash!B362,'NF-e de Entrada'!F:F,"Autorizada")</f>
        <v>0</v>
      </c>
      <c r="G362" s="2">
        <f>SUMIFS('NF-e de Entrada'!E:E,'NF-e de Entrada'!A:A,Dash!B362,'NF-e de Entrada'!F:F,"Cancelada")</f>
        <v>0</v>
      </c>
      <c r="H362" s="2">
        <f>SUMIFS('NF-e de Saída'!E:E,'NF-e de Saída'!A:A,Dash!B362,'NF-e de Saída'!F:F,"AUTORIZADA")</f>
        <v>0</v>
      </c>
      <c r="I362" s="2">
        <f>SUMIFS('NF-e de Saída'!E:E,'NF-e de Saída'!A:A,Dash!B362,'NF-e de Saída'!F:F,"CANCELADA")</f>
        <v>0</v>
      </c>
    </row>
    <row r="363" spans="2:9" x14ac:dyDescent="0.3">
      <c r="B363">
        <v>634</v>
      </c>
      <c r="C363" t="s">
        <v>3161</v>
      </c>
      <c r="D363" t="s">
        <v>3640</v>
      </c>
      <c r="E363" t="str">
        <f>IF(COUNTIF(Sheet3!E:E,Dash!B363)&gt;0,"Sim","Não")</f>
        <v>Não</v>
      </c>
      <c r="F363" s="2">
        <f>SUMIFS('NF-e de Entrada'!E:E,'NF-e de Entrada'!A:A,Dash!B363,'NF-e de Entrada'!F:F,"Autorizada")</f>
        <v>0</v>
      </c>
      <c r="G363" s="2">
        <f>SUMIFS('NF-e de Entrada'!E:E,'NF-e de Entrada'!A:A,Dash!B363,'NF-e de Entrada'!F:F,"Cancelada")</f>
        <v>0</v>
      </c>
      <c r="H363" s="2">
        <f>SUMIFS('NF-e de Saída'!E:E,'NF-e de Saída'!A:A,Dash!B363,'NF-e de Saída'!F:F,"AUTORIZADA")</f>
        <v>0</v>
      </c>
      <c r="I363" s="2">
        <f>SUMIFS('NF-e de Saída'!E:E,'NF-e de Saída'!A:A,Dash!B363,'NF-e de Saída'!F:F,"CANCELADA")</f>
        <v>0</v>
      </c>
    </row>
    <row r="364" spans="2:9" x14ac:dyDescent="0.3">
      <c r="B364">
        <v>635</v>
      </c>
      <c r="C364" t="s">
        <v>3162</v>
      </c>
      <c r="D364" t="s">
        <v>2625</v>
      </c>
      <c r="E364" t="str">
        <f>IF(COUNTIF(Sheet3!E:E,Dash!B364)&gt;0,"Sim","Não")</f>
        <v>Sim</v>
      </c>
      <c r="F364" s="2">
        <f>SUMIFS('NF-e de Entrada'!E:E,'NF-e de Entrada'!A:A,Dash!B364,'NF-e de Entrada'!F:F,"Autorizada")</f>
        <v>871.4</v>
      </c>
      <c r="G364" s="2">
        <f>SUMIFS('NF-e de Entrada'!E:E,'NF-e de Entrada'!A:A,Dash!B364,'NF-e de Entrada'!F:F,"Cancelada")</f>
        <v>0</v>
      </c>
      <c r="H364" s="2">
        <f>SUMIFS('NF-e de Saída'!E:E,'NF-e de Saída'!A:A,Dash!B364,'NF-e de Saída'!F:F,"AUTORIZADA")</f>
        <v>0</v>
      </c>
      <c r="I364" s="2">
        <f>SUMIFS('NF-e de Saída'!E:E,'NF-e de Saída'!A:A,Dash!B364,'NF-e de Saída'!F:F,"CANCELADA")</f>
        <v>0</v>
      </c>
    </row>
    <row r="365" spans="2:9" x14ac:dyDescent="0.3">
      <c r="B365">
        <v>636</v>
      </c>
      <c r="C365" t="s">
        <v>3163</v>
      </c>
      <c r="D365" t="s">
        <v>3630</v>
      </c>
      <c r="E365" t="str">
        <f>IF(COUNTIF(Sheet3!E:E,Dash!B365)&gt;0,"Sim","Não")</f>
        <v>Sim</v>
      </c>
      <c r="F365" s="2">
        <f>SUMIFS('NF-e de Entrada'!E:E,'NF-e de Entrada'!A:A,Dash!B365,'NF-e de Entrada'!F:F,"Autorizada")</f>
        <v>13343.23</v>
      </c>
      <c r="G365" s="2">
        <f>SUMIFS('NF-e de Entrada'!E:E,'NF-e de Entrada'!A:A,Dash!B365,'NF-e de Entrada'!F:F,"Cancelada")</f>
        <v>0</v>
      </c>
      <c r="H365" s="2">
        <f>SUMIFS('NF-e de Saída'!E:E,'NF-e de Saída'!A:A,Dash!B365,'NF-e de Saída'!F:F,"AUTORIZADA")</f>
        <v>0</v>
      </c>
      <c r="I365" s="2">
        <f>SUMIFS('NF-e de Saída'!E:E,'NF-e de Saída'!A:A,Dash!B365,'NF-e de Saída'!F:F,"CANCELADA")</f>
        <v>0</v>
      </c>
    </row>
    <row r="366" spans="2:9" x14ac:dyDescent="0.3">
      <c r="B366">
        <v>638</v>
      </c>
      <c r="C366" t="s">
        <v>3164</v>
      </c>
      <c r="D366" t="s">
        <v>3641</v>
      </c>
      <c r="E366" t="str">
        <f>IF(COUNTIF(Sheet3!E:E,Dash!B366)&gt;0,"Sim","Não")</f>
        <v>Não</v>
      </c>
      <c r="F366" s="2">
        <f>SUMIFS('NF-e de Entrada'!E:E,'NF-e de Entrada'!A:A,Dash!B366,'NF-e de Entrada'!F:F,"Autorizada")</f>
        <v>0</v>
      </c>
      <c r="G366" s="2">
        <f>SUMIFS('NF-e de Entrada'!E:E,'NF-e de Entrada'!A:A,Dash!B366,'NF-e de Entrada'!F:F,"Cancelada")</f>
        <v>0</v>
      </c>
      <c r="H366" s="2">
        <f>SUMIFS('NF-e de Saída'!E:E,'NF-e de Saída'!A:A,Dash!B366,'NF-e de Saída'!F:F,"AUTORIZADA")</f>
        <v>0</v>
      </c>
      <c r="I366" s="2">
        <f>SUMIFS('NF-e de Saída'!E:E,'NF-e de Saída'!A:A,Dash!B366,'NF-e de Saída'!F:F,"CANCELADA")</f>
        <v>0</v>
      </c>
    </row>
    <row r="367" spans="2:9" x14ac:dyDescent="0.3">
      <c r="B367">
        <v>640</v>
      </c>
      <c r="C367" t="s">
        <v>3165</v>
      </c>
      <c r="D367" t="s">
        <v>2543</v>
      </c>
      <c r="E367" t="str">
        <f>IF(COUNTIF(Sheet3!E:E,Dash!B367)&gt;0,"Sim","Não")</f>
        <v>Sim</v>
      </c>
      <c r="F367" s="2">
        <f>SUMIFS('NF-e de Entrada'!E:E,'NF-e de Entrada'!A:A,Dash!B367,'NF-e de Entrada'!F:F,"Autorizada")</f>
        <v>0</v>
      </c>
      <c r="G367" s="2">
        <f>SUMIFS('NF-e de Entrada'!E:E,'NF-e de Entrada'!A:A,Dash!B367,'NF-e de Entrada'!F:F,"Cancelada")</f>
        <v>0</v>
      </c>
      <c r="H367" s="2">
        <f>SUMIFS('NF-e de Saída'!E:E,'NF-e de Saída'!A:A,Dash!B367,'NF-e de Saída'!F:F,"AUTORIZADA")</f>
        <v>0</v>
      </c>
      <c r="I367" s="2">
        <f>SUMIFS('NF-e de Saída'!E:E,'NF-e de Saída'!A:A,Dash!B367,'NF-e de Saída'!F:F,"CANCELADA")</f>
        <v>0</v>
      </c>
    </row>
    <row r="368" spans="2:9" x14ac:dyDescent="0.3">
      <c r="B368">
        <v>641</v>
      </c>
      <c r="C368" t="s">
        <v>3166</v>
      </c>
      <c r="D368" t="s">
        <v>3642</v>
      </c>
      <c r="E368" t="str">
        <f>IF(COUNTIF(Sheet3!E:E,Dash!B368)&gt;0,"Sim","Não")</f>
        <v>Sim</v>
      </c>
      <c r="F368" s="2">
        <f>SUMIFS('NF-e de Entrada'!E:E,'NF-e de Entrada'!A:A,Dash!B368,'NF-e de Entrada'!F:F,"Autorizada")</f>
        <v>0</v>
      </c>
      <c r="G368" s="2">
        <f>SUMIFS('NF-e de Entrada'!E:E,'NF-e de Entrada'!A:A,Dash!B368,'NF-e de Entrada'!F:F,"Cancelada")</f>
        <v>0</v>
      </c>
      <c r="H368" s="2">
        <f>SUMIFS('NF-e de Saída'!E:E,'NF-e de Saída'!A:A,Dash!B368,'NF-e de Saída'!F:F,"AUTORIZADA")</f>
        <v>0</v>
      </c>
      <c r="I368" s="2">
        <f>SUMIFS('NF-e de Saída'!E:E,'NF-e de Saída'!A:A,Dash!B368,'NF-e de Saída'!F:F,"CANCELADA")</f>
        <v>0</v>
      </c>
    </row>
    <row r="369" spans="2:9" x14ac:dyDescent="0.3">
      <c r="B369">
        <v>642</v>
      </c>
      <c r="C369" t="s">
        <v>3167</v>
      </c>
      <c r="D369" t="s">
        <v>3643</v>
      </c>
      <c r="E369" t="str">
        <f>IF(COUNTIF(Sheet3!E:E,Dash!B369)&gt;0,"Sim","Não")</f>
        <v>Não</v>
      </c>
      <c r="F369" s="2">
        <f>SUMIFS('NF-e de Entrada'!E:E,'NF-e de Entrada'!A:A,Dash!B369,'NF-e de Entrada'!F:F,"Autorizada")</f>
        <v>0</v>
      </c>
      <c r="G369" s="2">
        <f>SUMIFS('NF-e de Entrada'!E:E,'NF-e de Entrada'!A:A,Dash!B369,'NF-e de Entrada'!F:F,"Cancelada")</f>
        <v>0</v>
      </c>
      <c r="H369" s="2">
        <f>SUMIFS('NF-e de Saída'!E:E,'NF-e de Saída'!A:A,Dash!B369,'NF-e de Saída'!F:F,"AUTORIZADA")</f>
        <v>0</v>
      </c>
      <c r="I369" s="2">
        <f>SUMIFS('NF-e de Saída'!E:E,'NF-e de Saída'!A:A,Dash!B369,'NF-e de Saída'!F:F,"CANCELADA")</f>
        <v>0</v>
      </c>
    </row>
    <row r="370" spans="2:9" x14ac:dyDescent="0.3">
      <c r="B370">
        <v>643</v>
      </c>
      <c r="C370" t="s">
        <v>3168</v>
      </c>
      <c r="D370" t="s">
        <v>3644</v>
      </c>
      <c r="E370" t="str">
        <f>IF(COUNTIF(Sheet3!E:E,Dash!B370)&gt;0,"Sim","Não")</f>
        <v>Não</v>
      </c>
      <c r="F370" s="2">
        <f>SUMIFS('NF-e de Entrada'!E:E,'NF-e de Entrada'!A:A,Dash!B370,'NF-e de Entrada'!F:F,"Autorizada")</f>
        <v>0</v>
      </c>
      <c r="G370" s="2">
        <f>SUMIFS('NF-e de Entrada'!E:E,'NF-e de Entrada'!A:A,Dash!B370,'NF-e de Entrada'!F:F,"Cancelada")</f>
        <v>0</v>
      </c>
      <c r="H370" s="2">
        <f>SUMIFS('NF-e de Saída'!E:E,'NF-e de Saída'!A:A,Dash!B370,'NF-e de Saída'!F:F,"AUTORIZADA")</f>
        <v>0</v>
      </c>
      <c r="I370" s="2">
        <f>SUMIFS('NF-e de Saída'!E:E,'NF-e de Saída'!A:A,Dash!B370,'NF-e de Saída'!F:F,"CANCELADA")</f>
        <v>0</v>
      </c>
    </row>
    <row r="371" spans="2:9" x14ac:dyDescent="0.3">
      <c r="B371">
        <v>644</v>
      </c>
      <c r="C371" t="s">
        <v>3169</v>
      </c>
      <c r="D371" t="s">
        <v>3645</v>
      </c>
      <c r="E371" t="str">
        <f>IF(COUNTIF(Sheet3!E:E,Dash!B371)&gt;0,"Sim","Não")</f>
        <v>Não</v>
      </c>
      <c r="F371" s="2">
        <f>SUMIFS('NF-e de Entrada'!E:E,'NF-e de Entrada'!A:A,Dash!B371,'NF-e de Entrada'!F:F,"Autorizada")</f>
        <v>0</v>
      </c>
      <c r="G371" s="2">
        <f>SUMIFS('NF-e de Entrada'!E:E,'NF-e de Entrada'!A:A,Dash!B371,'NF-e de Entrada'!F:F,"Cancelada")</f>
        <v>0</v>
      </c>
      <c r="H371" s="2">
        <f>SUMIFS('NF-e de Saída'!E:E,'NF-e de Saída'!A:A,Dash!B371,'NF-e de Saída'!F:F,"AUTORIZADA")</f>
        <v>0</v>
      </c>
      <c r="I371" s="2">
        <f>SUMIFS('NF-e de Saída'!E:E,'NF-e de Saída'!A:A,Dash!B371,'NF-e de Saída'!F:F,"CANCELADA")</f>
        <v>0</v>
      </c>
    </row>
    <row r="372" spans="2:9" x14ac:dyDescent="0.3">
      <c r="B372">
        <v>645</v>
      </c>
      <c r="C372" t="s">
        <v>3170</v>
      </c>
      <c r="D372" t="s">
        <v>3646</v>
      </c>
      <c r="E372" t="str">
        <f>IF(COUNTIF(Sheet3!E:E,Dash!B372)&gt;0,"Sim","Não")</f>
        <v>Não</v>
      </c>
      <c r="F372" s="2">
        <f>SUMIFS('NF-e de Entrada'!E:E,'NF-e de Entrada'!A:A,Dash!B372,'NF-e de Entrada'!F:F,"Autorizada")</f>
        <v>0</v>
      </c>
      <c r="G372" s="2">
        <f>SUMIFS('NF-e de Entrada'!E:E,'NF-e de Entrada'!A:A,Dash!B372,'NF-e de Entrada'!F:F,"Cancelada")</f>
        <v>0</v>
      </c>
      <c r="H372" s="2">
        <f>SUMIFS('NF-e de Saída'!E:E,'NF-e de Saída'!A:A,Dash!B372,'NF-e de Saída'!F:F,"AUTORIZADA")</f>
        <v>0</v>
      </c>
      <c r="I372" s="2">
        <f>SUMIFS('NF-e de Saída'!E:E,'NF-e de Saída'!A:A,Dash!B372,'NF-e de Saída'!F:F,"CANCELADA")</f>
        <v>0</v>
      </c>
    </row>
    <row r="373" spans="2:9" x14ac:dyDescent="0.3">
      <c r="B373">
        <v>647</v>
      </c>
      <c r="C373" t="s">
        <v>3171</v>
      </c>
      <c r="D373" t="s">
        <v>2660</v>
      </c>
      <c r="E373" t="str">
        <f>IF(COUNTIF(Sheet3!E:E,Dash!B373)&gt;0,"Sim","Não")</f>
        <v>Sim</v>
      </c>
      <c r="F373" s="2">
        <f>SUMIFS('NF-e de Entrada'!E:E,'NF-e de Entrada'!A:A,Dash!B373,'NF-e de Entrada'!F:F,"Autorizada")</f>
        <v>0</v>
      </c>
      <c r="G373" s="2">
        <f>SUMIFS('NF-e de Entrada'!E:E,'NF-e de Entrada'!A:A,Dash!B373,'NF-e de Entrada'!F:F,"Cancelada")</f>
        <v>0</v>
      </c>
      <c r="H373" s="2">
        <f>SUMIFS('NF-e de Saída'!E:E,'NF-e de Saída'!A:A,Dash!B373,'NF-e de Saída'!F:F,"AUTORIZADA")</f>
        <v>0</v>
      </c>
      <c r="I373" s="2">
        <f>SUMIFS('NF-e de Saída'!E:E,'NF-e de Saída'!A:A,Dash!B373,'NF-e de Saída'!F:F,"CANCELADA")</f>
        <v>0</v>
      </c>
    </row>
    <row r="374" spans="2:9" x14ac:dyDescent="0.3">
      <c r="B374">
        <v>648</v>
      </c>
      <c r="C374" t="s">
        <v>3172</v>
      </c>
      <c r="D374" t="s">
        <v>3647</v>
      </c>
      <c r="E374" t="str">
        <f>IF(COUNTIF(Sheet3!E:E,Dash!B374)&gt;0,"Sim","Não")</f>
        <v>Não</v>
      </c>
      <c r="F374" s="2">
        <f>SUMIFS('NF-e de Entrada'!E:E,'NF-e de Entrada'!A:A,Dash!B374,'NF-e de Entrada'!F:F,"Autorizada")</f>
        <v>0</v>
      </c>
      <c r="G374" s="2">
        <f>SUMIFS('NF-e de Entrada'!E:E,'NF-e de Entrada'!A:A,Dash!B374,'NF-e de Entrada'!F:F,"Cancelada")</f>
        <v>0</v>
      </c>
      <c r="H374" s="2">
        <f>SUMIFS('NF-e de Saída'!E:E,'NF-e de Saída'!A:A,Dash!B374,'NF-e de Saída'!F:F,"AUTORIZADA")</f>
        <v>0</v>
      </c>
      <c r="I374" s="2">
        <f>SUMIFS('NF-e de Saída'!E:E,'NF-e de Saída'!A:A,Dash!B374,'NF-e de Saída'!F:F,"CANCELADA")</f>
        <v>0</v>
      </c>
    </row>
    <row r="375" spans="2:9" x14ac:dyDescent="0.3">
      <c r="B375">
        <v>649</v>
      </c>
      <c r="C375" t="s">
        <v>3173</v>
      </c>
      <c r="D375" t="s">
        <v>3648</v>
      </c>
      <c r="E375" t="str">
        <f>IF(COUNTIF(Sheet3!E:E,Dash!B375)&gt;0,"Sim","Não")</f>
        <v>Não</v>
      </c>
      <c r="F375" s="2">
        <f>SUMIFS('NF-e de Entrada'!E:E,'NF-e de Entrada'!A:A,Dash!B375,'NF-e de Entrada'!F:F,"Autorizada")</f>
        <v>0</v>
      </c>
      <c r="G375" s="2">
        <f>SUMIFS('NF-e de Entrada'!E:E,'NF-e de Entrada'!A:A,Dash!B375,'NF-e de Entrada'!F:F,"Cancelada")</f>
        <v>0</v>
      </c>
      <c r="H375" s="2">
        <f>SUMIFS('NF-e de Saída'!E:E,'NF-e de Saída'!A:A,Dash!B375,'NF-e de Saída'!F:F,"AUTORIZADA")</f>
        <v>0</v>
      </c>
      <c r="I375" s="2">
        <f>SUMIFS('NF-e de Saída'!E:E,'NF-e de Saída'!A:A,Dash!B375,'NF-e de Saída'!F:F,"CANCELADA")</f>
        <v>0</v>
      </c>
    </row>
    <row r="376" spans="2:9" x14ac:dyDescent="0.3">
      <c r="B376">
        <v>651</v>
      </c>
      <c r="C376" t="s">
        <v>3174</v>
      </c>
      <c r="D376" t="s">
        <v>3649</v>
      </c>
      <c r="E376" t="str">
        <f>IF(COUNTIF(Sheet3!E:E,Dash!B376)&gt;0,"Sim","Não")</f>
        <v>Não</v>
      </c>
      <c r="F376" s="2">
        <f>SUMIFS('NF-e de Entrada'!E:E,'NF-e de Entrada'!A:A,Dash!B376,'NF-e de Entrada'!F:F,"Autorizada")</f>
        <v>0</v>
      </c>
      <c r="G376" s="2">
        <f>SUMIFS('NF-e de Entrada'!E:E,'NF-e de Entrada'!A:A,Dash!B376,'NF-e de Entrada'!F:F,"Cancelada")</f>
        <v>0</v>
      </c>
      <c r="H376" s="2">
        <f>SUMIFS('NF-e de Saída'!E:E,'NF-e de Saída'!A:A,Dash!B376,'NF-e de Saída'!F:F,"AUTORIZADA")</f>
        <v>0</v>
      </c>
      <c r="I376" s="2">
        <f>SUMIFS('NF-e de Saída'!E:E,'NF-e de Saída'!A:A,Dash!B376,'NF-e de Saída'!F:F,"CANCELADA")</f>
        <v>0</v>
      </c>
    </row>
    <row r="377" spans="2:9" x14ac:dyDescent="0.3">
      <c r="B377">
        <v>652</v>
      </c>
      <c r="C377" t="s">
        <v>3175</v>
      </c>
      <c r="D377" t="s">
        <v>3650</v>
      </c>
      <c r="E377" t="str">
        <f>IF(COUNTIF(Sheet3!E:E,Dash!B377)&gt;0,"Sim","Não")</f>
        <v>Não</v>
      </c>
      <c r="F377" s="2">
        <f>SUMIFS('NF-e de Entrada'!E:E,'NF-e de Entrada'!A:A,Dash!B377,'NF-e de Entrada'!F:F,"Autorizada")</f>
        <v>0</v>
      </c>
      <c r="G377" s="2">
        <f>SUMIFS('NF-e de Entrada'!E:E,'NF-e de Entrada'!A:A,Dash!B377,'NF-e de Entrada'!F:F,"Cancelada")</f>
        <v>0</v>
      </c>
      <c r="H377" s="2">
        <f>SUMIFS('NF-e de Saída'!E:E,'NF-e de Saída'!A:A,Dash!B377,'NF-e de Saída'!F:F,"AUTORIZADA")</f>
        <v>0</v>
      </c>
      <c r="I377" s="2">
        <f>SUMIFS('NF-e de Saída'!E:E,'NF-e de Saída'!A:A,Dash!B377,'NF-e de Saída'!F:F,"CANCELADA")</f>
        <v>0</v>
      </c>
    </row>
    <row r="378" spans="2:9" x14ac:dyDescent="0.3">
      <c r="B378">
        <v>653</v>
      </c>
      <c r="C378" t="s">
        <v>3176</v>
      </c>
      <c r="D378" t="s">
        <v>3651</v>
      </c>
      <c r="E378" t="str">
        <f>IF(COUNTIF(Sheet3!E:E,Dash!B378)&gt;0,"Sim","Não")</f>
        <v>Não</v>
      </c>
      <c r="F378" s="2">
        <f>SUMIFS('NF-e de Entrada'!E:E,'NF-e de Entrada'!A:A,Dash!B378,'NF-e de Entrada'!F:F,"Autorizada")</f>
        <v>0</v>
      </c>
      <c r="G378" s="2">
        <f>SUMIFS('NF-e de Entrada'!E:E,'NF-e de Entrada'!A:A,Dash!B378,'NF-e de Entrada'!F:F,"Cancelada")</f>
        <v>0</v>
      </c>
      <c r="H378" s="2">
        <f>SUMIFS('NF-e de Saída'!E:E,'NF-e de Saída'!A:A,Dash!B378,'NF-e de Saída'!F:F,"AUTORIZADA")</f>
        <v>0</v>
      </c>
      <c r="I378" s="2">
        <f>SUMIFS('NF-e de Saída'!E:E,'NF-e de Saída'!A:A,Dash!B378,'NF-e de Saída'!F:F,"CANCELADA")</f>
        <v>0</v>
      </c>
    </row>
    <row r="379" spans="2:9" x14ac:dyDescent="0.3">
      <c r="B379">
        <v>654</v>
      </c>
      <c r="C379" t="s">
        <v>3177</v>
      </c>
      <c r="D379" t="s">
        <v>3652</v>
      </c>
      <c r="E379" t="str">
        <f>IF(COUNTIF(Sheet3!E:E,Dash!B379)&gt;0,"Sim","Não")</f>
        <v>Não</v>
      </c>
      <c r="F379" s="2">
        <f>SUMIFS('NF-e de Entrada'!E:E,'NF-e de Entrada'!A:A,Dash!B379,'NF-e de Entrada'!F:F,"Autorizada")</f>
        <v>0</v>
      </c>
      <c r="G379" s="2">
        <f>SUMIFS('NF-e de Entrada'!E:E,'NF-e de Entrada'!A:A,Dash!B379,'NF-e de Entrada'!F:F,"Cancelada")</f>
        <v>0</v>
      </c>
      <c r="H379" s="2">
        <f>SUMIFS('NF-e de Saída'!E:E,'NF-e de Saída'!A:A,Dash!B379,'NF-e de Saída'!F:F,"AUTORIZADA")</f>
        <v>0</v>
      </c>
      <c r="I379" s="2">
        <f>SUMIFS('NF-e de Saída'!E:E,'NF-e de Saída'!A:A,Dash!B379,'NF-e de Saída'!F:F,"CANCELADA")</f>
        <v>0</v>
      </c>
    </row>
    <row r="380" spans="2:9" x14ac:dyDescent="0.3">
      <c r="B380">
        <v>655</v>
      </c>
      <c r="C380" t="s">
        <v>3178</v>
      </c>
      <c r="D380" t="s">
        <v>3653</v>
      </c>
      <c r="E380" t="str">
        <f>IF(COUNTIF(Sheet3!E:E,Dash!B380)&gt;0,"Sim","Não")</f>
        <v>Não</v>
      </c>
      <c r="F380" s="2">
        <f>SUMIFS('NF-e de Entrada'!E:E,'NF-e de Entrada'!A:A,Dash!B380,'NF-e de Entrada'!F:F,"Autorizada")</f>
        <v>0</v>
      </c>
      <c r="G380" s="2">
        <f>SUMIFS('NF-e de Entrada'!E:E,'NF-e de Entrada'!A:A,Dash!B380,'NF-e de Entrada'!F:F,"Cancelada")</f>
        <v>0</v>
      </c>
      <c r="H380" s="2">
        <f>SUMIFS('NF-e de Saída'!E:E,'NF-e de Saída'!A:A,Dash!B380,'NF-e de Saída'!F:F,"AUTORIZADA")</f>
        <v>0</v>
      </c>
      <c r="I380" s="2">
        <f>SUMIFS('NF-e de Saída'!E:E,'NF-e de Saída'!A:A,Dash!B380,'NF-e de Saída'!F:F,"CANCELADA")</f>
        <v>0</v>
      </c>
    </row>
    <row r="381" spans="2:9" x14ac:dyDescent="0.3">
      <c r="B381">
        <v>656</v>
      </c>
      <c r="C381" t="s">
        <v>3179</v>
      </c>
      <c r="D381" t="s">
        <v>3654</v>
      </c>
      <c r="E381" t="str">
        <f>IF(COUNTIF(Sheet3!E:E,Dash!B381)&gt;0,"Sim","Não")</f>
        <v>Não</v>
      </c>
      <c r="F381" s="2">
        <f>SUMIFS('NF-e de Entrada'!E:E,'NF-e de Entrada'!A:A,Dash!B381,'NF-e de Entrada'!F:F,"Autorizada")</f>
        <v>0</v>
      </c>
      <c r="G381" s="2">
        <f>SUMIFS('NF-e de Entrada'!E:E,'NF-e de Entrada'!A:A,Dash!B381,'NF-e de Entrada'!F:F,"Cancelada")</f>
        <v>0</v>
      </c>
      <c r="H381" s="2">
        <f>SUMIFS('NF-e de Saída'!E:E,'NF-e de Saída'!A:A,Dash!B381,'NF-e de Saída'!F:F,"AUTORIZADA")</f>
        <v>0</v>
      </c>
      <c r="I381" s="2">
        <f>SUMIFS('NF-e de Saída'!E:E,'NF-e de Saída'!A:A,Dash!B381,'NF-e de Saída'!F:F,"CANCELADA")</f>
        <v>0</v>
      </c>
    </row>
    <row r="382" spans="2:9" x14ac:dyDescent="0.3">
      <c r="B382">
        <v>657</v>
      </c>
      <c r="C382" t="s">
        <v>3180</v>
      </c>
      <c r="D382" t="s">
        <v>3655</v>
      </c>
      <c r="E382" t="str">
        <f>IF(COUNTIF(Sheet3!E:E,Dash!B382)&gt;0,"Sim","Não")</f>
        <v>Não</v>
      </c>
      <c r="F382" s="2">
        <f>SUMIFS('NF-e de Entrada'!E:E,'NF-e de Entrada'!A:A,Dash!B382,'NF-e de Entrada'!F:F,"Autorizada")</f>
        <v>0</v>
      </c>
      <c r="G382" s="2">
        <f>SUMIFS('NF-e de Entrada'!E:E,'NF-e de Entrada'!A:A,Dash!B382,'NF-e de Entrada'!F:F,"Cancelada")</f>
        <v>0</v>
      </c>
      <c r="H382" s="2">
        <f>SUMIFS('NF-e de Saída'!E:E,'NF-e de Saída'!A:A,Dash!B382,'NF-e de Saída'!F:F,"AUTORIZADA")</f>
        <v>0</v>
      </c>
      <c r="I382" s="2">
        <f>SUMIFS('NF-e de Saída'!E:E,'NF-e de Saída'!A:A,Dash!B382,'NF-e de Saída'!F:F,"CANCELADA")</f>
        <v>0</v>
      </c>
    </row>
    <row r="383" spans="2:9" x14ac:dyDescent="0.3">
      <c r="B383">
        <v>658</v>
      </c>
      <c r="C383" t="s">
        <v>3181</v>
      </c>
      <c r="D383" t="s">
        <v>2656</v>
      </c>
      <c r="E383" t="str">
        <f>IF(COUNTIF(Sheet3!E:E,Dash!B383)&gt;0,"Sim","Não")</f>
        <v>Sim</v>
      </c>
      <c r="F383" s="2">
        <f>SUMIFS('NF-e de Entrada'!E:E,'NF-e de Entrada'!A:A,Dash!B383,'NF-e de Entrada'!F:F,"Autorizada")</f>
        <v>0</v>
      </c>
      <c r="G383" s="2">
        <f>SUMIFS('NF-e de Entrada'!E:E,'NF-e de Entrada'!A:A,Dash!B383,'NF-e de Entrada'!F:F,"Cancelada")</f>
        <v>0</v>
      </c>
      <c r="H383" s="2">
        <f>SUMIFS('NF-e de Saída'!E:E,'NF-e de Saída'!A:A,Dash!B383,'NF-e de Saída'!F:F,"AUTORIZADA")</f>
        <v>0</v>
      </c>
      <c r="I383" s="2">
        <f>SUMIFS('NF-e de Saída'!E:E,'NF-e de Saída'!A:A,Dash!B383,'NF-e de Saída'!F:F,"CANCELADA")</f>
        <v>0</v>
      </c>
    </row>
    <row r="384" spans="2:9" x14ac:dyDescent="0.3">
      <c r="B384">
        <v>659</v>
      </c>
      <c r="C384" t="s">
        <v>3182</v>
      </c>
      <c r="D384" t="s">
        <v>2547</v>
      </c>
      <c r="E384" t="str">
        <f>IF(COUNTIF(Sheet3!E:E,Dash!B384)&gt;0,"Sim","Não")</f>
        <v>Sim</v>
      </c>
      <c r="F384" s="2">
        <f>SUMIFS('NF-e de Entrada'!E:E,'NF-e de Entrada'!A:A,Dash!B384,'NF-e de Entrada'!F:F,"Autorizada")</f>
        <v>0</v>
      </c>
      <c r="G384" s="2">
        <f>SUMIFS('NF-e de Entrada'!E:E,'NF-e de Entrada'!A:A,Dash!B384,'NF-e de Entrada'!F:F,"Cancelada")</f>
        <v>0</v>
      </c>
      <c r="H384" s="2">
        <f>SUMIFS('NF-e de Saída'!E:E,'NF-e de Saída'!A:A,Dash!B384,'NF-e de Saída'!F:F,"AUTORIZADA")</f>
        <v>0</v>
      </c>
      <c r="I384" s="2">
        <f>SUMIFS('NF-e de Saída'!E:E,'NF-e de Saída'!A:A,Dash!B384,'NF-e de Saída'!F:F,"CANCELADA")</f>
        <v>0</v>
      </c>
    </row>
    <row r="385" spans="2:9" x14ac:dyDescent="0.3">
      <c r="B385">
        <v>662</v>
      </c>
      <c r="C385" t="s">
        <v>3183</v>
      </c>
      <c r="D385" t="s">
        <v>3656</v>
      </c>
      <c r="E385" t="str">
        <f>IF(COUNTIF(Sheet3!E:E,Dash!B385)&gt;0,"Sim","Não")</f>
        <v>Não</v>
      </c>
      <c r="F385" s="2">
        <f>SUMIFS('NF-e de Entrada'!E:E,'NF-e de Entrada'!A:A,Dash!B385,'NF-e de Entrada'!F:F,"Autorizada")</f>
        <v>0</v>
      </c>
      <c r="G385" s="2">
        <f>SUMIFS('NF-e de Entrada'!E:E,'NF-e de Entrada'!A:A,Dash!B385,'NF-e de Entrada'!F:F,"Cancelada")</f>
        <v>0</v>
      </c>
      <c r="H385" s="2">
        <f>SUMIFS('NF-e de Saída'!E:E,'NF-e de Saída'!A:A,Dash!B385,'NF-e de Saída'!F:F,"AUTORIZADA")</f>
        <v>0</v>
      </c>
      <c r="I385" s="2">
        <f>SUMIFS('NF-e de Saída'!E:E,'NF-e de Saída'!A:A,Dash!B385,'NF-e de Saída'!F:F,"CANCELADA")</f>
        <v>0</v>
      </c>
    </row>
    <row r="386" spans="2:9" x14ac:dyDescent="0.3">
      <c r="B386">
        <v>663</v>
      </c>
      <c r="C386" t="s">
        <v>3184</v>
      </c>
      <c r="D386" t="s">
        <v>3657</v>
      </c>
      <c r="E386" t="str">
        <f>IF(COUNTIF(Sheet3!E:E,Dash!B386)&gt;0,"Sim","Não")</f>
        <v>Não</v>
      </c>
      <c r="F386" s="2">
        <f>SUMIFS('NF-e de Entrada'!E:E,'NF-e de Entrada'!A:A,Dash!B386,'NF-e de Entrada'!F:F,"Autorizada")</f>
        <v>0</v>
      </c>
      <c r="G386" s="2">
        <f>SUMIFS('NF-e de Entrada'!E:E,'NF-e de Entrada'!A:A,Dash!B386,'NF-e de Entrada'!F:F,"Cancelada")</f>
        <v>0</v>
      </c>
      <c r="H386" s="2">
        <f>SUMIFS('NF-e de Saída'!E:E,'NF-e de Saída'!A:A,Dash!B386,'NF-e de Saída'!F:F,"AUTORIZADA")</f>
        <v>0</v>
      </c>
      <c r="I386" s="2">
        <f>SUMIFS('NF-e de Saída'!E:E,'NF-e de Saída'!A:A,Dash!B386,'NF-e de Saída'!F:F,"CANCELADA")</f>
        <v>0</v>
      </c>
    </row>
    <row r="387" spans="2:9" x14ac:dyDescent="0.3">
      <c r="B387">
        <v>664</v>
      </c>
      <c r="C387" t="s">
        <v>3185</v>
      </c>
      <c r="D387" t="s">
        <v>2550</v>
      </c>
      <c r="E387" t="str">
        <f>IF(COUNTIF(Sheet3!E:E,Dash!B387)&gt;0,"Sim","Não")</f>
        <v>Não</v>
      </c>
      <c r="F387" s="2">
        <f>SUMIFS('NF-e de Entrada'!E:E,'NF-e de Entrada'!A:A,Dash!B387,'NF-e de Entrada'!F:F,"Autorizada")</f>
        <v>0</v>
      </c>
      <c r="G387" s="2">
        <f>SUMIFS('NF-e de Entrada'!E:E,'NF-e de Entrada'!A:A,Dash!B387,'NF-e de Entrada'!F:F,"Cancelada")</f>
        <v>0</v>
      </c>
      <c r="H387" s="2">
        <f>SUMIFS('NF-e de Saída'!E:E,'NF-e de Saída'!A:A,Dash!B387,'NF-e de Saída'!F:F,"AUTORIZADA")</f>
        <v>0</v>
      </c>
      <c r="I387" s="2">
        <f>SUMIFS('NF-e de Saída'!E:E,'NF-e de Saída'!A:A,Dash!B387,'NF-e de Saída'!F:F,"CANCELADA")</f>
        <v>0</v>
      </c>
    </row>
    <row r="388" spans="2:9" x14ac:dyDescent="0.3">
      <c r="B388">
        <v>665</v>
      </c>
      <c r="C388" t="s">
        <v>3186</v>
      </c>
      <c r="D388" t="s">
        <v>3658</v>
      </c>
      <c r="E388" t="str">
        <f>IF(COUNTIF(Sheet3!E:E,Dash!B388)&gt;0,"Sim","Não")</f>
        <v>Não</v>
      </c>
      <c r="F388" s="2">
        <f>SUMIFS('NF-e de Entrada'!E:E,'NF-e de Entrada'!A:A,Dash!B388,'NF-e de Entrada'!F:F,"Autorizada")</f>
        <v>0</v>
      </c>
      <c r="G388" s="2">
        <f>SUMIFS('NF-e de Entrada'!E:E,'NF-e de Entrada'!A:A,Dash!B388,'NF-e de Entrada'!F:F,"Cancelada")</f>
        <v>0</v>
      </c>
      <c r="H388" s="2">
        <f>SUMIFS('NF-e de Saída'!E:E,'NF-e de Saída'!A:A,Dash!B388,'NF-e de Saída'!F:F,"AUTORIZADA")</f>
        <v>0</v>
      </c>
      <c r="I388" s="2">
        <f>SUMIFS('NF-e de Saída'!E:E,'NF-e de Saída'!A:A,Dash!B388,'NF-e de Saída'!F:F,"CANCELADA")</f>
        <v>0</v>
      </c>
    </row>
    <row r="389" spans="2:9" x14ac:dyDescent="0.3">
      <c r="B389">
        <v>666</v>
      </c>
      <c r="C389" t="s">
        <v>3187</v>
      </c>
      <c r="D389" t="s">
        <v>3659</v>
      </c>
      <c r="E389" t="str">
        <f>IF(COUNTIF(Sheet3!E:E,Dash!B389)&gt;0,"Sim","Não")</f>
        <v>Não</v>
      </c>
      <c r="F389" s="2">
        <f>SUMIFS('NF-e de Entrada'!E:E,'NF-e de Entrada'!A:A,Dash!B389,'NF-e de Entrada'!F:F,"Autorizada")</f>
        <v>0</v>
      </c>
      <c r="G389" s="2">
        <f>SUMIFS('NF-e de Entrada'!E:E,'NF-e de Entrada'!A:A,Dash!B389,'NF-e de Entrada'!F:F,"Cancelada")</f>
        <v>0</v>
      </c>
      <c r="H389" s="2">
        <f>SUMIFS('NF-e de Saída'!E:E,'NF-e de Saída'!A:A,Dash!B389,'NF-e de Saída'!F:F,"AUTORIZADA")</f>
        <v>0</v>
      </c>
      <c r="I389" s="2">
        <f>SUMIFS('NF-e de Saída'!E:E,'NF-e de Saída'!A:A,Dash!B389,'NF-e de Saída'!F:F,"CANCELADA")</f>
        <v>0</v>
      </c>
    </row>
    <row r="390" spans="2:9" x14ac:dyDescent="0.3">
      <c r="B390">
        <v>667</v>
      </c>
      <c r="C390" t="s">
        <v>3188</v>
      </c>
      <c r="D390" t="s">
        <v>3660</v>
      </c>
      <c r="E390" t="str">
        <f>IF(COUNTIF(Sheet3!E:E,Dash!B390)&gt;0,"Sim","Não")</f>
        <v>Não</v>
      </c>
      <c r="F390" s="2">
        <f>SUMIFS('NF-e de Entrada'!E:E,'NF-e de Entrada'!A:A,Dash!B390,'NF-e de Entrada'!F:F,"Autorizada")</f>
        <v>0</v>
      </c>
      <c r="G390" s="2">
        <f>SUMIFS('NF-e de Entrada'!E:E,'NF-e de Entrada'!A:A,Dash!B390,'NF-e de Entrada'!F:F,"Cancelada")</f>
        <v>0</v>
      </c>
      <c r="H390" s="2">
        <f>SUMIFS('NF-e de Saída'!E:E,'NF-e de Saída'!A:A,Dash!B390,'NF-e de Saída'!F:F,"AUTORIZADA")</f>
        <v>0</v>
      </c>
      <c r="I390" s="2">
        <f>SUMIFS('NF-e de Saída'!E:E,'NF-e de Saída'!A:A,Dash!B390,'NF-e de Saída'!F:F,"CANCELADA")</f>
        <v>0</v>
      </c>
    </row>
    <row r="391" spans="2:9" x14ac:dyDescent="0.3">
      <c r="B391">
        <v>668</v>
      </c>
      <c r="C391" t="s">
        <v>3189</v>
      </c>
      <c r="D391" t="s">
        <v>3661</v>
      </c>
      <c r="E391" t="str">
        <f>IF(COUNTIF(Sheet3!E:E,Dash!B391)&gt;0,"Sim","Não")</f>
        <v>Não</v>
      </c>
      <c r="F391" s="2">
        <f>SUMIFS('NF-e de Entrada'!E:E,'NF-e de Entrada'!A:A,Dash!B391,'NF-e de Entrada'!F:F,"Autorizada")</f>
        <v>0</v>
      </c>
      <c r="G391" s="2">
        <f>SUMIFS('NF-e de Entrada'!E:E,'NF-e de Entrada'!A:A,Dash!B391,'NF-e de Entrada'!F:F,"Cancelada")</f>
        <v>0</v>
      </c>
      <c r="H391" s="2">
        <f>SUMIFS('NF-e de Saída'!E:E,'NF-e de Saída'!A:A,Dash!B391,'NF-e de Saída'!F:F,"AUTORIZADA")</f>
        <v>0</v>
      </c>
      <c r="I391" s="2">
        <f>SUMIFS('NF-e de Saída'!E:E,'NF-e de Saída'!A:A,Dash!B391,'NF-e de Saída'!F:F,"CANCELADA")</f>
        <v>0</v>
      </c>
    </row>
    <row r="392" spans="2:9" x14ac:dyDescent="0.3">
      <c r="B392">
        <v>669</v>
      </c>
      <c r="C392" t="s">
        <v>3190</v>
      </c>
      <c r="D392" t="s">
        <v>3662</v>
      </c>
      <c r="E392" t="str">
        <f>IF(COUNTIF(Sheet3!E:E,Dash!B392)&gt;0,"Sim","Não")</f>
        <v>Não</v>
      </c>
      <c r="F392" s="2">
        <f>SUMIFS('NF-e de Entrada'!E:E,'NF-e de Entrada'!A:A,Dash!B392,'NF-e de Entrada'!F:F,"Autorizada")</f>
        <v>0</v>
      </c>
      <c r="G392" s="2">
        <f>SUMIFS('NF-e de Entrada'!E:E,'NF-e de Entrada'!A:A,Dash!B392,'NF-e de Entrada'!F:F,"Cancelada")</f>
        <v>0</v>
      </c>
      <c r="H392" s="2">
        <f>SUMIFS('NF-e de Saída'!E:E,'NF-e de Saída'!A:A,Dash!B392,'NF-e de Saída'!F:F,"AUTORIZADA")</f>
        <v>0</v>
      </c>
      <c r="I392" s="2">
        <f>SUMIFS('NF-e de Saída'!E:E,'NF-e de Saída'!A:A,Dash!B392,'NF-e de Saída'!F:F,"CANCELADA")</f>
        <v>0</v>
      </c>
    </row>
    <row r="393" spans="2:9" x14ac:dyDescent="0.3">
      <c r="B393">
        <v>671</v>
      </c>
      <c r="C393" t="s">
        <v>3191</v>
      </c>
      <c r="D393" t="s">
        <v>3663</v>
      </c>
      <c r="E393" t="str">
        <f>IF(COUNTIF(Sheet3!E:E,Dash!B393)&gt;0,"Sim","Não")</f>
        <v>Não</v>
      </c>
      <c r="F393" s="2">
        <f>SUMIFS('NF-e de Entrada'!E:E,'NF-e de Entrada'!A:A,Dash!B393,'NF-e de Entrada'!F:F,"Autorizada")</f>
        <v>0</v>
      </c>
      <c r="G393" s="2">
        <f>SUMIFS('NF-e de Entrada'!E:E,'NF-e de Entrada'!A:A,Dash!B393,'NF-e de Entrada'!F:F,"Cancelada")</f>
        <v>0</v>
      </c>
      <c r="H393" s="2">
        <f>SUMIFS('NF-e de Saída'!E:E,'NF-e de Saída'!A:A,Dash!B393,'NF-e de Saída'!F:F,"AUTORIZADA")</f>
        <v>0</v>
      </c>
      <c r="I393" s="2">
        <f>SUMIFS('NF-e de Saída'!E:E,'NF-e de Saída'!A:A,Dash!B393,'NF-e de Saída'!F:F,"CANCELADA")</f>
        <v>0</v>
      </c>
    </row>
    <row r="394" spans="2:9" x14ac:dyDescent="0.3">
      <c r="B394">
        <v>673</v>
      </c>
      <c r="C394" t="s">
        <v>3192</v>
      </c>
      <c r="D394" t="s">
        <v>3664</v>
      </c>
      <c r="E394" t="str">
        <f>IF(COUNTIF(Sheet3!E:E,Dash!B394)&gt;0,"Sim","Não")</f>
        <v>Sim</v>
      </c>
      <c r="F394" s="2">
        <f>SUMIFS('NF-e de Entrada'!E:E,'NF-e de Entrada'!A:A,Dash!B394,'NF-e de Entrada'!F:F,"Autorizada")</f>
        <v>0</v>
      </c>
      <c r="G394" s="2">
        <f>SUMIFS('NF-e de Entrada'!E:E,'NF-e de Entrada'!A:A,Dash!B394,'NF-e de Entrada'!F:F,"Cancelada")</f>
        <v>0</v>
      </c>
      <c r="H394" s="2">
        <f>SUMIFS('NF-e de Saída'!E:E,'NF-e de Saída'!A:A,Dash!B394,'NF-e de Saída'!F:F,"AUTORIZADA")</f>
        <v>0</v>
      </c>
      <c r="I394" s="2">
        <f>SUMIFS('NF-e de Saída'!E:E,'NF-e de Saída'!A:A,Dash!B394,'NF-e de Saída'!F:F,"CANCELADA")</f>
        <v>0</v>
      </c>
    </row>
    <row r="395" spans="2:9" x14ac:dyDescent="0.3">
      <c r="B395">
        <v>674</v>
      </c>
      <c r="C395" t="s">
        <v>3193</v>
      </c>
      <c r="D395" t="s">
        <v>3665</v>
      </c>
      <c r="E395" t="str">
        <f>IF(COUNTIF(Sheet3!E:E,Dash!B395)&gt;0,"Sim","Não")</f>
        <v>Não</v>
      </c>
      <c r="F395" s="2">
        <f>SUMIFS('NF-e de Entrada'!E:E,'NF-e de Entrada'!A:A,Dash!B395,'NF-e de Entrada'!F:F,"Autorizada")</f>
        <v>0</v>
      </c>
      <c r="G395" s="2">
        <f>SUMIFS('NF-e de Entrada'!E:E,'NF-e de Entrada'!A:A,Dash!B395,'NF-e de Entrada'!F:F,"Cancelada")</f>
        <v>0</v>
      </c>
      <c r="H395" s="2">
        <f>SUMIFS('NF-e de Saída'!E:E,'NF-e de Saída'!A:A,Dash!B395,'NF-e de Saída'!F:F,"AUTORIZADA")</f>
        <v>0</v>
      </c>
      <c r="I395" s="2">
        <f>SUMIFS('NF-e de Saída'!E:E,'NF-e de Saída'!A:A,Dash!B395,'NF-e de Saída'!F:F,"CANCELADA")</f>
        <v>0</v>
      </c>
    </row>
    <row r="396" spans="2:9" x14ac:dyDescent="0.3">
      <c r="B396">
        <v>675</v>
      </c>
      <c r="C396" t="s">
        <v>3194</v>
      </c>
      <c r="D396" t="s">
        <v>2751</v>
      </c>
      <c r="E396" t="str">
        <f>IF(COUNTIF(Sheet3!E:E,Dash!B396)&gt;0,"Sim","Não")</f>
        <v>Sim</v>
      </c>
      <c r="F396" s="2">
        <f>SUMIFS('NF-e de Entrada'!E:E,'NF-e de Entrada'!A:A,Dash!B396,'NF-e de Entrada'!F:F,"Autorizada")</f>
        <v>0</v>
      </c>
      <c r="G396" s="2">
        <f>SUMIFS('NF-e de Entrada'!E:E,'NF-e de Entrada'!A:A,Dash!B396,'NF-e de Entrada'!F:F,"Cancelada")</f>
        <v>0</v>
      </c>
      <c r="H396" s="2">
        <f>SUMIFS('NF-e de Saída'!E:E,'NF-e de Saída'!A:A,Dash!B396,'NF-e de Saída'!F:F,"AUTORIZADA")</f>
        <v>0</v>
      </c>
      <c r="I396" s="2">
        <f>SUMIFS('NF-e de Saída'!E:E,'NF-e de Saída'!A:A,Dash!B396,'NF-e de Saída'!F:F,"CANCELADA")</f>
        <v>0</v>
      </c>
    </row>
    <row r="397" spans="2:9" x14ac:dyDescent="0.3">
      <c r="B397">
        <v>676</v>
      </c>
      <c r="C397" t="s">
        <v>3195</v>
      </c>
      <c r="D397" t="s">
        <v>3666</v>
      </c>
      <c r="E397" t="str">
        <f>IF(COUNTIF(Sheet3!E:E,Dash!B397)&gt;0,"Sim","Não")</f>
        <v>Não</v>
      </c>
      <c r="F397" s="2">
        <f>SUMIFS('NF-e de Entrada'!E:E,'NF-e de Entrada'!A:A,Dash!B397,'NF-e de Entrada'!F:F,"Autorizada")</f>
        <v>0</v>
      </c>
      <c r="G397" s="2">
        <f>SUMIFS('NF-e de Entrada'!E:E,'NF-e de Entrada'!A:A,Dash!B397,'NF-e de Entrada'!F:F,"Cancelada")</f>
        <v>0</v>
      </c>
      <c r="H397" s="2">
        <f>SUMIFS('NF-e de Saída'!E:E,'NF-e de Saída'!A:A,Dash!B397,'NF-e de Saída'!F:F,"AUTORIZADA")</f>
        <v>0</v>
      </c>
      <c r="I397" s="2">
        <f>SUMIFS('NF-e de Saída'!E:E,'NF-e de Saída'!A:A,Dash!B397,'NF-e de Saída'!F:F,"CANCELADA")</f>
        <v>0</v>
      </c>
    </row>
    <row r="398" spans="2:9" x14ac:dyDescent="0.3">
      <c r="B398">
        <v>677</v>
      </c>
      <c r="C398" t="s">
        <v>3196</v>
      </c>
      <c r="D398" t="s">
        <v>3667</v>
      </c>
      <c r="E398" t="str">
        <f>IF(COUNTIF(Sheet3!E:E,Dash!B398)&gt;0,"Sim","Não")</f>
        <v>Não</v>
      </c>
      <c r="F398" s="2">
        <f>SUMIFS('NF-e de Entrada'!E:E,'NF-e de Entrada'!A:A,Dash!B398,'NF-e de Entrada'!F:F,"Autorizada")</f>
        <v>0</v>
      </c>
      <c r="G398" s="2">
        <f>SUMIFS('NF-e de Entrada'!E:E,'NF-e de Entrada'!A:A,Dash!B398,'NF-e de Entrada'!F:F,"Cancelada")</f>
        <v>0</v>
      </c>
      <c r="H398" s="2">
        <f>SUMIFS('NF-e de Saída'!E:E,'NF-e de Saída'!A:A,Dash!B398,'NF-e de Saída'!F:F,"AUTORIZADA")</f>
        <v>0</v>
      </c>
      <c r="I398" s="2">
        <f>SUMIFS('NF-e de Saída'!E:E,'NF-e de Saída'!A:A,Dash!B398,'NF-e de Saída'!F:F,"CANCELADA")</f>
        <v>0</v>
      </c>
    </row>
    <row r="399" spans="2:9" x14ac:dyDescent="0.3">
      <c r="B399">
        <v>679</v>
      </c>
      <c r="C399" t="s">
        <v>3197</v>
      </c>
      <c r="D399" t="s">
        <v>2503</v>
      </c>
      <c r="E399" t="str">
        <f>IF(COUNTIF(Sheet3!E:E,Dash!B399)&gt;0,"Sim","Não")</f>
        <v>Sim</v>
      </c>
      <c r="F399" s="2">
        <f>SUMIFS('NF-e de Entrada'!E:E,'NF-e de Entrada'!A:A,Dash!B399,'NF-e de Entrada'!F:F,"Autorizada")</f>
        <v>68037.19</v>
      </c>
      <c r="G399" s="2">
        <f>SUMIFS('NF-e de Entrada'!E:E,'NF-e de Entrada'!A:A,Dash!B399,'NF-e de Entrada'!F:F,"Cancelada")</f>
        <v>0</v>
      </c>
      <c r="H399" s="2">
        <f>SUMIFS('NF-e de Saída'!E:E,'NF-e de Saída'!A:A,Dash!B399,'NF-e de Saída'!F:F,"AUTORIZADA")</f>
        <v>0</v>
      </c>
      <c r="I399" s="2">
        <f>SUMIFS('NF-e de Saída'!E:E,'NF-e de Saída'!A:A,Dash!B399,'NF-e de Saída'!F:F,"CANCELADA")</f>
        <v>0</v>
      </c>
    </row>
    <row r="400" spans="2:9" x14ac:dyDescent="0.3">
      <c r="B400">
        <v>680</v>
      </c>
      <c r="C400" t="s">
        <v>3198</v>
      </c>
      <c r="D400" t="s">
        <v>2780</v>
      </c>
      <c r="E400" t="str">
        <f>IF(COUNTIF(Sheet3!E:E,Dash!B400)&gt;0,"Sim","Não")</f>
        <v>Sim</v>
      </c>
      <c r="F400" s="2">
        <f>SUMIFS('NF-e de Entrada'!E:E,'NF-e de Entrada'!A:A,Dash!B400,'NF-e de Entrada'!F:F,"Autorizada")</f>
        <v>0</v>
      </c>
      <c r="G400" s="2">
        <f>SUMIFS('NF-e de Entrada'!E:E,'NF-e de Entrada'!A:A,Dash!B400,'NF-e de Entrada'!F:F,"Cancelada")</f>
        <v>0</v>
      </c>
      <c r="H400" s="2">
        <f>SUMIFS('NF-e de Saída'!E:E,'NF-e de Saída'!A:A,Dash!B400,'NF-e de Saída'!F:F,"AUTORIZADA")</f>
        <v>0</v>
      </c>
      <c r="I400" s="2">
        <f>SUMIFS('NF-e de Saída'!E:E,'NF-e de Saída'!A:A,Dash!B400,'NF-e de Saída'!F:F,"CANCELADA")</f>
        <v>0</v>
      </c>
    </row>
    <row r="401" spans="2:9" x14ac:dyDescent="0.3">
      <c r="B401">
        <v>681</v>
      </c>
      <c r="C401" t="s">
        <v>3199</v>
      </c>
      <c r="D401" t="s">
        <v>3668</v>
      </c>
      <c r="E401" t="str">
        <f>IF(COUNTIF(Sheet3!E:E,Dash!B401)&gt;0,"Sim","Não")</f>
        <v>Sim</v>
      </c>
      <c r="F401" s="2">
        <f>SUMIFS('NF-e de Entrada'!E:E,'NF-e de Entrada'!A:A,Dash!B401,'NF-e de Entrada'!F:F,"Autorizada")</f>
        <v>0</v>
      </c>
      <c r="G401" s="2">
        <f>SUMIFS('NF-e de Entrada'!E:E,'NF-e de Entrada'!A:A,Dash!B401,'NF-e de Entrada'!F:F,"Cancelada")</f>
        <v>0</v>
      </c>
      <c r="H401" s="2">
        <f>SUMIFS('NF-e de Saída'!E:E,'NF-e de Saída'!A:A,Dash!B401,'NF-e de Saída'!F:F,"AUTORIZADA")</f>
        <v>0</v>
      </c>
      <c r="I401" s="2">
        <f>SUMIFS('NF-e de Saída'!E:E,'NF-e de Saída'!A:A,Dash!B401,'NF-e de Saída'!F:F,"CANCELADA")</f>
        <v>0</v>
      </c>
    </row>
    <row r="402" spans="2:9" x14ac:dyDescent="0.3">
      <c r="B402">
        <v>682</v>
      </c>
      <c r="C402" t="s">
        <v>3200</v>
      </c>
      <c r="D402" t="s">
        <v>3669</v>
      </c>
      <c r="E402" t="str">
        <f>IF(COUNTIF(Sheet3!E:E,Dash!B402)&gt;0,"Sim","Não")</f>
        <v>Não</v>
      </c>
      <c r="F402" s="2">
        <f>SUMIFS('NF-e de Entrada'!E:E,'NF-e de Entrada'!A:A,Dash!B402,'NF-e de Entrada'!F:F,"Autorizada")</f>
        <v>0</v>
      </c>
      <c r="G402" s="2">
        <f>SUMIFS('NF-e de Entrada'!E:E,'NF-e de Entrada'!A:A,Dash!B402,'NF-e de Entrada'!F:F,"Cancelada")</f>
        <v>0</v>
      </c>
      <c r="H402" s="2">
        <f>SUMIFS('NF-e de Saída'!E:E,'NF-e de Saída'!A:A,Dash!B402,'NF-e de Saída'!F:F,"AUTORIZADA")</f>
        <v>0</v>
      </c>
      <c r="I402" s="2">
        <f>SUMIFS('NF-e de Saída'!E:E,'NF-e de Saída'!A:A,Dash!B402,'NF-e de Saída'!F:F,"CANCELADA")</f>
        <v>0</v>
      </c>
    </row>
    <row r="403" spans="2:9" x14ac:dyDescent="0.3">
      <c r="B403">
        <v>683</v>
      </c>
      <c r="C403" t="s">
        <v>3201</v>
      </c>
      <c r="D403" t="s">
        <v>3670</v>
      </c>
      <c r="E403" t="str">
        <f>IF(COUNTIF(Sheet3!E:E,Dash!B403)&gt;0,"Sim","Não")</f>
        <v>Não</v>
      </c>
      <c r="F403" s="2">
        <f>SUMIFS('NF-e de Entrada'!E:E,'NF-e de Entrada'!A:A,Dash!B403,'NF-e de Entrada'!F:F,"Autorizada")</f>
        <v>0</v>
      </c>
      <c r="G403" s="2">
        <f>SUMIFS('NF-e de Entrada'!E:E,'NF-e de Entrada'!A:A,Dash!B403,'NF-e de Entrada'!F:F,"Cancelada")</f>
        <v>0</v>
      </c>
      <c r="H403" s="2">
        <f>SUMIFS('NF-e de Saída'!E:E,'NF-e de Saída'!A:A,Dash!B403,'NF-e de Saída'!F:F,"AUTORIZADA")</f>
        <v>0</v>
      </c>
      <c r="I403" s="2">
        <f>SUMIFS('NF-e de Saída'!E:E,'NF-e de Saída'!A:A,Dash!B403,'NF-e de Saída'!F:F,"CANCELADA")</f>
        <v>0</v>
      </c>
    </row>
    <row r="404" spans="2:9" x14ac:dyDescent="0.3">
      <c r="B404">
        <v>685</v>
      </c>
      <c r="C404" t="s">
        <v>3202</v>
      </c>
      <c r="D404" t="s">
        <v>3671</v>
      </c>
      <c r="E404" t="str">
        <f>IF(COUNTIF(Sheet3!E:E,Dash!B404)&gt;0,"Sim","Não")</f>
        <v>Não</v>
      </c>
      <c r="F404" s="2">
        <f>SUMIFS('NF-e de Entrada'!E:E,'NF-e de Entrada'!A:A,Dash!B404,'NF-e de Entrada'!F:F,"Autorizada")</f>
        <v>0</v>
      </c>
      <c r="G404" s="2">
        <f>SUMIFS('NF-e de Entrada'!E:E,'NF-e de Entrada'!A:A,Dash!B404,'NF-e de Entrada'!F:F,"Cancelada")</f>
        <v>0</v>
      </c>
      <c r="H404" s="2">
        <f>SUMIFS('NF-e de Saída'!E:E,'NF-e de Saída'!A:A,Dash!B404,'NF-e de Saída'!F:F,"AUTORIZADA")</f>
        <v>0</v>
      </c>
      <c r="I404" s="2">
        <f>SUMIFS('NF-e de Saída'!E:E,'NF-e de Saída'!A:A,Dash!B404,'NF-e de Saída'!F:F,"CANCELADA")</f>
        <v>0</v>
      </c>
    </row>
    <row r="405" spans="2:9" x14ac:dyDescent="0.3">
      <c r="B405">
        <v>686</v>
      </c>
      <c r="C405" t="s">
        <v>3203</v>
      </c>
      <c r="D405" t="s">
        <v>3672</v>
      </c>
      <c r="E405" t="str">
        <f>IF(COUNTIF(Sheet3!E:E,Dash!B405)&gt;0,"Sim","Não")</f>
        <v>Não</v>
      </c>
      <c r="F405" s="2">
        <f>SUMIFS('NF-e de Entrada'!E:E,'NF-e de Entrada'!A:A,Dash!B405,'NF-e de Entrada'!F:F,"Autorizada")</f>
        <v>0</v>
      </c>
      <c r="G405" s="2">
        <f>SUMIFS('NF-e de Entrada'!E:E,'NF-e de Entrada'!A:A,Dash!B405,'NF-e de Entrada'!F:F,"Cancelada")</f>
        <v>0</v>
      </c>
      <c r="H405" s="2">
        <f>SUMIFS('NF-e de Saída'!E:E,'NF-e de Saída'!A:A,Dash!B405,'NF-e de Saída'!F:F,"AUTORIZADA")</f>
        <v>0</v>
      </c>
      <c r="I405" s="2">
        <f>SUMIFS('NF-e de Saída'!E:E,'NF-e de Saída'!A:A,Dash!B405,'NF-e de Saída'!F:F,"CANCELADA")</f>
        <v>0</v>
      </c>
    </row>
    <row r="406" spans="2:9" x14ac:dyDescent="0.3">
      <c r="B406">
        <v>687</v>
      </c>
      <c r="C406" t="s">
        <v>3204</v>
      </c>
      <c r="D406" t="s">
        <v>3673</v>
      </c>
      <c r="E406" t="str">
        <f>IF(COUNTIF(Sheet3!E:E,Dash!B406)&gt;0,"Sim","Não")</f>
        <v>Não</v>
      </c>
      <c r="F406" s="2">
        <f>SUMIFS('NF-e de Entrada'!E:E,'NF-e de Entrada'!A:A,Dash!B406,'NF-e de Entrada'!F:F,"Autorizada")</f>
        <v>0</v>
      </c>
      <c r="G406" s="2">
        <f>SUMIFS('NF-e de Entrada'!E:E,'NF-e de Entrada'!A:A,Dash!B406,'NF-e de Entrada'!F:F,"Cancelada")</f>
        <v>0</v>
      </c>
      <c r="H406" s="2">
        <f>SUMIFS('NF-e de Saída'!E:E,'NF-e de Saída'!A:A,Dash!B406,'NF-e de Saída'!F:F,"AUTORIZADA")</f>
        <v>0</v>
      </c>
      <c r="I406" s="2">
        <f>SUMIFS('NF-e de Saída'!E:E,'NF-e de Saída'!A:A,Dash!B406,'NF-e de Saída'!F:F,"CANCELADA")</f>
        <v>0</v>
      </c>
    </row>
    <row r="407" spans="2:9" x14ac:dyDescent="0.3">
      <c r="B407">
        <v>688</v>
      </c>
      <c r="C407" t="s">
        <v>3205</v>
      </c>
      <c r="D407" t="s">
        <v>3674</v>
      </c>
      <c r="E407" t="str">
        <f>IF(COUNTIF(Sheet3!E:E,Dash!B407)&gt;0,"Sim","Não")</f>
        <v>Não</v>
      </c>
      <c r="F407" s="2">
        <f>SUMIFS('NF-e de Entrada'!E:E,'NF-e de Entrada'!A:A,Dash!B407,'NF-e de Entrada'!F:F,"Autorizada")</f>
        <v>0</v>
      </c>
      <c r="G407" s="2">
        <f>SUMIFS('NF-e de Entrada'!E:E,'NF-e de Entrada'!A:A,Dash!B407,'NF-e de Entrada'!F:F,"Cancelada")</f>
        <v>0</v>
      </c>
      <c r="H407" s="2">
        <f>SUMIFS('NF-e de Saída'!E:E,'NF-e de Saída'!A:A,Dash!B407,'NF-e de Saída'!F:F,"AUTORIZADA")</f>
        <v>0</v>
      </c>
      <c r="I407" s="2">
        <f>SUMIFS('NF-e de Saída'!E:E,'NF-e de Saída'!A:A,Dash!B407,'NF-e de Saída'!F:F,"CANCELADA")</f>
        <v>0</v>
      </c>
    </row>
    <row r="408" spans="2:9" x14ac:dyDescent="0.3">
      <c r="B408">
        <v>689</v>
      </c>
      <c r="C408" t="s">
        <v>3206</v>
      </c>
      <c r="D408" t="s">
        <v>3675</v>
      </c>
      <c r="E408" t="str">
        <f>IF(COUNTIF(Sheet3!E:E,Dash!B408)&gt;0,"Sim","Não")</f>
        <v>Não</v>
      </c>
      <c r="F408" s="2">
        <f>SUMIFS('NF-e de Entrada'!E:E,'NF-e de Entrada'!A:A,Dash!B408,'NF-e de Entrada'!F:F,"Autorizada")</f>
        <v>0</v>
      </c>
      <c r="G408" s="2">
        <f>SUMIFS('NF-e de Entrada'!E:E,'NF-e de Entrada'!A:A,Dash!B408,'NF-e de Entrada'!F:F,"Cancelada")</f>
        <v>0</v>
      </c>
      <c r="H408" s="2">
        <f>SUMIFS('NF-e de Saída'!E:E,'NF-e de Saída'!A:A,Dash!B408,'NF-e de Saída'!F:F,"AUTORIZADA")</f>
        <v>0</v>
      </c>
      <c r="I408" s="2">
        <f>SUMIFS('NF-e de Saída'!E:E,'NF-e de Saída'!A:A,Dash!B408,'NF-e de Saída'!F:F,"CANCELADA")</f>
        <v>0</v>
      </c>
    </row>
    <row r="409" spans="2:9" x14ac:dyDescent="0.3">
      <c r="B409">
        <v>691</v>
      </c>
      <c r="C409" t="s">
        <v>3207</v>
      </c>
      <c r="D409" t="s">
        <v>3676</v>
      </c>
      <c r="E409" t="str">
        <f>IF(COUNTIF(Sheet3!E:E,Dash!B409)&gt;0,"Sim","Não")</f>
        <v>Não</v>
      </c>
      <c r="F409" s="2">
        <f>SUMIFS('NF-e de Entrada'!E:E,'NF-e de Entrada'!A:A,Dash!B409,'NF-e de Entrada'!F:F,"Autorizada")</f>
        <v>0</v>
      </c>
      <c r="G409" s="2">
        <f>SUMIFS('NF-e de Entrada'!E:E,'NF-e de Entrada'!A:A,Dash!B409,'NF-e de Entrada'!F:F,"Cancelada")</f>
        <v>0</v>
      </c>
      <c r="H409" s="2">
        <f>SUMIFS('NF-e de Saída'!E:E,'NF-e de Saída'!A:A,Dash!B409,'NF-e de Saída'!F:F,"AUTORIZADA")</f>
        <v>0</v>
      </c>
      <c r="I409" s="2">
        <f>SUMIFS('NF-e de Saída'!E:E,'NF-e de Saída'!A:A,Dash!B409,'NF-e de Saída'!F:F,"CANCELADA")</f>
        <v>0</v>
      </c>
    </row>
    <row r="410" spans="2:9" x14ac:dyDescent="0.3">
      <c r="B410">
        <v>692</v>
      </c>
      <c r="C410" t="s">
        <v>3208</v>
      </c>
      <c r="D410" t="s">
        <v>3677</v>
      </c>
      <c r="E410" t="str">
        <f>IF(COUNTIF(Sheet3!E:E,Dash!B410)&gt;0,"Sim","Não")</f>
        <v>Não</v>
      </c>
      <c r="F410" s="2">
        <f>SUMIFS('NF-e de Entrada'!E:E,'NF-e de Entrada'!A:A,Dash!B410,'NF-e de Entrada'!F:F,"Autorizada")</f>
        <v>0</v>
      </c>
      <c r="G410" s="2">
        <f>SUMIFS('NF-e de Entrada'!E:E,'NF-e de Entrada'!A:A,Dash!B410,'NF-e de Entrada'!F:F,"Cancelada")</f>
        <v>0</v>
      </c>
      <c r="H410" s="2">
        <f>SUMIFS('NF-e de Saída'!E:E,'NF-e de Saída'!A:A,Dash!B410,'NF-e de Saída'!F:F,"AUTORIZADA")</f>
        <v>0</v>
      </c>
      <c r="I410" s="2">
        <f>SUMIFS('NF-e de Saída'!E:E,'NF-e de Saída'!A:A,Dash!B410,'NF-e de Saída'!F:F,"CANCELADA")</f>
        <v>0</v>
      </c>
    </row>
    <row r="411" spans="2:9" x14ac:dyDescent="0.3">
      <c r="B411">
        <v>693</v>
      </c>
      <c r="C411" t="s">
        <v>3209</v>
      </c>
      <c r="D411" t="s">
        <v>3678</v>
      </c>
      <c r="E411" t="str">
        <f>IF(COUNTIF(Sheet3!E:E,Dash!B411)&gt;0,"Sim","Não")</f>
        <v>Não</v>
      </c>
      <c r="F411" s="2">
        <f>SUMIFS('NF-e de Entrada'!E:E,'NF-e de Entrada'!A:A,Dash!B411,'NF-e de Entrada'!F:F,"Autorizada")</f>
        <v>0</v>
      </c>
      <c r="G411" s="2">
        <f>SUMIFS('NF-e de Entrada'!E:E,'NF-e de Entrada'!A:A,Dash!B411,'NF-e de Entrada'!F:F,"Cancelada")</f>
        <v>0</v>
      </c>
      <c r="H411" s="2">
        <f>SUMIFS('NF-e de Saída'!E:E,'NF-e de Saída'!A:A,Dash!B411,'NF-e de Saída'!F:F,"AUTORIZADA")</f>
        <v>0</v>
      </c>
      <c r="I411" s="2">
        <f>SUMIFS('NF-e de Saída'!E:E,'NF-e de Saída'!A:A,Dash!B411,'NF-e de Saída'!F:F,"CANCELADA")</f>
        <v>0</v>
      </c>
    </row>
    <row r="412" spans="2:9" x14ac:dyDescent="0.3">
      <c r="B412">
        <v>695</v>
      </c>
      <c r="C412" t="s">
        <v>3210</v>
      </c>
      <c r="D412" t="s">
        <v>3679</v>
      </c>
      <c r="E412" t="str">
        <f>IF(COUNTIF(Sheet3!E:E,Dash!B412)&gt;0,"Sim","Não")</f>
        <v>Não</v>
      </c>
      <c r="F412" s="2">
        <f>SUMIFS('NF-e de Entrada'!E:E,'NF-e de Entrada'!A:A,Dash!B412,'NF-e de Entrada'!F:F,"Autorizada")</f>
        <v>0</v>
      </c>
      <c r="G412" s="2">
        <f>SUMIFS('NF-e de Entrada'!E:E,'NF-e de Entrada'!A:A,Dash!B412,'NF-e de Entrada'!F:F,"Cancelada")</f>
        <v>0</v>
      </c>
      <c r="H412" s="2">
        <f>SUMIFS('NF-e de Saída'!E:E,'NF-e de Saída'!A:A,Dash!B412,'NF-e de Saída'!F:F,"AUTORIZADA")</f>
        <v>0</v>
      </c>
      <c r="I412" s="2">
        <f>SUMIFS('NF-e de Saída'!E:E,'NF-e de Saída'!A:A,Dash!B412,'NF-e de Saída'!F:F,"CANCELADA")</f>
        <v>0</v>
      </c>
    </row>
    <row r="413" spans="2:9" x14ac:dyDescent="0.3">
      <c r="B413">
        <v>696</v>
      </c>
      <c r="C413" t="s">
        <v>3211</v>
      </c>
      <c r="D413" t="s">
        <v>3680</v>
      </c>
      <c r="E413" t="str">
        <f>IF(COUNTIF(Sheet3!E:E,Dash!B413)&gt;0,"Sim","Não")</f>
        <v>Não</v>
      </c>
      <c r="F413" s="2">
        <f>SUMIFS('NF-e de Entrada'!E:E,'NF-e de Entrada'!A:A,Dash!B413,'NF-e de Entrada'!F:F,"Autorizada")</f>
        <v>0</v>
      </c>
      <c r="G413" s="2">
        <f>SUMIFS('NF-e de Entrada'!E:E,'NF-e de Entrada'!A:A,Dash!B413,'NF-e de Entrada'!F:F,"Cancelada")</f>
        <v>0</v>
      </c>
      <c r="H413" s="2">
        <f>SUMIFS('NF-e de Saída'!E:E,'NF-e de Saída'!A:A,Dash!B413,'NF-e de Saída'!F:F,"AUTORIZADA")</f>
        <v>0</v>
      </c>
      <c r="I413" s="2">
        <f>SUMIFS('NF-e de Saída'!E:E,'NF-e de Saída'!A:A,Dash!B413,'NF-e de Saída'!F:F,"CANCELADA")</f>
        <v>0</v>
      </c>
    </row>
    <row r="414" spans="2:9" x14ac:dyDescent="0.3">
      <c r="B414">
        <v>697</v>
      </c>
      <c r="C414" t="s">
        <v>3212</v>
      </c>
      <c r="D414" t="s">
        <v>2747</v>
      </c>
      <c r="E414" t="str">
        <f>IF(COUNTIF(Sheet3!E:E,Dash!B414)&gt;0,"Sim","Não")</f>
        <v>Sim</v>
      </c>
      <c r="F414" s="2">
        <f>SUMIFS('NF-e de Entrada'!E:E,'NF-e de Entrada'!A:A,Dash!B414,'NF-e de Entrada'!F:F,"Autorizada")</f>
        <v>0</v>
      </c>
      <c r="G414" s="2">
        <f>SUMIFS('NF-e de Entrada'!E:E,'NF-e de Entrada'!A:A,Dash!B414,'NF-e de Entrada'!F:F,"Cancelada")</f>
        <v>0</v>
      </c>
      <c r="H414" s="2">
        <f>SUMIFS('NF-e de Saída'!E:E,'NF-e de Saída'!A:A,Dash!B414,'NF-e de Saída'!F:F,"AUTORIZADA")</f>
        <v>0</v>
      </c>
      <c r="I414" s="2">
        <f>SUMIFS('NF-e de Saída'!E:E,'NF-e de Saída'!A:A,Dash!B414,'NF-e de Saída'!F:F,"CANCELADA")</f>
        <v>0</v>
      </c>
    </row>
    <row r="415" spans="2:9" x14ac:dyDescent="0.3">
      <c r="B415">
        <v>699</v>
      </c>
      <c r="C415" t="s">
        <v>3213</v>
      </c>
      <c r="D415" t="s">
        <v>3681</v>
      </c>
      <c r="E415" t="str">
        <f>IF(COUNTIF(Sheet3!E:E,Dash!B415)&gt;0,"Sim","Não")</f>
        <v>Não</v>
      </c>
      <c r="F415" s="2">
        <f>SUMIFS('NF-e de Entrada'!E:E,'NF-e de Entrada'!A:A,Dash!B415,'NF-e de Entrada'!F:F,"Autorizada")</f>
        <v>0</v>
      </c>
      <c r="G415" s="2">
        <f>SUMIFS('NF-e de Entrada'!E:E,'NF-e de Entrada'!A:A,Dash!B415,'NF-e de Entrada'!F:F,"Cancelada")</f>
        <v>0</v>
      </c>
      <c r="H415" s="2">
        <f>SUMIFS('NF-e de Saída'!E:E,'NF-e de Saída'!A:A,Dash!B415,'NF-e de Saída'!F:F,"AUTORIZADA")</f>
        <v>0</v>
      </c>
      <c r="I415" s="2">
        <f>SUMIFS('NF-e de Saída'!E:E,'NF-e de Saída'!A:A,Dash!B415,'NF-e de Saída'!F:F,"CANCELADA")</f>
        <v>0</v>
      </c>
    </row>
    <row r="416" spans="2:9" x14ac:dyDescent="0.3">
      <c r="B416">
        <v>700</v>
      </c>
      <c r="C416" t="s">
        <v>3214</v>
      </c>
      <c r="D416" t="s">
        <v>3682</v>
      </c>
      <c r="E416" t="str">
        <f>IF(COUNTIF(Sheet3!E:E,Dash!B416)&gt;0,"Sim","Não")</f>
        <v>Não</v>
      </c>
      <c r="F416" s="2">
        <f>SUMIFS('NF-e de Entrada'!E:E,'NF-e de Entrada'!A:A,Dash!B416,'NF-e de Entrada'!F:F,"Autorizada")</f>
        <v>0</v>
      </c>
      <c r="G416" s="2">
        <f>SUMIFS('NF-e de Entrada'!E:E,'NF-e de Entrada'!A:A,Dash!B416,'NF-e de Entrada'!F:F,"Cancelada")</f>
        <v>0</v>
      </c>
      <c r="H416" s="2">
        <f>SUMIFS('NF-e de Saída'!E:E,'NF-e de Saída'!A:A,Dash!B416,'NF-e de Saída'!F:F,"AUTORIZADA")</f>
        <v>0</v>
      </c>
      <c r="I416" s="2">
        <f>SUMIFS('NF-e de Saída'!E:E,'NF-e de Saída'!A:A,Dash!B416,'NF-e de Saída'!F:F,"CANCELADA")</f>
        <v>0</v>
      </c>
    </row>
    <row r="417" spans="2:9" x14ac:dyDescent="0.3">
      <c r="B417">
        <v>701</v>
      </c>
      <c r="C417" t="s">
        <v>3215</v>
      </c>
      <c r="D417" t="s">
        <v>2755</v>
      </c>
      <c r="E417" t="str">
        <f>IF(COUNTIF(Sheet3!E:E,Dash!B417)&gt;0,"Sim","Não")</f>
        <v>Sim</v>
      </c>
      <c r="F417" s="2">
        <f>SUMIFS('NF-e de Entrada'!E:E,'NF-e de Entrada'!A:A,Dash!B417,'NF-e de Entrada'!F:F,"Autorizada")</f>
        <v>0</v>
      </c>
      <c r="G417" s="2">
        <f>SUMIFS('NF-e de Entrada'!E:E,'NF-e de Entrada'!A:A,Dash!B417,'NF-e de Entrada'!F:F,"Cancelada")</f>
        <v>0</v>
      </c>
      <c r="H417" s="2">
        <f>SUMIFS('NF-e de Saída'!E:E,'NF-e de Saída'!A:A,Dash!B417,'NF-e de Saída'!F:F,"AUTORIZADA")</f>
        <v>0</v>
      </c>
      <c r="I417" s="2">
        <f>SUMIFS('NF-e de Saída'!E:E,'NF-e de Saída'!A:A,Dash!B417,'NF-e de Saída'!F:F,"CANCELADA")</f>
        <v>0</v>
      </c>
    </row>
    <row r="418" spans="2:9" x14ac:dyDescent="0.3">
      <c r="B418">
        <v>702</v>
      </c>
      <c r="C418" t="s">
        <v>3216</v>
      </c>
      <c r="D418" t="s">
        <v>3683</v>
      </c>
      <c r="E418" t="str">
        <f>IF(COUNTIF(Sheet3!E:E,Dash!B418)&gt;0,"Sim","Não")</f>
        <v>Não</v>
      </c>
      <c r="F418" s="2">
        <f>SUMIFS('NF-e de Entrada'!E:E,'NF-e de Entrada'!A:A,Dash!B418,'NF-e de Entrada'!F:F,"Autorizada")</f>
        <v>0</v>
      </c>
      <c r="G418" s="2">
        <f>SUMIFS('NF-e de Entrada'!E:E,'NF-e de Entrada'!A:A,Dash!B418,'NF-e de Entrada'!F:F,"Cancelada")</f>
        <v>0</v>
      </c>
      <c r="H418" s="2">
        <f>SUMIFS('NF-e de Saída'!E:E,'NF-e de Saída'!A:A,Dash!B418,'NF-e de Saída'!F:F,"AUTORIZADA")</f>
        <v>0</v>
      </c>
      <c r="I418" s="2">
        <f>SUMIFS('NF-e de Saída'!E:E,'NF-e de Saída'!A:A,Dash!B418,'NF-e de Saída'!F:F,"CANCELADA")</f>
        <v>0</v>
      </c>
    </row>
    <row r="419" spans="2:9" x14ac:dyDescent="0.3">
      <c r="B419">
        <v>703</v>
      </c>
      <c r="C419" t="s">
        <v>3217</v>
      </c>
      <c r="D419" t="s">
        <v>3684</v>
      </c>
      <c r="E419" t="str">
        <f>IF(COUNTIF(Sheet3!E:E,Dash!B419)&gt;0,"Sim","Não")</f>
        <v>Não</v>
      </c>
      <c r="F419" s="2">
        <f>SUMIFS('NF-e de Entrada'!E:E,'NF-e de Entrada'!A:A,Dash!B419,'NF-e de Entrada'!F:F,"Autorizada")</f>
        <v>0</v>
      </c>
      <c r="G419" s="2">
        <f>SUMIFS('NF-e de Entrada'!E:E,'NF-e de Entrada'!A:A,Dash!B419,'NF-e de Entrada'!F:F,"Cancelada")</f>
        <v>0</v>
      </c>
      <c r="H419" s="2">
        <f>SUMIFS('NF-e de Saída'!E:E,'NF-e de Saída'!A:A,Dash!B419,'NF-e de Saída'!F:F,"AUTORIZADA")</f>
        <v>0</v>
      </c>
      <c r="I419" s="2">
        <f>SUMIFS('NF-e de Saída'!E:E,'NF-e de Saída'!A:A,Dash!B419,'NF-e de Saída'!F:F,"CANCELADA")</f>
        <v>0</v>
      </c>
    </row>
    <row r="420" spans="2:9" x14ac:dyDescent="0.3">
      <c r="B420">
        <v>704</v>
      </c>
      <c r="C420" t="s">
        <v>3218</v>
      </c>
      <c r="D420" t="s">
        <v>3685</v>
      </c>
      <c r="E420" t="str">
        <f>IF(COUNTIF(Sheet3!E:E,Dash!B420)&gt;0,"Sim","Não")</f>
        <v>Não</v>
      </c>
      <c r="F420" s="2">
        <f>SUMIFS('NF-e de Entrada'!E:E,'NF-e de Entrada'!A:A,Dash!B420,'NF-e de Entrada'!F:F,"Autorizada")</f>
        <v>0</v>
      </c>
      <c r="G420" s="2">
        <f>SUMIFS('NF-e de Entrada'!E:E,'NF-e de Entrada'!A:A,Dash!B420,'NF-e de Entrada'!F:F,"Cancelada")</f>
        <v>0</v>
      </c>
      <c r="H420" s="2">
        <f>SUMIFS('NF-e de Saída'!E:E,'NF-e de Saída'!A:A,Dash!B420,'NF-e de Saída'!F:F,"AUTORIZADA")</f>
        <v>0</v>
      </c>
      <c r="I420" s="2">
        <f>SUMIFS('NF-e de Saída'!E:E,'NF-e de Saída'!A:A,Dash!B420,'NF-e de Saída'!F:F,"CANCELADA")</f>
        <v>0</v>
      </c>
    </row>
    <row r="421" spans="2:9" x14ac:dyDescent="0.3">
      <c r="B421">
        <v>705</v>
      </c>
      <c r="C421" t="s">
        <v>3219</v>
      </c>
      <c r="D421" t="s">
        <v>3686</v>
      </c>
      <c r="E421" t="str">
        <f>IF(COUNTIF(Sheet3!E:E,Dash!B421)&gt;0,"Sim","Não")</f>
        <v>Não</v>
      </c>
      <c r="F421" s="2">
        <f>SUMIFS('NF-e de Entrada'!E:E,'NF-e de Entrada'!A:A,Dash!B421,'NF-e de Entrada'!F:F,"Autorizada")</f>
        <v>0</v>
      </c>
      <c r="G421" s="2">
        <f>SUMIFS('NF-e de Entrada'!E:E,'NF-e de Entrada'!A:A,Dash!B421,'NF-e de Entrada'!F:F,"Cancelada")</f>
        <v>0</v>
      </c>
      <c r="H421" s="2">
        <f>SUMIFS('NF-e de Saída'!E:E,'NF-e de Saída'!A:A,Dash!B421,'NF-e de Saída'!F:F,"AUTORIZADA")</f>
        <v>0</v>
      </c>
      <c r="I421" s="2">
        <f>SUMIFS('NF-e de Saída'!E:E,'NF-e de Saída'!A:A,Dash!B421,'NF-e de Saída'!F:F,"CANCELADA")</f>
        <v>0</v>
      </c>
    </row>
    <row r="422" spans="2:9" x14ac:dyDescent="0.3">
      <c r="B422">
        <v>706</v>
      </c>
      <c r="C422" t="s">
        <v>3220</v>
      </c>
      <c r="D422" t="s">
        <v>2633</v>
      </c>
      <c r="E422" t="str">
        <f>IF(COUNTIF(Sheet3!E:E,Dash!B422)&gt;0,"Sim","Não")</f>
        <v>Sim</v>
      </c>
      <c r="F422" s="2">
        <f>SUMIFS('NF-e de Entrada'!E:E,'NF-e de Entrada'!A:A,Dash!B422,'NF-e de Entrada'!F:F,"Autorizada")</f>
        <v>0</v>
      </c>
      <c r="G422" s="2">
        <f>SUMIFS('NF-e de Entrada'!E:E,'NF-e de Entrada'!A:A,Dash!B422,'NF-e de Entrada'!F:F,"Cancelada")</f>
        <v>0</v>
      </c>
      <c r="H422" s="2">
        <f>SUMIFS('NF-e de Saída'!E:E,'NF-e de Saída'!A:A,Dash!B422,'NF-e de Saída'!F:F,"AUTORIZADA")</f>
        <v>0</v>
      </c>
      <c r="I422" s="2">
        <f>SUMIFS('NF-e de Saída'!E:E,'NF-e de Saída'!A:A,Dash!B422,'NF-e de Saída'!F:F,"CANCELADA")</f>
        <v>0</v>
      </c>
    </row>
    <row r="423" spans="2:9" x14ac:dyDescent="0.3">
      <c r="B423">
        <v>707</v>
      </c>
      <c r="C423" t="s">
        <v>3221</v>
      </c>
      <c r="D423" t="s">
        <v>3687</v>
      </c>
      <c r="E423" t="str">
        <f>IF(COUNTIF(Sheet3!E:E,Dash!B423)&gt;0,"Sim","Não")</f>
        <v>Não</v>
      </c>
      <c r="F423" s="2">
        <f>SUMIFS('NF-e de Entrada'!E:E,'NF-e de Entrada'!A:A,Dash!B423,'NF-e de Entrada'!F:F,"Autorizada")</f>
        <v>0</v>
      </c>
      <c r="G423" s="2">
        <f>SUMIFS('NF-e de Entrada'!E:E,'NF-e de Entrada'!A:A,Dash!B423,'NF-e de Entrada'!F:F,"Cancelada")</f>
        <v>0</v>
      </c>
      <c r="H423" s="2">
        <f>SUMIFS('NF-e de Saída'!E:E,'NF-e de Saída'!A:A,Dash!B423,'NF-e de Saída'!F:F,"AUTORIZADA")</f>
        <v>0</v>
      </c>
      <c r="I423" s="2">
        <f>SUMIFS('NF-e de Saída'!E:E,'NF-e de Saída'!A:A,Dash!B423,'NF-e de Saída'!F:F,"CANCELADA")</f>
        <v>0</v>
      </c>
    </row>
    <row r="424" spans="2:9" x14ac:dyDescent="0.3">
      <c r="B424">
        <v>708</v>
      </c>
      <c r="C424" t="s">
        <v>3222</v>
      </c>
      <c r="D424" t="s">
        <v>2654</v>
      </c>
      <c r="E424" t="str">
        <f>IF(COUNTIF(Sheet3!E:E,Dash!B424)&gt;0,"Sim","Não")</f>
        <v>Sim</v>
      </c>
      <c r="F424" s="2">
        <f>SUMIFS('NF-e de Entrada'!E:E,'NF-e de Entrada'!A:A,Dash!B424,'NF-e de Entrada'!F:F,"Autorizada")</f>
        <v>0</v>
      </c>
      <c r="G424" s="2">
        <f>SUMIFS('NF-e de Entrada'!E:E,'NF-e de Entrada'!A:A,Dash!B424,'NF-e de Entrada'!F:F,"Cancelada")</f>
        <v>0</v>
      </c>
      <c r="H424" s="2">
        <f>SUMIFS('NF-e de Saída'!E:E,'NF-e de Saída'!A:A,Dash!B424,'NF-e de Saída'!F:F,"AUTORIZADA")</f>
        <v>0</v>
      </c>
      <c r="I424" s="2">
        <f>SUMIFS('NF-e de Saída'!E:E,'NF-e de Saída'!A:A,Dash!B424,'NF-e de Saída'!F:F,"CANCELADA")</f>
        <v>0</v>
      </c>
    </row>
    <row r="425" spans="2:9" x14ac:dyDescent="0.3">
      <c r="B425">
        <v>709</v>
      </c>
      <c r="C425" t="s">
        <v>3223</v>
      </c>
      <c r="D425" t="s">
        <v>2652</v>
      </c>
      <c r="E425" t="str">
        <f>IF(COUNTIF(Sheet3!E:E,Dash!B425)&gt;0,"Sim","Não")</f>
        <v>Sim</v>
      </c>
      <c r="F425" s="2">
        <f>SUMIFS('NF-e de Entrada'!E:E,'NF-e de Entrada'!A:A,Dash!B425,'NF-e de Entrada'!F:F,"Autorizada")</f>
        <v>0</v>
      </c>
      <c r="G425" s="2">
        <f>SUMIFS('NF-e de Entrada'!E:E,'NF-e de Entrada'!A:A,Dash!B425,'NF-e de Entrada'!F:F,"Cancelada")</f>
        <v>0</v>
      </c>
      <c r="H425" s="2">
        <f>SUMIFS('NF-e de Saída'!E:E,'NF-e de Saída'!A:A,Dash!B425,'NF-e de Saída'!F:F,"AUTORIZADA")</f>
        <v>0</v>
      </c>
      <c r="I425" s="2">
        <f>SUMIFS('NF-e de Saída'!E:E,'NF-e de Saída'!A:A,Dash!B425,'NF-e de Saída'!F:F,"CANCELADA")</f>
        <v>0</v>
      </c>
    </row>
    <row r="426" spans="2:9" x14ac:dyDescent="0.3">
      <c r="B426">
        <v>710</v>
      </c>
      <c r="C426" t="s">
        <v>3224</v>
      </c>
      <c r="D426" t="s">
        <v>3688</v>
      </c>
      <c r="E426" t="str">
        <f>IF(COUNTIF(Sheet3!E:E,Dash!B426)&gt;0,"Sim","Não")</f>
        <v>Não</v>
      </c>
      <c r="F426" s="2">
        <f>SUMIFS('NF-e de Entrada'!E:E,'NF-e de Entrada'!A:A,Dash!B426,'NF-e de Entrada'!F:F,"Autorizada")</f>
        <v>0</v>
      </c>
      <c r="G426" s="2">
        <f>SUMIFS('NF-e de Entrada'!E:E,'NF-e de Entrada'!A:A,Dash!B426,'NF-e de Entrada'!F:F,"Cancelada")</f>
        <v>0</v>
      </c>
      <c r="H426" s="2">
        <f>SUMIFS('NF-e de Saída'!E:E,'NF-e de Saída'!A:A,Dash!B426,'NF-e de Saída'!F:F,"AUTORIZADA")</f>
        <v>0</v>
      </c>
      <c r="I426" s="2">
        <f>SUMIFS('NF-e de Saída'!E:E,'NF-e de Saída'!A:A,Dash!B426,'NF-e de Saída'!F:F,"CANCELADA")</f>
        <v>0</v>
      </c>
    </row>
    <row r="427" spans="2:9" x14ac:dyDescent="0.3">
      <c r="B427">
        <v>711</v>
      </c>
      <c r="C427" t="s">
        <v>3225</v>
      </c>
      <c r="D427" t="s">
        <v>3689</v>
      </c>
      <c r="E427" t="str">
        <f>IF(COUNTIF(Sheet3!E:E,Dash!B427)&gt;0,"Sim","Não")</f>
        <v>Não</v>
      </c>
      <c r="F427" s="2">
        <f>SUMIFS('NF-e de Entrada'!E:E,'NF-e de Entrada'!A:A,Dash!B427,'NF-e de Entrada'!F:F,"Autorizada")</f>
        <v>0</v>
      </c>
      <c r="G427" s="2">
        <f>SUMIFS('NF-e de Entrada'!E:E,'NF-e de Entrada'!A:A,Dash!B427,'NF-e de Entrada'!F:F,"Cancelada")</f>
        <v>0</v>
      </c>
      <c r="H427" s="2">
        <f>SUMIFS('NF-e de Saída'!E:E,'NF-e de Saída'!A:A,Dash!B427,'NF-e de Saída'!F:F,"AUTORIZADA")</f>
        <v>0</v>
      </c>
      <c r="I427" s="2">
        <f>SUMIFS('NF-e de Saída'!E:E,'NF-e de Saída'!A:A,Dash!B427,'NF-e de Saída'!F:F,"CANCELADA")</f>
        <v>0</v>
      </c>
    </row>
    <row r="428" spans="2:9" x14ac:dyDescent="0.3">
      <c r="B428">
        <v>712</v>
      </c>
      <c r="C428" t="s">
        <v>3226</v>
      </c>
      <c r="D428" t="s">
        <v>3690</v>
      </c>
      <c r="E428" t="str">
        <f>IF(COUNTIF(Sheet3!E:E,Dash!B428)&gt;0,"Sim","Não")</f>
        <v>Não</v>
      </c>
      <c r="F428" s="2">
        <f>SUMIFS('NF-e de Entrada'!E:E,'NF-e de Entrada'!A:A,Dash!B428,'NF-e de Entrada'!F:F,"Autorizada")</f>
        <v>0</v>
      </c>
      <c r="G428" s="2">
        <f>SUMIFS('NF-e de Entrada'!E:E,'NF-e de Entrada'!A:A,Dash!B428,'NF-e de Entrada'!F:F,"Cancelada")</f>
        <v>0</v>
      </c>
      <c r="H428" s="2">
        <f>SUMIFS('NF-e de Saída'!E:E,'NF-e de Saída'!A:A,Dash!B428,'NF-e de Saída'!F:F,"AUTORIZADA")</f>
        <v>0</v>
      </c>
      <c r="I428" s="2">
        <f>SUMIFS('NF-e de Saída'!E:E,'NF-e de Saída'!A:A,Dash!B428,'NF-e de Saída'!F:F,"CANCELADA")</f>
        <v>0</v>
      </c>
    </row>
    <row r="429" spans="2:9" x14ac:dyDescent="0.3">
      <c r="B429">
        <v>713</v>
      </c>
      <c r="C429" t="s">
        <v>3227</v>
      </c>
      <c r="D429" t="s">
        <v>3691</v>
      </c>
      <c r="E429" t="str">
        <f>IF(COUNTIF(Sheet3!E:E,Dash!B429)&gt;0,"Sim","Não")</f>
        <v>Não</v>
      </c>
      <c r="F429" s="2">
        <f>SUMIFS('NF-e de Entrada'!E:E,'NF-e de Entrada'!A:A,Dash!B429,'NF-e de Entrada'!F:F,"Autorizada")</f>
        <v>0</v>
      </c>
      <c r="G429" s="2">
        <f>SUMIFS('NF-e de Entrada'!E:E,'NF-e de Entrada'!A:A,Dash!B429,'NF-e de Entrada'!F:F,"Cancelada")</f>
        <v>0</v>
      </c>
      <c r="H429" s="2">
        <f>SUMIFS('NF-e de Saída'!E:E,'NF-e de Saída'!A:A,Dash!B429,'NF-e de Saída'!F:F,"AUTORIZADA")</f>
        <v>0</v>
      </c>
      <c r="I429" s="2">
        <f>SUMIFS('NF-e de Saída'!E:E,'NF-e de Saída'!A:A,Dash!B429,'NF-e de Saída'!F:F,"CANCELADA")</f>
        <v>0</v>
      </c>
    </row>
    <row r="430" spans="2:9" x14ac:dyDescent="0.3">
      <c r="B430">
        <v>714</v>
      </c>
      <c r="C430" t="s">
        <v>3228</v>
      </c>
      <c r="D430" t="s">
        <v>3692</v>
      </c>
      <c r="E430" t="str">
        <f>IF(COUNTIF(Sheet3!E:E,Dash!B430)&gt;0,"Sim","Não")</f>
        <v>Sim</v>
      </c>
      <c r="F430" s="2">
        <f>SUMIFS('NF-e de Entrada'!E:E,'NF-e de Entrada'!A:A,Dash!B430,'NF-e de Entrada'!F:F,"Autorizada")</f>
        <v>0</v>
      </c>
      <c r="G430" s="2">
        <f>SUMIFS('NF-e de Entrada'!E:E,'NF-e de Entrada'!A:A,Dash!B430,'NF-e de Entrada'!F:F,"Cancelada")</f>
        <v>0</v>
      </c>
      <c r="H430" s="2">
        <f>SUMIFS('NF-e de Saída'!E:E,'NF-e de Saída'!A:A,Dash!B430,'NF-e de Saída'!F:F,"AUTORIZADA")</f>
        <v>0</v>
      </c>
      <c r="I430" s="2">
        <f>SUMIFS('NF-e de Saída'!E:E,'NF-e de Saída'!A:A,Dash!B430,'NF-e de Saída'!F:F,"CANCELADA")</f>
        <v>0</v>
      </c>
    </row>
    <row r="431" spans="2:9" x14ac:dyDescent="0.3">
      <c r="B431">
        <v>715</v>
      </c>
      <c r="C431" t="s">
        <v>3229</v>
      </c>
      <c r="D431" t="s">
        <v>3693</v>
      </c>
      <c r="E431" t="str">
        <f>IF(COUNTIF(Sheet3!E:E,Dash!B431)&gt;0,"Sim","Não")</f>
        <v>Sim</v>
      </c>
      <c r="F431" s="2">
        <f>SUMIFS('NF-e de Entrada'!E:E,'NF-e de Entrada'!A:A,Dash!B431,'NF-e de Entrada'!F:F,"Autorizada")</f>
        <v>0</v>
      </c>
      <c r="G431" s="2">
        <f>SUMIFS('NF-e de Entrada'!E:E,'NF-e de Entrada'!A:A,Dash!B431,'NF-e de Entrada'!F:F,"Cancelada")</f>
        <v>0</v>
      </c>
      <c r="H431" s="2">
        <f>SUMIFS('NF-e de Saída'!E:E,'NF-e de Saída'!A:A,Dash!B431,'NF-e de Saída'!F:F,"AUTORIZADA")</f>
        <v>0</v>
      </c>
      <c r="I431" s="2">
        <f>SUMIFS('NF-e de Saída'!E:E,'NF-e de Saída'!A:A,Dash!B431,'NF-e de Saída'!F:F,"CANCELADA")</f>
        <v>0</v>
      </c>
    </row>
    <row r="432" spans="2:9" x14ac:dyDescent="0.3">
      <c r="B432">
        <v>716</v>
      </c>
      <c r="C432" t="s">
        <v>3230</v>
      </c>
      <c r="D432" t="s">
        <v>3693</v>
      </c>
      <c r="E432" t="str">
        <f>IF(COUNTIF(Sheet3!E:E,Dash!B432)&gt;0,"Sim","Não")</f>
        <v>Não</v>
      </c>
      <c r="F432" s="2">
        <f>SUMIFS('NF-e de Entrada'!E:E,'NF-e de Entrada'!A:A,Dash!B432,'NF-e de Entrada'!F:F,"Autorizada")</f>
        <v>0</v>
      </c>
      <c r="G432" s="2">
        <f>SUMIFS('NF-e de Entrada'!E:E,'NF-e de Entrada'!A:A,Dash!B432,'NF-e de Entrada'!F:F,"Cancelada")</f>
        <v>0</v>
      </c>
      <c r="H432" s="2">
        <f>SUMIFS('NF-e de Saída'!E:E,'NF-e de Saída'!A:A,Dash!B432,'NF-e de Saída'!F:F,"AUTORIZADA")</f>
        <v>0</v>
      </c>
      <c r="I432" s="2">
        <f>SUMIFS('NF-e de Saída'!E:E,'NF-e de Saída'!A:A,Dash!B432,'NF-e de Saída'!F:F,"CANCELADA")</f>
        <v>0</v>
      </c>
    </row>
    <row r="433" spans="2:9" x14ac:dyDescent="0.3">
      <c r="B433">
        <v>717</v>
      </c>
      <c r="C433" t="s">
        <v>3231</v>
      </c>
      <c r="D433" t="s">
        <v>3694</v>
      </c>
      <c r="E433" t="str">
        <f>IF(COUNTIF(Sheet3!E:E,Dash!B433)&gt;0,"Sim","Não")</f>
        <v>Não</v>
      </c>
      <c r="F433" s="2">
        <f>SUMIFS('NF-e de Entrada'!E:E,'NF-e de Entrada'!A:A,Dash!B433,'NF-e de Entrada'!F:F,"Autorizada")</f>
        <v>0</v>
      </c>
      <c r="G433" s="2">
        <f>SUMIFS('NF-e de Entrada'!E:E,'NF-e de Entrada'!A:A,Dash!B433,'NF-e de Entrada'!F:F,"Cancelada")</f>
        <v>0</v>
      </c>
      <c r="H433" s="2">
        <f>SUMIFS('NF-e de Saída'!E:E,'NF-e de Saída'!A:A,Dash!B433,'NF-e de Saída'!F:F,"AUTORIZADA")</f>
        <v>0</v>
      </c>
      <c r="I433" s="2">
        <f>SUMIFS('NF-e de Saída'!E:E,'NF-e de Saída'!A:A,Dash!B433,'NF-e de Saída'!F:F,"CANCELADA")</f>
        <v>0</v>
      </c>
    </row>
    <row r="434" spans="2:9" x14ac:dyDescent="0.3">
      <c r="B434">
        <v>718</v>
      </c>
      <c r="C434" t="s">
        <v>3232</v>
      </c>
      <c r="D434" t="s">
        <v>2524</v>
      </c>
      <c r="E434" t="str">
        <f>IF(COUNTIF(Sheet3!E:E,Dash!B434)&gt;0,"Sim","Não")</f>
        <v>Sim</v>
      </c>
      <c r="F434" s="2">
        <f>SUMIFS('NF-e de Entrada'!E:E,'NF-e de Entrada'!A:A,Dash!B434,'NF-e de Entrada'!F:F,"Autorizada")</f>
        <v>2893762.290000001</v>
      </c>
      <c r="G434" s="2">
        <f>SUMIFS('NF-e de Entrada'!E:E,'NF-e de Entrada'!A:A,Dash!B434,'NF-e de Entrada'!F:F,"Cancelada")</f>
        <v>5605.2800000000007</v>
      </c>
      <c r="H434" s="2">
        <f>SUMIFS('NF-e de Saída'!E:E,'NF-e de Saída'!A:A,Dash!B434,'NF-e de Saída'!F:F,"AUTORIZADA")</f>
        <v>0</v>
      </c>
      <c r="I434" s="2">
        <f>SUMIFS('NF-e de Saída'!E:E,'NF-e de Saída'!A:A,Dash!B434,'NF-e de Saída'!F:F,"CANCELADA")</f>
        <v>0</v>
      </c>
    </row>
    <row r="435" spans="2:9" x14ac:dyDescent="0.3">
      <c r="B435">
        <v>719</v>
      </c>
      <c r="C435" t="s">
        <v>3233</v>
      </c>
      <c r="D435" t="s">
        <v>3695</v>
      </c>
      <c r="E435" t="str">
        <f>IF(COUNTIF(Sheet3!E:E,Dash!B435)&gt;0,"Sim","Não")</f>
        <v>Não</v>
      </c>
      <c r="F435" s="2">
        <f>SUMIFS('NF-e de Entrada'!E:E,'NF-e de Entrada'!A:A,Dash!B435,'NF-e de Entrada'!F:F,"Autorizada")</f>
        <v>0</v>
      </c>
      <c r="G435" s="2">
        <f>SUMIFS('NF-e de Entrada'!E:E,'NF-e de Entrada'!A:A,Dash!B435,'NF-e de Entrada'!F:F,"Cancelada")</f>
        <v>0</v>
      </c>
      <c r="H435" s="2">
        <f>SUMIFS('NF-e de Saída'!E:E,'NF-e de Saída'!A:A,Dash!B435,'NF-e de Saída'!F:F,"AUTORIZADA")</f>
        <v>0</v>
      </c>
      <c r="I435" s="2">
        <f>SUMIFS('NF-e de Saída'!E:E,'NF-e de Saída'!A:A,Dash!B435,'NF-e de Saída'!F:F,"CANCELADA")</f>
        <v>0</v>
      </c>
    </row>
    <row r="436" spans="2:9" x14ac:dyDescent="0.3">
      <c r="B436">
        <v>720</v>
      </c>
      <c r="C436" t="s">
        <v>3234</v>
      </c>
      <c r="D436" t="s">
        <v>3696</v>
      </c>
      <c r="E436" t="str">
        <f>IF(COUNTIF(Sheet3!E:E,Dash!B436)&gt;0,"Sim","Não")</f>
        <v>Não</v>
      </c>
      <c r="F436" s="2">
        <f>SUMIFS('NF-e de Entrada'!E:E,'NF-e de Entrada'!A:A,Dash!B436,'NF-e de Entrada'!F:F,"Autorizada")</f>
        <v>0</v>
      </c>
      <c r="G436" s="2">
        <f>SUMIFS('NF-e de Entrada'!E:E,'NF-e de Entrada'!A:A,Dash!B436,'NF-e de Entrada'!F:F,"Cancelada")</f>
        <v>0</v>
      </c>
      <c r="H436" s="2">
        <f>SUMIFS('NF-e de Saída'!E:E,'NF-e de Saída'!A:A,Dash!B436,'NF-e de Saída'!F:F,"AUTORIZADA")</f>
        <v>0</v>
      </c>
      <c r="I436" s="2">
        <f>SUMIFS('NF-e de Saída'!E:E,'NF-e de Saída'!A:A,Dash!B436,'NF-e de Saída'!F:F,"CANCELADA")</f>
        <v>0</v>
      </c>
    </row>
    <row r="437" spans="2:9" x14ac:dyDescent="0.3">
      <c r="B437">
        <v>721</v>
      </c>
      <c r="C437" t="s">
        <v>3235</v>
      </c>
      <c r="D437" t="s">
        <v>3697</v>
      </c>
      <c r="E437" t="str">
        <f>IF(COUNTIF(Sheet3!E:E,Dash!B437)&gt;0,"Sim","Não")</f>
        <v>Não</v>
      </c>
      <c r="F437" s="2">
        <f>SUMIFS('NF-e de Entrada'!E:E,'NF-e de Entrada'!A:A,Dash!B437,'NF-e de Entrada'!F:F,"Autorizada")</f>
        <v>0</v>
      </c>
      <c r="G437" s="2">
        <f>SUMIFS('NF-e de Entrada'!E:E,'NF-e de Entrada'!A:A,Dash!B437,'NF-e de Entrada'!F:F,"Cancelada")</f>
        <v>0</v>
      </c>
      <c r="H437" s="2">
        <f>SUMIFS('NF-e de Saída'!E:E,'NF-e de Saída'!A:A,Dash!B437,'NF-e de Saída'!F:F,"AUTORIZADA")</f>
        <v>0</v>
      </c>
      <c r="I437" s="2">
        <f>SUMIFS('NF-e de Saída'!E:E,'NF-e de Saída'!A:A,Dash!B437,'NF-e de Saída'!F:F,"CANCELADA")</f>
        <v>0</v>
      </c>
    </row>
    <row r="438" spans="2:9" x14ac:dyDescent="0.3">
      <c r="B438">
        <v>722</v>
      </c>
      <c r="C438" t="s">
        <v>3236</v>
      </c>
      <c r="D438" t="s">
        <v>3698</v>
      </c>
      <c r="E438" t="str">
        <f>IF(COUNTIF(Sheet3!E:E,Dash!B438)&gt;0,"Sim","Não")</f>
        <v>Não</v>
      </c>
      <c r="F438" s="2">
        <f>SUMIFS('NF-e de Entrada'!E:E,'NF-e de Entrada'!A:A,Dash!B438,'NF-e de Entrada'!F:F,"Autorizada")</f>
        <v>0</v>
      </c>
      <c r="G438" s="2">
        <f>SUMIFS('NF-e de Entrada'!E:E,'NF-e de Entrada'!A:A,Dash!B438,'NF-e de Entrada'!F:F,"Cancelada")</f>
        <v>0</v>
      </c>
      <c r="H438" s="2">
        <f>SUMIFS('NF-e de Saída'!E:E,'NF-e de Saída'!A:A,Dash!B438,'NF-e de Saída'!F:F,"AUTORIZADA")</f>
        <v>0</v>
      </c>
      <c r="I438" s="2">
        <f>SUMIFS('NF-e de Saída'!E:E,'NF-e de Saída'!A:A,Dash!B438,'NF-e de Saída'!F:F,"CANCELADA")</f>
        <v>0</v>
      </c>
    </row>
    <row r="439" spans="2:9" x14ac:dyDescent="0.3">
      <c r="B439">
        <v>723</v>
      </c>
      <c r="C439" t="s">
        <v>3237</v>
      </c>
      <c r="D439" t="s">
        <v>3699</v>
      </c>
      <c r="E439" t="str">
        <f>IF(COUNTIF(Sheet3!E:E,Dash!B439)&gt;0,"Sim","Não")</f>
        <v>Não</v>
      </c>
      <c r="F439" s="2">
        <f>SUMIFS('NF-e de Entrada'!E:E,'NF-e de Entrada'!A:A,Dash!B439,'NF-e de Entrada'!F:F,"Autorizada")</f>
        <v>0</v>
      </c>
      <c r="G439" s="2">
        <f>SUMIFS('NF-e de Entrada'!E:E,'NF-e de Entrada'!A:A,Dash!B439,'NF-e de Entrada'!F:F,"Cancelada")</f>
        <v>0</v>
      </c>
      <c r="H439" s="2">
        <f>SUMIFS('NF-e de Saída'!E:E,'NF-e de Saída'!A:A,Dash!B439,'NF-e de Saída'!F:F,"AUTORIZADA")</f>
        <v>0</v>
      </c>
      <c r="I439" s="2">
        <f>SUMIFS('NF-e de Saída'!E:E,'NF-e de Saída'!A:A,Dash!B439,'NF-e de Saída'!F:F,"CANCELADA")</f>
        <v>0</v>
      </c>
    </row>
    <row r="440" spans="2:9" x14ac:dyDescent="0.3">
      <c r="B440">
        <v>724</v>
      </c>
      <c r="C440" t="s">
        <v>3237</v>
      </c>
      <c r="D440" t="s">
        <v>3699</v>
      </c>
      <c r="E440" t="str">
        <f>IF(COUNTIF(Sheet3!E:E,Dash!B440)&gt;0,"Sim","Não")</f>
        <v>Não</v>
      </c>
      <c r="F440" s="2">
        <f>SUMIFS('NF-e de Entrada'!E:E,'NF-e de Entrada'!A:A,Dash!B440,'NF-e de Entrada'!F:F,"Autorizada")</f>
        <v>0</v>
      </c>
      <c r="G440" s="2">
        <f>SUMIFS('NF-e de Entrada'!E:E,'NF-e de Entrada'!A:A,Dash!B440,'NF-e de Entrada'!F:F,"Cancelada")</f>
        <v>0</v>
      </c>
      <c r="H440" s="2">
        <f>SUMIFS('NF-e de Saída'!E:E,'NF-e de Saída'!A:A,Dash!B440,'NF-e de Saída'!F:F,"AUTORIZADA")</f>
        <v>0</v>
      </c>
      <c r="I440" s="2">
        <f>SUMIFS('NF-e de Saída'!E:E,'NF-e de Saída'!A:A,Dash!B440,'NF-e de Saída'!F:F,"CANCELADA")</f>
        <v>0</v>
      </c>
    </row>
    <row r="441" spans="2:9" x14ac:dyDescent="0.3">
      <c r="B441">
        <v>725</v>
      </c>
      <c r="C441" t="s">
        <v>3238</v>
      </c>
      <c r="D441" t="s">
        <v>3700</v>
      </c>
      <c r="E441" t="str">
        <f>IF(COUNTIF(Sheet3!E:E,Dash!B441)&gt;0,"Sim","Não")</f>
        <v>Não</v>
      </c>
      <c r="F441" s="2">
        <f>SUMIFS('NF-e de Entrada'!E:E,'NF-e de Entrada'!A:A,Dash!B441,'NF-e de Entrada'!F:F,"Autorizada")</f>
        <v>0</v>
      </c>
      <c r="G441" s="2">
        <f>SUMIFS('NF-e de Entrada'!E:E,'NF-e de Entrada'!A:A,Dash!B441,'NF-e de Entrada'!F:F,"Cancelada")</f>
        <v>0</v>
      </c>
      <c r="H441" s="2">
        <f>SUMIFS('NF-e de Saída'!E:E,'NF-e de Saída'!A:A,Dash!B441,'NF-e de Saída'!F:F,"AUTORIZADA")</f>
        <v>0</v>
      </c>
      <c r="I441" s="2">
        <f>SUMIFS('NF-e de Saída'!E:E,'NF-e de Saída'!A:A,Dash!B441,'NF-e de Saída'!F:F,"CANCELADA")</f>
        <v>0</v>
      </c>
    </row>
    <row r="442" spans="2:9" x14ac:dyDescent="0.3">
      <c r="B442">
        <v>728</v>
      </c>
      <c r="C442" t="s">
        <v>3239</v>
      </c>
      <c r="D442" t="s">
        <v>3701</v>
      </c>
      <c r="E442" t="str">
        <f>IF(COUNTIF(Sheet3!E:E,Dash!B442)&gt;0,"Sim","Não")</f>
        <v>Não</v>
      </c>
      <c r="F442" s="2">
        <f>SUMIFS('NF-e de Entrada'!E:E,'NF-e de Entrada'!A:A,Dash!B442,'NF-e de Entrada'!F:F,"Autorizada")</f>
        <v>0</v>
      </c>
      <c r="G442" s="2">
        <f>SUMIFS('NF-e de Entrada'!E:E,'NF-e de Entrada'!A:A,Dash!B442,'NF-e de Entrada'!F:F,"Cancelada")</f>
        <v>0</v>
      </c>
      <c r="H442" s="2">
        <f>SUMIFS('NF-e de Saída'!E:E,'NF-e de Saída'!A:A,Dash!B442,'NF-e de Saída'!F:F,"AUTORIZADA")</f>
        <v>0</v>
      </c>
      <c r="I442" s="2">
        <f>SUMIFS('NF-e de Saída'!E:E,'NF-e de Saída'!A:A,Dash!B442,'NF-e de Saída'!F:F,"CANCELADA")</f>
        <v>0</v>
      </c>
    </row>
    <row r="443" spans="2:9" x14ac:dyDescent="0.3">
      <c r="B443">
        <v>729</v>
      </c>
      <c r="C443" t="s">
        <v>3240</v>
      </c>
      <c r="D443" t="s">
        <v>3702</v>
      </c>
      <c r="E443" t="str">
        <f>IF(COUNTIF(Sheet3!E:E,Dash!B443)&gt;0,"Sim","Não")</f>
        <v>Não</v>
      </c>
      <c r="F443" s="2">
        <f>SUMIFS('NF-e de Entrada'!E:E,'NF-e de Entrada'!A:A,Dash!B443,'NF-e de Entrada'!F:F,"Autorizada")</f>
        <v>0</v>
      </c>
      <c r="G443" s="2">
        <f>SUMIFS('NF-e de Entrada'!E:E,'NF-e de Entrada'!A:A,Dash!B443,'NF-e de Entrada'!F:F,"Cancelada")</f>
        <v>0</v>
      </c>
      <c r="H443" s="2">
        <f>SUMIFS('NF-e de Saída'!E:E,'NF-e de Saída'!A:A,Dash!B443,'NF-e de Saída'!F:F,"AUTORIZADA")</f>
        <v>0</v>
      </c>
      <c r="I443" s="2">
        <f>SUMIFS('NF-e de Saída'!E:E,'NF-e de Saída'!A:A,Dash!B443,'NF-e de Saída'!F:F,"CANCELADA")</f>
        <v>0</v>
      </c>
    </row>
    <row r="444" spans="2:9" x14ac:dyDescent="0.3">
      <c r="B444">
        <v>731</v>
      </c>
      <c r="C444" t="s">
        <v>3241</v>
      </c>
      <c r="D444" t="s">
        <v>3703</v>
      </c>
      <c r="E444" t="str">
        <f>IF(COUNTIF(Sheet3!E:E,Dash!B444)&gt;0,"Sim","Não")</f>
        <v>Não</v>
      </c>
      <c r="F444" s="2">
        <f>SUMIFS('NF-e de Entrada'!E:E,'NF-e de Entrada'!A:A,Dash!B444,'NF-e de Entrada'!F:F,"Autorizada")</f>
        <v>0</v>
      </c>
      <c r="G444" s="2">
        <f>SUMIFS('NF-e de Entrada'!E:E,'NF-e de Entrada'!A:A,Dash!B444,'NF-e de Entrada'!F:F,"Cancelada")</f>
        <v>0</v>
      </c>
      <c r="H444" s="2">
        <f>SUMIFS('NF-e de Saída'!E:E,'NF-e de Saída'!A:A,Dash!B444,'NF-e de Saída'!F:F,"AUTORIZADA")</f>
        <v>0</v>
      </c>
      <c r="I444" s="2">
        <f>SUMIFS('NF-e de Saída'!E:E,'NF-e de Saída'!A:A,Dash!B444,'NF-e de Saída'!F:F,"CANCELADA")</f>
        <v>0</v>
      </c>
    </row>
    <row r="445" spans="2:9" x14ac:dyDescent="0.3">
      <c r="B445">
        <v>732</v>
      </c>
      <c r="C445" t="s">
        <v>3242</v>
      </c>
      <c r="D445" t="s">
        <v>3704</v>
      </c>
      <c r="E445" t="str">
        <f>IF(COUNTIF(Sheet3!E:E,Dash!B445)&gt;0,"Sim","Não")</f>
        <v>Não</v>
      </c>
      <c r="F445" s="2">
        <f>SUMIFS('NF-e de Entrada'!E:E,'NF-e de Entrada'!A:A,Dash!B445,'NF-e de Entrada'!F:F,"Autorizada")</f>
        <v>0</v>
      </c>
      <c r="G445" s="2">
        <f>SUMIFS('NF-e de Entrada'!E:E,'NF-e de Entrada'!A:A,Dash!B445,'NF-e de Entrada'!F:F,"Cancelada")</f>
        <v>0</v>
      </c>
      <c r="H445" s="2">
        <f>SUMIFS('NF-e de Saída'!E:E,'NF-e de Saída'!A:A,Dash!B445,'NF-e de Saída'!F:F,"AUTORIZADA")</f>
        <v>0</v>
      </c>
      <c r="I445" s="2">
        <f>SUMIFS('NF-e de Saída'!E:E,'NF-e de Saída'!A:A,Dash!B445,'NF-e de Saída'!F:F,"CANCELADA")</f>
        <v>0</v>
      </c>
    </row>
    <row r="446" spans="2:9" x14ac:dyDescent="0.3">
      <c r="B446">
        <v>733</v>
      </c>
      <c r="C446" t="s">
        <v>3243</v>
      </c>
      <c r="D446" t="s">
        <v>3705</v>
      </c>
      <c r="E446" t="str">
        <f>IF(COUNTIF(Sheet3!E:E,Dash!B446)&gt;0,"Sim","Não")</f>
        <v>Não</v>
      </c>
      <c r="F446" s="2">
        <f>SUMIFS('NF-e de Entrada'!E:E,'NF-e de Entrada'!A:A,Dash!B446,'NF-e de Entrada'!F:F,"Autorizada")</f>
        <v>0</v>
      </c>
      <c r="G446" s="2">
        <f>SUMIFS('NF-e de Entrada'!E:E,'NF-e de Entrada'!A:A,Dash!B446,'NF-e de Entrada'!F:F,"Cancelada")</f>
        <v>0</v>
      </c>
      <c r="H446" s="2">
        <f>SUMIFS('NF-e de Saída'!E:E,'NF-e de Saída'!A:A,Dash!B446,'NF-e de Saída'!F:F,"AUTORIZADA")</f>
        <v>0</v>
      </c>
      <c r="I446" s="2">
        <f>SUMIFS('NF-e de Saída'!E:E,'NF-e de Saída'!A:A,Dash!B446,'NF-e de Saída'!F:F,"CANCELADA")</f>
        <v>0</v>
      </c>
    </row>
    <row r="447" spans="2:9" x14ac:dyDescent="0.3">
      <c r="B447">
        <v>734</v>
      </c>
      <c r="C447" t="s">
        <v>3244</v>
      </c>
      <c r="D447" t="s">
        <v>2578</v>
      </c>
      <c r="E447" t="str">
        <f>IF(COUNTIF(Sheet3!E:E,Dash!B447)&gt;0,"Sim","Não")</f>
        <v>Sim</v>
      </c>
      <c r="F447" s="2">
        <f>SUMIFS('NF-e de Entrada'!E:E,'NF-e de Entrada'!A:A,Dash!B447,'NF-e de Entrada'!F:F,"Autorizada")</f>
        <v>0</v>
      </c>
      <c r="G447" s="2">
        <f>SUMIFS('NF-e de Entrada'!E:E,'NF-e de Entrada'!A:A,Dash!B447,'NF-e de Entrada'!F:F,"Cancelada")</f>
        <v>0</v>
      </c>
      <c r="H447" s="2">
        <f>SUMIFS('NF-e de Saída'!E:E,'NF-e de Saída'!A:A,Dash!B447,'NF-e de Saída'!F:F,"AUTORIZADA")</f>
        <v>0</v>
      </c>
      <c r="I447" s="2">
        <f>SUMIFS('NF-e de Saída'!E:E,'NF-e de Saída'!A:A,Dash!B447,'NF-e de Saída'!F:F,"CANCELADA")</f>
        <v>0</v>
      </c>
    </row>
    <row r="448" spans="2:9" x14ac:dyDescent="0.3">
      <c r="B448">
        <v>736</v>
      </c>
      <c r="C448" t="s">
        <v>3245</v>
      </c>
      <c r="D448" t="s">
        <v>3706</v>
      </c>
      <c r="E448" t="str">
        <f>IF(COUNTIF(Sheet3!E:E,Dash!B448)&gt;0,"Sim","Não")</f>
        <v>Não</v>
      </c>
      <c r="F448" s="2">
        <f>SUMIFS('NF-e de Entrada'!E:E,'NF-e de Entrada'!A:A,Dash!B448,'NF-e de Entrada'!F:F,"Autorizada")</f>
        <v>0</v>
      </c>
      <c r="G448" s="2">
        <f>SUMIFS('NF-e de Entrada'!E:E,'NF-e de Entrada'!A:A,Dash!B448,'NF-e de Entrada'!F:F,"Cancelada")</f>
        <v>0</v>
      </c>
      <c r="H448" s="2">
        <f>SUMIFS('NF-e de Saída'!E:E,'NF-e de Saída'!A:A,Dash!B448,'NF-e de Saída'!F:F,"AUTORIZADA")</f>
        <v>0</v>
      </c>
      <c r="I448" s="2">
        <f>SUMIFS('NF-e de Saída'!E:E,'NF-e de Saída'!A:A,Dash!B448,'NF-e de Saída'!F:F,"CANCELADA")</f>
        <v>0</v>
      </c>
    </row>
    <row r="449" spans="2:9" x14ac:dyDescent="0.3">
      <c r="B449">
        <v>737</v>
      </c>
      <c r="C449" t="s">
        <v>3246</v>
      </c>
      <c r="D449" t="s">
        <v>3707</v>
      </c>
      <c r="E449" t="str">
        <f>IF(COUNTIF(Sheet3!E:E,Dash!B449)&gt;0,"Sim","Não")</f>
        <v>Não</v>
      </c>
      <c r="F449" s="2">
        <f>SUMIFS('NF-e de Entrada'!E:E,'NF-e de Entrada'!A:A,Dash!B449,'NF-e de Entrada'!F:F,"Autorizada")</f>
        <v>0</v>
      </c>
      <c r="G449" s="2">
        <f>SUMIFS('NF-e de Entrada'!E:E,'NF-e de Entrada'!A:A,Dash!B449,'NF-e de Entrada'!F:F,"Cancelada")</f>
        <v>0</v>
      </c>
      <c r="H449" s="2">
        <f>SUMIFS('NF-e de Saída'!E:E,'NF-e de Saída'!A:A,Dash!B449,'NF-e de Saída'!F:F,"AUTORIZADA")</f>
        <v>0</v>
      </c>
      <c r="I449" s="2">
        <f>SUMIFS('NF-e de Saída'!E:E,'NF-e de Saída'!A:A,Dash!B449,'NF-e de Saída'!F:F,"CANCELADA")</f>
        <v>0</v>
      </c>
    </row>
    <row r="450" spans="2:9" x14ac:dyDescent="0.3">
      <c r="B450">
        <v>738</v>
      </c>
      <c r="C450" t="s">
        <v>3247</v>
      </c>
      <c r="D450" t="s">
        <v>3708</v>
      </c>
      <c r="E450" t="str">
        <f>IF(COUNTIF(Sheet3!E:E,Dash!B450)&gt;0,"Sim","Não")</f>
        <v>Sim</v>
      </c>
      <c r="F450" s="2">
        <f>SUMIFS('NF-e de Entrada'!E:E,'NF-e de Entrada'!A:A,Dash!B450,'NF-e de Entrada'!F:F,"Autorizada")</f>
        <v>416140.20999999996</v>
      </c>
      <c r="G450" s="2">
        <f>SUMIFS('NF-e de Entrada'!E:E,'NF-e de Entrada'!A:A,Dash!B450,'NF-e de Entrada'!F:F,"Cancelada")</f>
        <v>134200.01</v>
      </c>
      <c r="H450" s="2">
        <f>SUMIFS('NF-e de Saída'!E:E,'NF-e de Saída'!A:A,Dash!B450,'NF-e de Saída'!F:F,"AUTORIZADA")</f>
        <v>0</v>
      </c>
      <c r="I450" s="2">
        <f>SUMIFS('NF-e de Saída'!E:E,'NF-e de Saída'!A:A,Dash!B450,'NF-e de Saída'!F:F,"CANCELADA")</f>
        <v>0</v>
      </c>
    </row>
    <row r="451" spans="2:9" x14ac:dyDescent="0.3">
      <c r="B451">
        <v>741</v>
      </c>
      <c r="C451" t="s">
        <v>3248</v>
      </c>
      <c r="D451" t="s">
        <v>3709</v>
      </c>
      <c r="E451" t="str">
        <f>IF(COUNTIF(Sheet3!E:E,Dash!B451)&gt;0,"Sim","Não")</f>
        <v>Não</v>
      </c>
      <c r="F451" s="2">
        <f>SUMIFS('NF-e de Entrada'!E:E,'NF-e de Entrada'!A:A,Dash!B451,'NF-e de Entrada'!F:F,"Autorizada")</f>
        <v>0</v>
      </c>
      <c r="G451" s="2">
        <f>SUMIFS('NF-e de Entrada'!E:E,'NF-e de Entrada'!A:A,Dash!B451,'NF-e de Entrada'!F:F,"Cancelada")</f>
        <v>0</v>
      </c>
      <c r="H451" s="2">
        <f>SUMIFS('NF-e de Saída'!E:E,'NF-e de Saída'!A:A,Dash!B451,'NF-e de Saída'!F:F,"AUTORIZADA")</f>
        <v>0</v>
      </c>
      <c r="I451" s="2">
        <f>SUMIFS('NF-e de Saída'!E:E,'NF-e de Saída'!A:A,Dash!B451,'NF-e de Saída'!F:F,"CANCELADA")</f>
        <v>0</v>
      </c>
    </row>
    <row r="452" spans="2:9" x14ac:dyDescent="0.3">
      <c r="B452">
        <v>742</v>
      </c>
      <c r="C452" t="s">
        <v>3249</v>
      </c>
      <c r="D452" t="s">
        <v>3710</v>
      </c>
      <c r="E452" t="str">
        <f>IF(COUNTIF(Sheet3!E:E,Dash!B452)&gt;0,"Sim","Não")</f>
        <v>Não</v>
      </c>
      <c r="F452" s="2">
        <f>SUMIFS('NF-e de Entrada'!E:E,'NF-e de Entrada'!A:A,Dash!B452,'NF-e de Entrada'!F:F,"Autorizada")</f>
        <v>0</v>
      </c>
      <c r="G452" s="2">
        <f>SUMIFS('NF-e de Entrada'!E:E,'NF-e de Entrada'!A:A,Dash!B452,'NF-e de Entrada'!F:F,"Cancelada")</f>
        <v>0</v>
      </c>
      <c r="H452" s="2">
        <f>SUMIFS('NF-e de Saída'!E:E,'NF-e de Saída'!A:A,Dash!B452,'NF-e de Saída'!F:F,"AUTORIZADA")</f>
        <v>0</v>
      </c>
      <c r="I452" s="2">
        <f>SUMIFS('NF-e de Saída'!E:E,'NF-e de Saída'!A:A,Dash!B452,'NF-e de Saída'!F:F,"CANCELADA")</f>
        <v>0</v>
      </c>
    </row>
    <row r="453" spans="2:9" x14ac:dyDescent="0.3">
      <c r="B453">
        <v>743</v>
      </c>
      <c r="C453" t="s">
        <v>3250</v>
      </c>
      <c r="D453" t="s">
        <v>2662</v>
      </c>
      <c r="E453" t="str">
        <f>IF(COUNTIF(Sheet3!E:E,Dash!B453)&gt;0,"Sim","Não")</f>
        <v>Sim</v>
      </c>
      <c r="F453" s="2">
        <f>SUMIFS('NF-e de Entrada'!E:E,'NF-e de Entrada'!A:A,Dash!B453,'NF-e de Entrada'!F:F,"Autorizada")</f>
        <v>0</v>
      </c>
      <c r="G453" s="2">
        <f>SUMIFS('NF-e de Entrada'!E:E,'NF-e de Entrada'!A:A,Dash!B453,'NF-e de Entrada'!F:F,"Cancelada")</f>
        <v>0</v>
      </c>
      <c r="H453" s="2">
        <f>SUMIFS('NF-e de Saída'!E:E,'NF-e de Saída'!A:A,Dash!B453,'NF-e de Saída'!F:F,"AUTORIZADA")</f>
        <v>0</v>
      </c>
      <c r="I453" s="2">
        <f>SUMIFS('NF-e de Saída'!E:E,'NF-e de Saída'!A:A,Dash!B453,'NF-e de Saída'!F:F,"CANCELADA")</f>
        <v>0</v>
      </c>
    </row>
    <row r="454" spans="2:9" x14ac:dyDescent="0.3">
      <c r="B454">
        <v>744</v>
      </c>
      <c r="C454" t="s">
        <v>3251</v>
      </c>
      <c r="D454" t="s">
        <v>3711</v>
      </c>
      <c r="E454" t="str">
        <f>IF(COUNTIF(Sheet3!E:E,Dash!B454)&gt;0,"Sim","Não")</f>
        <v>Não</v>
      </c>
      <c r="F454" s="2">
        <f>SUMIFS('NF-e de Entrada'!E:E,'NF-e de Entrada'!A:A,Dash!B454,'NF-e de Entrada'!F:F,"Autorizada")</f>
        <v>0</v>
      </c>
      <c r="G454" s="2">
        <f>SUMIFS('NF-e de Entrada'!E:E,'NF-e de Entrada'!A:A,Dash!B454,'NF-e de Entrada'!F:F,"Cancelada")</f>
        <v>0</v>
      </c>
      <c r="H454" s="2">
        <f>SUMIFS('NF-e de Saída'!E:E,'NF-e de Saída'!A:A,Dash!B454,'NF-e de Saída'!F:F,"AUTORIZADA")</f>
        <v>0</v>
      </c>
      <c r="I454" s="2">
        <f>SUMIFS('NF-e de Saída'!E:E,'NF-e de Saída'!A:A,Dash!B454,'NF-e de Saída'!F:F,"CANCELADA")</f>
        <v>0</v>
      </c>
    </row>
    <row r="455" spans="2:9" x14ac:dyDescent="0.3">
      <c r="B455">
        <v>745</v>
      </c>
      <c r="C455" t="s">
        <v>3252</v>
      </c>
      <c r="D455" t="s">
        <v>3712</v>
      </c>
      <c r="E455" t="str">
        <f>IF(COUNTIF(Sheet3!E:E,Dash!B455)&gt;0,"Sim","Não")</f>
        <v>Não</v>
      </c>
      <c r="F455" s="2">
        <f>SUMIFS('NF-e de Entrada'!E:E,'NF-e de Entrada'!A:A,Dash!B455,'NF-e de Entrada'!F:F,"Autorizada")</f>
        <v>0</v>
      </c>
      <c r="G455" s="2">
        <f>SUMIFS('NF-e de Entrada'!E:E,'NF-e de Entrada'!A:A,Dash!B455,'NF-e de Entrada'!F:F,"Cancelada")</f>
        <v>0</v>
      </c>
      <c r="H455" s="2">
        <f>SUMIFS('NF-e de Saída'!E:E,'NF-e de Saída'!A:A,Dash!B455,'NF-e de Saída'!F:F,"AUTORIZADA")</f>
        <v>0</v>
      </c>
      <c r="I455" s="2">
        <f>SUMIFS('NF-e de Saída'!E:E,'NF-e de Saída'!A:A,Dash!B455,'NF-e de Saída'!F:F,"CANCELADA")</f>
        <v>0</v>
      </c>
    </row>
    <row r="456" spans="2:9" x14ac:dyDescent="0.3">
      <c r="B456">
        <v>746</v>
      </c>
      <c r="C456" t="s">
        <v>3253</v>
      </c>
      <c r="D456" t="s">
        <v>3713</v>
      </c>
      <c r="E456" t="str">
        <f>IF(COUNTIF(Sheet3!E:E,Dash!B456)&gt;0,"Sim","Não")</f>
        <v>Não</v>
      </c>
      <c r="F456" s="2">
        <f>SUMIFS('NF-e de Entrada'!E:E,'NF-e de Entrada'!A:A,Dash!B456,'NF-e de Entrada'!F:F,"Autorizada")</f>
        <v>0</v>
      </c>
      <c r="G456" s="2">
        <f>SUMIFS('NF-e de Entrada'!E:E,'NF-e de Entrada'!A:A,Dash!B456,'NF-e de Entrada'!F:F,"Cancelada")</f>
        <v>0</v>
      </c>
      <c r="H456" s="2">
        <f>SUMIFS('NF-e de Saída'!E:E,'NF-e de Saída'!A:A,Dash!B456,'NF-e de Saída'!F:F,"AUTORIZADA")</f>
        <v>0</v>
      </c>
      <c r="I456" s="2">
        <f>SUMIFS('NF-e de Saída'!E:E,'NF-e de Saída'!A:A,Dash!B456,'NF-e de Saída'!F:F,"CANCELADA")</f>
        <v>0</v>
      </c>
    </row>
    <row r="457" spans="2:9" x14ac:dyDescent="0.3">
      <c r="B457">
        <v>747</v>
      </c>
      <c r="C457" t="s">
        <v>3254</v>
      </c>
      <c r="D457" t="s">
        <v>3714</v>
      </c>
      <c r="E457" t="str">
        <f>IF(COUNTIF(Sheet3!E:E,Dash!B457)&gt;0,"Sim","Não")</f>
        <v>Não</v>
      </c>
      <c r="F457" s="2">
        <f>SUMIFS('NF-e de Entrada'!E:E,'NF-e de Entrada'!A:A,Dash!B457,'NF-e de Entrada'!F:F,"Autorizada")</f>
        <v>0</v>
      </c>
      <c r="G457" s="2">
        <f>SUMIFS('NF-e de Entrada'!E:E,'NF-e de Entrada'!A:A,Dash!B457,'NF-e de Entrada'!F:F,"Cancelada")</f>
        <v>0</v>
      </c>
      <c r="H457" s="2">
        <f>SUMIFS('NF-e de Saída'!E:E,'NF-e de Saída'!A:A,Dash!B457,'NF-e de Saída'!F:F,"AUTORIZADA")</f>
        <v>0</v>
      </c>
      <c r="I457" s="2">
        <f>SUMIFS('NF-e de Saída'!E:E,'NF-e de Saída'!A:A,Dash!B457,'NF-e de Saída'!F:F,"CANCELADA")</f>
        <v>0</v>
      </c>
    </row>
    <row r="458" spans="2:9" x14ac:dyDescent="0.3">
      <c r="B458">
        <v>748</v>
      </c>
      <c r="C458" t="s">
        <v>3255</v>
      </c>
      <c r="D458" t="s">
        <v>3715</v>
      </c>
      <c r="E458" t="str">
        <f>IF(COUNTIF(Sheet3!E:E,Dash!B458)&gt;0,"Sim","Não")</f>
        <v>Não</v>
      </c>
      <c r="F458" s="2">
        <f>SUMIFS('NF-e de Entrada'!E:E,'NF-e de Entrada'!A:A,Dash!B458,'NF-e de Entrada'!F:F,"Autorizada")</f>
        <v>0</v>
      </c>
      <c r="G458" s="2">
        <f>SUMIFS('NF-e de Entrada'!E:E,'NF-e de Entrada'!A:A,Dash!B458,'NF-e de Entrada'!F:F,"Cancelada")</f>
        <v>0</v>
      </c>
      <c r="H458" s="2">
        <f>SUMIFS('NF-e de Saída'!E:E,'NF-e de Saída'!A:A,Dash!B458,'NF-e de Saída'!F:F,"AUTORIZADA")</f>
        <v>0</v>
      </c>
      <c r="I458" s="2">
        <f>SUMIFS('NF-e de Saída'!E:E,'NF-e de Saída'!A:A,Dash!B458,'NF-e de Saída'!F:F,"CANCELADA")</f>
        <v>0</v>
      </c>
    </row>
    <row r="459" spans="2:9" x14ac:dyDescent="0.3">
      <c r="B459">
        <v>750</v>
      </c>
      <c r="C459" t="s">
        <v>3256</v>
      </c>
      <c r="D459" t="s">
        <v>3716</v>
      </c>
      <c r="E459" t="str">
        <f>IF(COUNTIF(Sheet3!E:E,Dash!B459)&gt;0,"Sim","Não")</f>
        <v>Não</v>
      </c>
      <c r="F459" s="2">
        <f>SUMIFS('NF-e de Entrada'!E:E,'NF-e de Entrada'!A:A,Dash!B459,'NF-e de Entrada'!F:F,"Autorizada")</f>
        <v>0</v>
      </c>
      <c r="G459" s="2">
        <f>SUMIFS('NF-e de Entrada'!E:E,'NF-e de Entrada'!A:A,Dash!B459,'NF-e de Entrada'!F:F,"Cancelada")</f>
        <v>0</v>
      </c>
      <c r="H459" s="2">
        <f>SUMIFS('NF-e de Saída'!E:E,'NF-e de Saída'!A:A,Dash!B459,'NF-e de Saída'!F:F,"AUTORIZADA")</f>
        <v>0</v>
      </c>
      <c r="I459" s="2">
        <f>SUMIFS('NF-e de Saída'!E:E,'NF-e de Saída'!A:A,Dash!B459,'NF-e de Saída'!F:F,"CANCELADA")</f>
        <v>0</v>
      </c>
    </row>
    <row r="460" spans="2:9" x14ac:dyDescent="0.3">
      <c r="B460">
        <v>751</v>
      </c>
      <c r="C460" t="s">
        <v>3257</v>
      </c>
      <c r="D460" t="s">
        <v>2696</v>
      </c>
      <c r="E460" t="str">
        <f>IF(COUNTIF(Sheet3!E:E,Dash!B460)&gt;0,"Sim","Não")</f>
        <v>Sim</v>
      </c>
      <c r="F460" s="2">
        <f>SUMIFS('NF-e de Entrada'!E:E,'NF-e de Entrada'!A:A,Dash!B460,'NF-e de Entrada'!F:F,"Autorizada")</f>
        <v>0</v>
      </c>
      <c r="G460" s="2">
        <f>SUMIFS('NF-e de Entrada'!E:E,'NF-e de Entrada'!A:A,Dash!B460,'NF-e de Entrada'!F:F,"Cancelada")</f>
        <v>0</v>
      </c>
      <c r="H460" s="2">
        <f>SUMIFS('NF-e de Saída'!E:E,'NF-e de Saída'!A:A,Dash!B460,'NF-e de Saída'!F:F,"AUTORIZADA")</f>
        <v>0</v>
      </c>
      <c r="I460" s="2">
        <f>SUMIFS('NF-e de Saída'!E:E,'NF-e de Saída'!A:A,Dash!B460,'NF-e de Saída'!F:F,"CANCELADA")</f>
        <v>0</v>
      </c>
    </row>
    <row r="461" spans="2:9" x14ac:dyDescent="0.3">
      <c r="B461">
        <v>752</v>
      </c>
      <c r="C461" t="s">
        <v>3258</v>
      </c>
      <c r="D461" t="s">
        <v>3717</v>
      </c>
      <c r="E461" t="str">
        <f>IF(COUNTIF(Sheet3!E:E,Dash!B461)&gt;0,"Sim","Não")</f>
        <v>Não</v>
      </c>
      <c r="F461" s="2">
        <f>SUMIFS('NF-e de Entrada'!E:E,'NF-e de Entrada'!A:A,Dash!B461,'NF-e de Entrada'!F:F,"Autorizada")</f>
        <v>0</v>
      </c>
      <c r="G461" s="2">
        <f>SUMIFS('NF-e de Entrada'!E:E,'NF-e de Entrada'!A:A,Dash!B461,'NF-e de Entrada'!F:F,"Cancelada")</f>
        <v>0</v>
      </c>
      <c r="H461" s="2">
        <f>SUMIFS('NF-e de Saída'!E:E,'NF-e de Saída'!A:A,Dash!B461,'NF-e de Saída'!F:F,"AUTORIZADA")</f>
        <v>0</v>
      </c>
      <c r="I461" s="2">
        <f>SUMIFS('NF-e de Saída'!E:E,'NF-e de Saída'!A:A,Dash!B461,'NF-e de Saída'!F:F,"CANCELADA")</f>
        <v>0</v>
      </c>
    </row>
    <row r="462" spans="2:9" x14ac:dyDescent="0.3">
      <c r="B462">
        <v>753</v>
      </c>
      <c r="C462" t="s">
        <v>3259</v>
      </c>
      <c r="D462" t="s">
        <v>3718</v>
      </c>
      <c r="E462" t="str">
        <f>IF(COUNTIF(Sheet3!E:E,Dash!B462)&gt;0,"Sim","Não")</f>
        <v>Não</v>
      </c>
      <c r="F462" s="2">
        <f>SUMIFS('NF-e de Entrada'!E:E,'NF-e de Entrada'!A:A,Dash!B462,'NF-e de Entrada'!F:F,"Autorizada")</f>
        <v>0</v>
      </c>
      <c r="G462" s="2">
        <f>SUMIFS('NF-e de Entrada'!E:E,'NF-e de Entrada'!A:A,Dash!B462,'NF-e de Entrada'!F:F,"Cancelada")</f>
        <v>0</v>
      </c>
      <c r="H462" s="2">
        <f>SUMIFS('NF-e de Saída'!E:E,'NF-e de Saída'!A:A,Dash!B462,'NF-e de Saída'!F:F,"AUTORIZADA")</f>
        <v>0</v>
      </c>
      <c r="I462" s="2">
        <f>SUMIFS('NF-e de Saída'!E:E,'NF-e de Saída'!A:A,Dash!B462,'NF-e de Saída'!F:F,"CANCELADA")</f>
        <v>0</v>
      </c>
    </row>
    <row r="463" spans="2:9" x14ac:dyDescent="0.3">
      <c r="B463">
        <v>754</v>
      </c>
      <c r="C463" t="s">
        <v>3260</v>
      </c>
      <c r="D463" t="s">
        <v>3719</v>
      </c>
      <c r="E463" t="str">
        <f>IF(COUNTIF(Sheet3!E:E,Dash!B463)&gt;0,"Sim","Não")</f>
        <v>Não</v>
      </c>
      <c r="F463" s="2">
        <f>SUMIFS('NF-e de Entrada'!E:E,'NF-e de Entrada'!A:A,Dash!B463,'NF-e de Entrada'!F:F,"Autorizada")</f>
        <v>0</v>
      </c>
      <c r="G463" s="2">
        <f>SUMIFS('NF-e de Entrada'!E:E,'NF-e de Entrada'!A:A,Dash!B463,'NF-e de Entrada'!F:F,"Cancelada")</f>
        <v>0</v>
      </c>
      <c r="H463" s="2">
        <f>SUMIFS('NF-e de Saída'!E:E,'NF-e de Saída'!A:A,Dash!B463,'NF-e de Saída'!F:F,"AUTORIZADA")</f>
        <v>0</v>
      </c>
      <c r="I463" s="2">
        <f>SUMIFS('NF-e de Saída'!E:E,'NF-e de Saída'!A:A,Dash!B463,'NF-e de Saída'!F:F,"CANCELADA")</f>
        <v>0</v>
      </c>
    </row>
    <row r="464" spans="2:9" x14ac:dyDescent="0.3">
      <c r="B464">
        <v>756</v>
      </c>
      <c r="C464" t="s">
        <v>3261</v>
      </c>
      <c r="D464" t="s">
        <v>3720</v>
      </c>
      <c r="E464" t="str">
        <f>IF(COUNTIF(Sheet3!E:E,Dash!B464)&gt;0,"Sim","Não")</f>
        <v>Não</v>
      </c>
      <c r="F464" s="2">
        <f>SUMIFS('NF-e de Entrada'!E:E,'NF-e de Entrada'!A:A,Dash!B464,'NF-e de Entrada'!F:F,"Autorizada")</f>
        <v>0</v>
      </c>
      <c r="G464" s="2">
        <f>SUMIFS('NF-e de Entrada'!E:E,'NF-e de Entrada'!A:A,Dash!B464,'NF-e de Entrada'!F:F,"Cancelada")</f>
        <v>0</v>
      </c>
      <c r="H464" s="2">
        <f>SUMIFS('NF-e de Saída'!E:E,'NF-e de Saída'!A:A,Dash!B464,'NF-e de Saída'!F:F,"AUTORIZADA")</f>
        <v>0</v>
      </c>
      <c r="I464" s="2">
        <f>SUMIFS('NF-e de Saída'!E:E,'NF-e de Saída'!A:A,Dash!B464,'NF-e de Saída'!F:F,"CANCELADA")</f>
        <v>0</v>
      </c>
    </row>
    <row r="465" spans="2:9" x14ac:dyDescent="0.3">
      <c r="B465">
        <v>757</v>
      </c>
      <c r="C465" t="s">
        <v>3262</v>
      </c>
      <c r="D465" t="s">
        <v>3721</v>
      </c>
      <c r="E465" t="str">
        <f>IF(COUNTIF(Sheet3!E:E,Dash!B465)&gt;0,"Sim","Não")</f>
        <v>Não</v>
      </c>
      <c r="F465" s="2">
        <f>SUMIFS('NF-e de Entrada'!E:E,'NF-e de Entrada'!A:A,Dash!B465,'NF-e de Entrada'!F:F,"Autorizada")</f>
        <v>0</v>
      </c>
      <c r="G465" s="2">
        <f>SUMIFS('NF-e de Entrada'!E:E,'NF-e de Entrada'!A:A,Dash!B465,'NF-e de Entrada'!F:F,"Cancelada")</f>
        <v>0</v>
      </c>
      <c r="H465" s="2">
        <f>SUMIFS('NF-e de Saída'!E:E,'NF-e de Saída'!A:A,Dash!B465,'NF-e de Saída'!F:F,"AUTORIZADA")</f>
        <v>0</v>
      </c>
      <c r="I465" s="2">
        <f>SUMIFS('NF-e de Saída'!E:E,'NF-e de Saída'!A:A,Dash!B465,'NF-e de Saída'!F:F,"CANCELADA")</f>
        <v>0</v>
      </c>
    </row>
    <row r="466" spans="2:9" x14ac:dyDescent="0.3">
      <c r="B466">
        <v>758</v>
      </c>
      <c r="C466" t="s">
        <v>3263</v>
      </c>
      <c r="D466" t="s">
        <v>3722</v>
      </c>
      <c r="E466" t="str">
        <f>IF(COUNTIF(Sheet3!E:E,Dash!B466)&gt;0,"Sim","Não")</f>
        <v>Sim</v>
      </c>
      <c r="F466" s="2">
        <f>SUMIFS('NF-e de Entrada'!E:E,'NF-e de Entrada'!A:A,Dash!B466,'NF-e de Entrada'!F:F,"Autorizada")</f>
        <v>0</v>
      </c>
      <c r="G466" s="2">
        <f>SUMIFS('NF-e de Entrada'!E:E,'NF-e de Entrada'!A:A,Dash!B466,'NF-e de Entrada'!F:F,"Cancelada")</f>
        <v>0</v>
      </c>
      <c r="H466" s="2">
        <f>SUMIFS('NF-e de Saída'!E:E,'NF-e de Saída'!A:A,Dash!B466,'NF-e de Saída'!F:F,"AUTORIZADA")</f>
        <v>0</v>
      </c>
      <c r="I466" s="2">
        <f>SUMIFS('NF-e de Saída'!E:E,'NF-e de Saída'!A:A,Dash!B466,'NF-e de Saída'!F:F,"CANCELADA")</f>
        <v>0</v>
      </c>
    </row>
    <row r="467" spans="2:9" x14ac:dyDescent="0.3">
      <c r="B467">
        <v>759</v>
      </c>
      <c r="C467" t="s">
        <v>3264</v>
      </c>
      <c r="D467" t="s">
        <v>3723</v>
      </c>
      <c r="E467" t="str">
        <f>IF(COUNTIF(Sheet3!E:E,Dash!B467)&gt;0,"Sim","Não")</f>
        <v>Não</v>
      </c>
      <c r="F467" s="2">
        <f>SUMIFS('NF-e de Entrada'!E:E,'NF-e de Entrada'!A:A,Dash!B467,'NF-e de Entrada'!F:F,"Autorizada")</f>
        <v>0</v>
      </c>
      <c r="G467" s="2">
        <f>SUMIFS('NF-e de Entrada'!E:E,'NF-e de Entrada'!A:A,Dash!B467,'NF-e de Entrada'!F:F,"Cancelada")</f>
        <v>0</v>
      </c>
      <c r="H467" s="2">
        <f>SUMIFS('NF-e de Saída'!E:E,'NF-e de Saída'!A:A,Dash!B467,'NF-e de Saída'!F:F,"AUTORIZADA")</f>
        <v>0</v>
      </c>
      <c r="I467" s="2">
        <f>SUMIFS('NF-e de Saída'!E:E,'NF-e de Saída'!A:A,Dash!B467,'NF-e de Saída'!F:F,"CANCELADA")</f>
        <v>0</v>
      </c>
    </row>
    <row r="468" spans="2:9" x14ac:dyDescent="0.3">
      <c r="B468">
        <v>760</v>
      </c>
      <c r="C468" t="s">
        <v>3265</v>
      </c>
      <c r="D468" t="s">
        <v>3724</v>
      </c>
      <c r="E468" t="str">
        <f>IF(COUNTIF(Sheet3!E:E,Dash!B468)&gt;0,"Sim","Não")</f>
        <v>Não</v>
      </c>
      <c r="F468" s="2">
        <f>SUMIFS('NF-e de Entrada'!E:E,'NF-e de Entrada'!A:A,Dash!B468,'NF-e de Entrada'!F:F,"Autorizada")</f>
        <v>0</v>
      </c>
      <c r="G468" s="2">
        <f>SUMIFS('NF-e de Entrada'!E:E,'NF-e de Entrada'!A:A,Dash!B468,'NF-e de Entrada'!F:F,"Cancelada")</f>
        <v>0</v>
      </c>
      <c r="H468" s="2">
        <f>SUMIFS('NF-e de Saída'!E:E,'NF-e de Saída'!A:A,Dash!B468,'NF-e de Saída'!F:F,"AUTORIZADA")</f>
        <v>0</v>
      </c>
      <c r="I468" s="2">
        <f>SUMIFS('NF-e de Saída'!E:E,'NF-e de Saída'!A:A,Dash!B468,'NF-e de Saída'!F:F,"CANCELADA")</f>
        <v>0</v>
      </c>
    </row>
    <row r="469" spans="2:9" x14ac:dyDescent="0.3">
      <c r="B469">
        <v>761</v>
      </c>
      <c r="C469" t="s">
        <v>3266</v>
      </c>
      <c r="D469" t="s">
        <v>3725</v>
      </c>
      <c r="E469" t="str">
        <f>IF(COUNTIF(Sheet3!E:E,Dash!B469)&gt;0,"Sim","Não")</f>
        <v>Sim</v>
      </c>
      <c r="F469" s="2">
        <f>SUMIFS('NF-e de Entrada'!E:E,'NF-e de Entrada'!A:A,Dash!B469,'NF-e de Entrada'!F:F,"Autorizada")</f>
        <v>0</v>
      </c>
      <c r="G469" s="2">
        <f>SUMIFS('NF-e de Entrada'!E:E,'NF-e de Entrada'!A:A,Dash!B469,'NF-e de Entrada'!F:F,"Cancelada")</f>
        <v>0</v>
      </c>
      <c r="H469" s="2">
        <f>SUMIFS('NF-e de Saída'!E:E,'NF-e de Saída'!A:A,Dash!B469,'NF-e de Saída'!F:F,"AUTORIZADA")</f>
        <v>0</v>
      </c>
      <c r="I469" s="2">
        <f>SUMIFS('NF-e de Saída'!E:E,'NF-e de Saída'!A:A,Dash!B469,'NF-e de Saída'!F:F,"CANCELADA")</f>
        <v>0</v>
      </c>
    </row>
    <row r="470" spans="2:9" x14ac:dyDescent="0.3">
      <c r="B470">
        <v>762</v>
      </c>
      <c r="C470" t="s">
        <v>3267</v>
      </c>
      <c r="D470" t="s">
        <v>3726</v>
      </c>
      <c r="E470" t="str">
        <f>IF(COUNTIF(Sheet3!E:E,Dash!B470)&gt;0,"Sim","Não")</f>
        <v>Sim</v>
      </c>
      <c r="F470" s="2">
        <f>SUMIFS('NF-e de Entrada'!E:E,'NF-e de Entrada'!A:A,Dash!B470,'NF-e de Entrada'!F:F,"Autorizada")</f>
        <v>0</v>
      </c>
      <c r="G470" s="2">
        <f>SUMIFS('NF-e de Entrada'!E:E,'NF-e de Entrada'!A:A,Dash!B470,'NF-e de Entrada'!F:F,"Cancelada")</f>
        <v>0</v>
      </c>
      <c r="H470" s="2">
        <f>SUMIFS('NF-e de Saída'!E:E,'NF-e de Saída'!A:A,Dash!B470,'NF-e de Saída'!F:F,"AUTORIZADA")</f>
        <v>0</v>
      </c>
      <c r="I470" s="2">
        <f>SUMIFS('NF-e de Saída'!E:E,'NF-e de Saída'!A:A,Dash!B470,'NF-e de Saída'!F:F,"CANCELADA")</f>
        <v>0</v>
      </c>
    </row>
    <row r="471" spans="2:9" x14ac:dyDescent="0.3">
      <c r="B471">
        <v>763</v>
      </c>
      <c r="C471" t="s">
        <v>3268</v>
      </c>
      <c r="D471" t="s">
        <v>3727</v>
      </c>
      <c r="E471" t="str">
        <f>IF(COUNTIF(Sheet3!E:E,Dash!B471)&gt;0,"Sim","Não")</f>
        <v>Sim</v>
      </c>
      <c r="F471" s="2">
        <f>SUMIFS('NF-e de Entrada'!E:E,'NF-e de Entrada'!A:A,Dash!B471,'NF-e de Entrada'!F:F,"Autorizada")</f>
        <v>0</v>
      </c>
      <c r="G471" s="2">
        <f>SUMIFS('NF-e de Entrada'!E:E,'NF-e de Entrada'!A:A,Dash!B471,'NF-e de Entrada'!F:F,"Cancelada")</f>
        <v>0</v>
      </c>
      <c r="H471" s="2">
        <f>SUMIFS('NF-e de Saída'!E:E,'NF-e de Saída'!A:A,Dash!B471,'NF-e de Saída'!F:F,"AUTORIZADA")</f>
        <v>0</v>
      </c>
      <c r="I471" s="2">
        <f>SUMIFS('NF-e de Saída'!E:E,'NF-e de Saída'!A:A,Dash!B471,'NF-e de Saída'!F:F,"CANCELADA")</f>
        <v>0</v>
      </c>
    </row>
    <row r="472" spans="2:9" x14ac:dyDescent="0.3">
      <c r="B472">
        <v>764</v>
      </c>
      <c r="C472" t="s">
        <v>3269</v>
      </c>
      <c r="D472" t="s">
        <v>3728</v>
      </c>
      <c r="E472" t="str">
        <f>IF(COUNTIF(Sheet3!E:E,Dash!B472)&gt;0,"Sim","Não")</f>
        <v>Sim</v>
      </c>
      <c r="F472" s="2">
        <f>SUMIFS('NF-e de Entrada'!E:E,'NF-e de Entrada'!A:A,Dash!B472,'NF-e de Entrada'!F:F,"Autorizada")</f>
        <v>0</v>
      </c>
      <c r="G472" s="2">
        <f>SUMIFS('NF-e de Entrada'!E:E,'NF-e de Entrada'!A:A,Dash!B472,'NF-e de Entrada'!F:F,"Cancelada")</f>
        <v>0</v>
      </c>
      <c r="H472" s="2">
        <f>SUMIFS('NF-e de Saída'!E:E,'NF-e de Saída'!A:A,Dash!B472,'NF-e de Saída'!F:F,"AUTORIZADA")</f>
        <v>0</v>
      </c>
      <c r="I472" s="2">
        <f>SUMIFS('NF-e de Saída'!E:E,'NF-e de Saída'!A:A,Dash!B472,'NF-e de Saída'!F:F,"CANCELADA")</f>
        <v>0</v>
      </c>
    </row>
    <row r="473" spans="2:9" x14ac:dyDescent="0.3">
      <c r="B473">
        <v>765</v>
      </c>
      <c r="C473" t="s">
        <v>3270</v>
      </c>
      <c r="D473" t="s">
        <v>3729</v>
      </c>
      <c r="E473" t="str">
        <f>IF(COUNTIF(Sheet3!E:E,Dash!B473)&gt;0,"Sim","Não")</f>
        <v>Não</v>
      </c>
      <c r="F473" s="2">
        <f>SUMIFS('NF-e de Entrada'!E:E,'NF-e de Entrada'!A:A,Dash!B473,'NF-e de Entrada'!F:F,"Autorizada")</f>
        <v>0</v>
      </c>
      <c r="G473" s="2">
        <f>SUMIFS('NF-e de Entrada'!E:E,'NF-e de Entrada'!A:A,Dash!B473,'NF-e de Entrada'!F:F,"Cancelada")</f>
        <v>0</v>
      </c>
      <c r="H473" s="2">
        <f>SUMIFS('NF-e de Saída'!E:E,'NF-e de Saída'!A:A,Dash!B473,'NF-e de Saída'!F:F,"AUTORIZADA")</f>
        <v>0</v>
      </c>
      <c r="I473" s="2">
        <f>SUMIFS('NF-e de Saída'!E:E,'NF-e de Saída'!A:A,Dash!B473,'NF-e de Saída'!F:F,"CANCELADA")</f>
        <v>0</v>
      </c>
    </row>
    <row r="474" spans="2:9" x14ac:dyDescent="0.3">
      <c r="B474">
        <v>766</v>
      </c>
      <c r="C474" t="s">
        <v>3271</v>
      </c>
      <c r="D474" t="s">
        <v>3730</v>
      </c>
      <c r="E474" t="str">
        <f>IF(COUNTIF(Sheet3!E:E,Dash!B474)&gt;0,"Sim","Não")</f>
        <v>Não</v>
      </c>
      <c r="F474" s="2">
        <f>SUMIFS('NF-e de Entrada'!E:E,'NF-e de Entrada'!A:A,Dash!B474,'NF-e de Entrada'!F:F,"Autorizada")</f>
        <v>0</v>
      </c>
      <c r="G474" s="2">
        <f>SUMIFS('NF-e de Entrada'!E:E,'NF-e de Entrada'!A:A,Dash!B474,'NF-e de Entrada'!F:F,"Cancelada")</f>
        <v>0</v>
      </c>
      <c r="H474" s="2">
        <f>SUMIFS('NF-e de Saída'!E:E,'NF-e de Saída'!A:A,Dash!B474,'NF-e de Saída'!F:F,"AUTORIZADA")</f>
        <v>0</v>
      </c>
      <c r="I474" s="2">
        <f>SUMIFS('NF-e de Saída'!E:E,'NF-e de Saída'!A:A,Dash!B474,'NF-e de Saída'!F:F,"CANCELADA")</f>
        <v>0</v>
      </c>
    </row>
    <row r="475" spans="2:9" x14ac:dyDescent="0.3">
      <c r="B475">
        <v>767</v>
      </c>
      <c r="C475" t="s">
        <v>3272</v>
      </c>
      <c r="D475" t="s">
        <v>3731</v>
      </c>
      <c r="E475" t="str">
        <f>IF(COUNTIF(Sheet3!E:E,Dash!B475)&gt;0,"Sim","Não")</f>
        <v>Não</v>
      </c>
      <c r="F475" s="2">
        <f>SUMIFS('NF-e de Entrada'!E:E,'NF-e de Entrada'!A:A,Dash!B475,'NF-e de Entrada'!F:F,"Autorizada")</f>
        <v>0</v>
      </c>
      <c r="G475" s="2">
        <f>SUMIFS('NF-e de Entrada'!E:E,'NF-e de Entrada'!A:A,Dash!B475,'NF-e de Entrada'!F:F,"Cancelada")</f>
        <v>0</v>
      </c>
      <c r="H475" s="2">
        <f>SUMIFS('NF-e de Saída'!E:E,'NF-e de Saída'!A:A,Dash!B475,'NF-e de Saída'!F:F,"AUTORIZADA")</f>
        <v>0</v>
      </c>
      <c r="I475" s="2">
        <f>SUMIFS('NF-e de Saída'!E:E,'NF-e de Saída'!A:A,Dash!B475,'NF-e de Saída'!F:F,"CANCELADA")</f>
        <v>0</v>
      </c>
    </row>
    <row r="476" spans="2:9" x14ac:dyDescent="0.3">
      <c r="B476">
        <v>768</v>
      </c>
      <c r="C476" t="s">
        <v>3273</v>
      </c>
      <c r="D476" t="s">
        <v>2522</v>
      </c>
      <c r="E476" t="str">
        <f>IF(COUNTIF(Sheet3!E:E,Dash!B476)&gt;0,"Sim","Não")</f>
        <v>Sim</v>
      </c>
      <c r="F476" s="2">
        <f>SUMIFS('NF-e de Entrada'!E:E,'NF-e de Entrada'!A:A,Dash!B476,'NF-e de Entrada'!F:F,"Autorizada")</f>
        <v>8418348.4900000058</v>
      </c>
      <c r="G476" s="2">
        <f>SUMIFS('NF-e de Entrada'!E:E,'NF-e de Entrada'!A:A,Dash!B476,'NF-e de Entrada'!F:F,"Cancelada")</f>
        <v>179499.55</v>
      </c>
      <c r="H476" s="2">
        <f>SUMIFS('NF-e de Saída'!E:E,'NF-e de Saída'!A:A,Dash!B476,'NF-e de Saída'!F:F,"AUTORIZADA")</f>
        <v>0</v>
      </c>
      <c r="I476" s="2">
        <f>SUMIFS('NF-e de Saída'!E:E,'NF-e de Saída'!A:A,Dash!B476,'NF-e de Saída'!F:F,"CANCELADA")</f>
        <v>0</v>
      </c>
    </row>
    <row r="477" spans="2:9" x14ac:dyDescent="0.3">
      <c r="B477">
        <v>769</v>
      </c>
      <c r="C477" t="s">
        <v>3274</v>
      </c>
      <c r="D477" t="s">
        <v>2522</v>
      </c>
      <c r="E477" t="str">
        <f>IF(COUNTIF(Sheet3!E:E,Dash!B477)&gt;0,"Sim","Não")</f>
        <v>Sim</v>
      </c>
      <c r="F477" s="2">
        <f>SUMIFS('NF-e de Entrada'!E:E,'NF-e de Entrada'!A:A,Dash!B477,'NF-e de Entrada'!F:F,"Autorizada")</f>
        <v>0</v>
      </c>
      <c r="G477" s="2">
        <f>SUMIFS('NF-e de Entrada'!E:E,'NF-e de Entrada'!A:A,Dash!B477,'NF-e de Entrada'!F:F,"Cancelada")</f>
        <v>0</v>
      </c>
      <c r="H477" s="2">
        <f>SUMIFS('NF-e de Saída'!E:E,'NF-e de Saída'!A:A,Dash!B477,'NF-e de Saída'!F:F,"AUTORIZADA")</f>
        <v>0</v>
      </c>
      <c r="I477" s="2">
        <f>SUMIFS('NF-e de Saída'!E:E,'NF-e de Saída'!A:A,Dash!B477,'NF-e de Saída'!F:F,"CANCELADA")</f>
        <v>0</v>
      </c>
    </row>
    <row r="478" spans="2:9" x14ac:dyDescent="0.3">
      <c r="B478">
        <v>771</v>
      </c>
      <c r="C478" t="s">
        <v>3275</v>
      </c>
      <c r="D478" t="s">
        <v>3732</v>
      </c>
      <c r="E478" t="str">
        <f>IF(COUNTIF(Sheet3!E:E,Dash!B478)&gt;0,"Sim","Não")</f>
        <v>Não</v>
      </c>
      <c r="F478" s="2">
        <f>SUMIFS('NF-e de Entrada'!E:E,'NF-e de Entrada'!A:A,Dash!B478,'NF-e de Entrada'!F:F,"Autorizada")</f>
        <v>0</v>
      </c>
      <c r="G478" s="2">
        <f>SUMIFS('NF-e de Entrada'!E:E,'NF-e de Entrada'!A:A,Dash!B478,'NF-e de Entrada'!F:F,"Cancelada")</f>
        <v>0</v>
      </c>
      <c r="H478" s="2">
        <f>SUMIFS('NF-e de Saída'!E:E,'NF-e de Saída'!A:A,Dash!B478,'NF-e de Saída'!F:F,"AUTORIZADA")</f>
        <v>0</v>
      </c>
      <c r="I478" s="2">
        <f>SUMIFS('NF-e de Saída'!E:E,'NF-e de Saída'!A:A,Dash!B478,'NF-e de Saída'!F:F,"CANCELADA")</f>
        <v>0</v>
      </c>
    </row>
    <row r="479" spans="2:9" x14ac:dyDescent="0.3">
      <c r="B479">
        <v>772</v>
      </c>
      <c r="C479" t="s">
        <v>3276</v>
      </c>
      <c r="D479" t="s">
        <v>3733</v>
      </c>
      <c r="E479" t="str">
        <f>IF(COUNTIF(Sheet3!E:E,Dash!B479)&gt;0,"Sim","Não")</f>
        <v>Sim</v>
      </c>
      <c r="F479" s="2">
        <f>SUMIFS('NF-e de Entrada'!E:E,'NF-e de Entrada'!A:A,Dash!B479,'NF-e de Entrada'!F:F,"Autorizada")</f>
        <v>0</v>
      </c>
      <c r="G479" s="2">
        <f>SUMIFS('NF-e de Entrada'!E:E,'NF-e de Entrada'!A:A,Dash!B479,'NF-e de Entrada'!F:F,"Cancelada")</f>
        <v>0</v>
      </c>
      <c r="H479" s="2">
        <f>SUMIFS('NF-e de Saída'!E:E,'NF-e de Saída'!A:A,Dash!B479,'NF-e de Saída'!F:F,"AUTORIZADA")</f>
        <v>0</v>
      </c>
      <c r="I479" s="2">
        <f>SUMIFS('NF-e de Saída'!E:E,'NF-e de Saída'!A:A,Dash!B479,'NF-e de Saída'!F:F,"CANCELADA")</f>
        <v>0</v>
      </c>
    </row>
    <row r="480" spans="2:9" x14ac:dyDescent="0.3">
      <c r="B480">
        <v>773</v>
      </c>
      <c r="C480" t="s">
        <v>3277</v>
      </c>
      <c r="D480" t="s">
        <v>3734</v>
      </c>
      <c r="E480" t="str">
        <f>IF(COUNTIF(Sheet3!E:E,Dash!B480)&gt;0,"Sim","Não")</f>
        <v>Não</v>
      </c>
      <c r="F480" s="2">
        <f>SUMIFS('NF-e de Entrada'!E:E,'NF-e de Entrada'!A:A,Dash!B480,'NF-e de Entrada'!F:F,"Autorizada")</f>
        <v>0</v>
      </c>
      <c r="G480" s="2">
        <f>SUMIFS('NF-e de Entrada'!E:E,'NF-e de Entrada'!A:A,Dash!B480,'NF-e de Entrada'!F:F,"Cancelada")</f>
        <v>0</v>
      </c>
      <c r="H480" s="2">
        <f>SUMIFS('NF-e de Saída'!E:E,'NF-e de Saída'!A:A,Dash!B480,'NF-e de Saída'!F:F,"AUTORIZADA")</f>
        <v>0</v>
      </c>
      <c r="I480" s="2">
        <f>SUMIFS('NF-e de Saída'!E:E,'NF-e de Saída'!A:A,Dash!B480,'NF-e de Saída'!F:F,"CANCELADA")</f>
        <v>0</v>
      </c>
    </row>
    <row r="481" spans="2:9" x14ac:dyDescent="0.3">
      <c r="B481">
        <v>774</v>
      </c>
      <c r="C481" t="s">
        <v>3278</v>
      </c>
      <c r="D481" t="s">
        <v>3735</v>
      </c>
      <c r="E481" t="str">
        <f>IF(COUNTIF(Sheet3!E:E,Dash!B481)&gt;0,"Sim","Não")</f>
        <v>Não</v>
      </c>
      <c r="F481" s="2">
        <f>SUMIFS('NF-e de Entrada'!E:E,'NF-e de Entrada'!A:A,Dash!B481,'NF-e de Entrada'!F:F,"Autorizada")</f>
        <v>0</v>
      </c>
      <c r="G481" s="2">
        <f>SUMIFS('NF-e de Entrada'!E:E,'NF-e de Entrada'!A:A,Dash!B481,'NF-e de Entrada'!F:F,"Cancelada")</f>
        <v>0</v>
      </c>
      <c r="H481" s="2">
        <f>SUMIFS('NF-e de Saída'!E:E,'NF-e de Saída'!A:A,Dash!B481,'NF-e de Saída'!F:F,"AUTORIZADA")</f>
        <v>0</v>
      </c>
      <c r="I481" s="2">
        <f>SUMIFS('NF-e de Saída'!E:E,'NF-e de Saída'!A:A,Dash!B481,'NF-e de Saída'!F:F,"CANCELADA")</f>
        <v>0</v>
      </c>
    </row>
    <row r="482" spans="2:9" x14ac:dyDescent="0.3">
      <c r="B482">
        <v>775</v>
      </c>
      <c r="C482" t="s">
        <v>3279</v>
      </c>
      <c r="D482" t="s">
        <v>3736</v>
      </c>
      <c r="E482" t="str">
        <f>IF(COUNTIF(Sheet3!E:E,Dash!B482)&gt;0,"Sim","Não")</f>
        <v>Não</v>
      </c>
      <c r="F482" s="2">
        <f>SUMIFS('NF-e de Entrada'!E:E,'NF-e de Entrada'!A:A,Dash!B482,'NF-e de Entrada'!F:F,"Autorizada")</f>
        <v>0</v>
      </c>
      <c r="G482" s="2">
        <f>SUMIFS('NF-e de Entrada'!E:E,'NF-e de Entrada'!A:A,Dash!B482,'NF-e de Entrada'!F:F,"Cancelada")</f>
        <v>0</v>
      </c>
      <c r="H482" s="2">
        <f>SUMIFS('NF-e de Saída'!E:E,'NF-e de Saída'!A:A,Dash!B482,'NF-e de Saída'!F:F,"AUTORIZADA")</f>
        <v>0</v>
      </c>
      <c r="I482" s="2">
        <f>SUMIFS('NF-e de Saída'!E:E,'NF-e de Saída'!A:A,Dash!B482,'NF-e de Saída'!F:F,"CANCELADA")</f>
        <v>0</v>
      </c>
    </row>
    <row r="483" spans="2:9" x14ac:dyDescent="0.3">
      <c r="B483">
        <v>776</v>
      </c>
      <c r="C483" t="s">
        <v>3280</v>
      </c>
      <c r="D483" t="s">
        <v>2765</v>
      </c>
      <c r="E483" t="str">
        <f>IF(COUNTIF(Sheet3!E:E,Dash!B483)&gt;0,"Sim","Não")</f>
        <v>Sim</v>
      </c>
      <c r="F483" s="2">
        <f>SUMIFS('NF-e de Entrada'!E:E,'NF-e de Entrada'!A:A,Dash!B483,'NF-e de Entrada'!F:F,"Autorizada")</f>
        <v>0</v>
      </c>
      <c r="G483" s="2">
        <f>SUMIFS('NF-e de Entrada'!E:E,'NF-e de Entrada'!A:A,Dash!B483,'NF-e de Entrada'!F:F,"Cancelada")</f>
        <v>0</v>
      </c>
      <c r="H483" s="2">
        <f>SUMIFS('NF-e de Saída'!E:E,'NF-e de Saída'!A:A,Dash!B483,'NF-e de Saída'!F:F,"AUTORIZADA")</f>
        <v>0</v>
      </c>
      <c r="I483" s="2">
        <f>SUMIFS('NF-e de Saída'!E:E,'NF-e de Saída'!A:A,Dash!B483,'NF-e de Saída'!F:F,"CANCELADA")</f>
        <v>0</v>
      </c>
    </row>
    <row r="484" spans="2:9" x14ac:dyDescent="0.3">
      <c r="B484">
        <v>778</v>
      </c>
      <c r="C484" t="s">
        <v>3281</v>
      </c>
      <c r="D484" t="s">
        <v>2547</v>
      </c>
      <c r="E484" t="str">
        <f>IF(COUNTIF(Sheet3!E:E,Dash!B484)&gt;0,"Sim","Não")</f>
        <v>Sim</v>
      </c>
      <c r="F484" s="2">
        <f>SUMIFS('NF-e de Entrada'!E:E,'NF-e de Entrada'!A:A,Dash!B484,'NF-e de Entrada'!F:F,"Autorizada")</f>
        <v>0</v>
      </c>
      <c r="G484" s="2">
        <f>SUMIFS('NF-e de Entrada'!E:E,'NF-e de Entrada'!A:A,Dash!B484,'NF-e de Entrada'!F:F,"Cancelada")</f>
        <v>0</v>
      </c>
      <c r="H484" s="2">
        <f>SUMIFS('NF-e de Saída'!E:E,'NF-e de Saída'!A:A,Dash!B484,'NF-e de Saída'!F:F,"AUTORIZADA")</f>
        <v>0</v>
      </c>
      <c r="I484" s="2">
        <f>SUMIFS('NF-e de Saída'!E:E,'NF-e de Saída'!A:A,Dash!B484,'NF-e de Saída'!F:F,"CANCELADA")</f>
        <v>0</v>
      </c>
    </row>
    <row r="485" spans="2:9" x14ac:dyDescent="0.3">
      <c r="B485">
        <v>779</v>
      </c>
      <c r="C485" t="s">
        <v>3282</v>
      </c>
      <c r="D485" t="s">
        <v>3737</v>
      </c>
      <c r="E485" t="str">
        <f>IF(COUNTIF(Sheet3!E:E,Dash!B485)&gt;0,"Sim","Não")</f>
        <v>Não</v>
      </c>
      <c r="F485" s="2">
        <f>SUMIFS('NF-e de Entrada'!E:E,'NF-e de Entrada'!A:A,Dash!B485,'NF-e de Entrada'!F:F,"Autorizada")</f>
        <v>0</v>
      </c>
      <c r="G485" s="2">
        <f>SUMIFS('NF-e de Entrada'!E:E,'NF-e de Entrada'!A:A,Dash!B485,'NF-e de Entrada'!F:F,"Cancelada")</f>
        <v>0</v>
      </c>
      <c r="H485" s="2">
        <f>SUMIFS('NF-e de Saída'!E:E,'NF-e de Saída'!A:A,Dash!B485,'NF-e de Saída'!F:F,"AUTORIZADA")</f>
        <v>0</v>
      </c>
      <c r="I485" s="2">
        <f>SUMIFS('NF-e de Saída'!E:E,'NF-e de Saída'!A:A,Dash!B485,'NF-e de Saída'!F:F,"CANCELADA")</f>
        <v>0</v>
      </c>
    </row>
    <row r="486" spans="2:9" x14ac:dyDescent="0.3">
      <c r="B486">
        <v>780</v>
      </c>
      <c r="C486" t="s">
        <v>3283</v>
      </c>
      <c r="D486" t="s">
        <v>3738</v>
      </c>
      <c r="E486" t="str">
        <f>IF(COUNTIF(Sheet3!E:E,Dash!B486)&gt;0,"Sim","Não")</f>
        <v>Não</v>
      </c>
      <c r="F486" s="2">
        <f>SUMIFS('NF-e de Entrada'!E:E,'NF-e de Entrada'!A:A,Dash!B486,'NF-e de Entrada'!F:F,"Autorizada")</f>
        <v>0</v>
      </c>
      <c r="G486" s="2">
        <f>SUMIFS('NF-e de Entrada'!E:E,'NF-e de Entrada'!A:A,Dash!B486,'NF-e de Entrada'!F:F,"Cancelada")</f>
        <v>0</v>
      </c>
      <c r="H486" s="2">
        <f>SUMIFS('NF-e de Saída'!E:E,'NF-e de Saída'!A:A,Dash!B486,'NF-e de Saída'!F:F,"AUTORIZADA")</f>
        <v>0</v>
      </c>
      <c r="I486" s="2">
        <f>SUMIFS('NF-e de Saída'!E:E,'NF-e de Saída'!A:A,Dash!B486,'NF-e de Saída'!F:F,"CANCELADA")</f>
        <v>0</v>
      </c>
    </row>
    <row r="487" spans="2:9" x14ac:dyDescent="0.3">
      <c r="B487">
        <v>781</v>
      </c>
      <c r="C487" t="s">
        <v>3284</v>
      </c>
      <c r="D487" t="s">
        <v>3739</v>
      </c>
      <c r="E487" t="str">
        <f>IF(COUNTIF(Sheet3!E:E,Dash!B487)&gt;0,"Sim","Não")</f>
        <v>Não</v>
      </c>
      <c r="F487" s="2">
        <f>SUMIFS('NF-e de Entrada'!E:E,'NF-e de Entrada'!A:A,Dash!B487,'NF-e de Entrada'!F:F,"Autorizada")</f>
        <v>0</v>
      </c>
      <c r="G487" s="2">
        <f>SUMIFS('NF-e de Entrada'!E:E,'NF-e de Entrada'!A:A,Dash!B487,'NF-e de Entrada'!F:F,"Cancelada")</f>
        <v>0</v>
      </c>
      <c r="H487" s="2">
        <f>SUMIFS('NF-e de Saída'!E:E,'NF-e de Saída'!A:A,Dash!B487,'NF-e de Saída'!F:F,"AUTORIZADA")</f>
        <v>0</v>
      </c>
      <c r="I487" s="2">
        <f>SUMIFS('NF-e de Saída'!E:E,'NF-e de Saída'!A:A,Dash!B487,'NF-e de Saída'!F:F,"CANCELADA")</f>
        <v>0</v>
      </c>
    </row>
    <row r="488" spans="2:9" x14ac:dyDescent="0.3">
      <c r="B488">
        <v>782</v>
      </c>
      <c r="C488" t="s">
        <v>3285</v>
      </c>
      <c r="D488" t="s">
        <v>3740</v>
      </c>
      <c r="E488" t="str">
        <f>IF(COUNTIF(Sheet3!E:E,Dash!B488)&gt;0,"Sim","Não")</f>
        <v>Não</v>
      </c>
      <c r="F488" s="2">
        <f>SUMIFS('NF-e de Entrada'!E:E,'NF-e de Entrada'!A:A,Dash!B488,'NF-e de Entrada'!F:F,"Autorizada")</f>
        <v>0</v>
      </c>
      <c r="G488" s="2">
        <f>SUMIFS('NF-e de Entrada'!E:E,'NF-e de Entrada'!A:A,Dash!B488,'NF-e de Entrada'!F:F,"Cancelada")</f>
        <v>0</v>
      </c>
      <c r="H488" s="2">
        <f>SUMIFS('NF-e de Saída'!E:E,'NF-e de Saída'!A:A,Dash!B488,'NF-e de Saída'!F:F,"AUTORIZADA")</f>
        <v>0</v>
      </c>
      <c r="I488" s="2">
        <f>SUMIFS('NF-e de Saída'!E:E,'NF-e de Saída'!A:A,Dash!B488,'NF-e de Saída'!F:F,"CANCELADA")</f>
        <v>0</v>
      </c>
    </row>
    <row r="489" spans="2:9" x14ac:dyDescent="0.3">
      <c r="B489">
        <v>783</v>
      </c>
      <c r="C489" t="s">
        <v>3286</v>
      </c>
      <c r="D489" t="s">
        <v>3741</v>
      </c>
      <c r="E489" t="str">
        <f>IF(COUNTIF(Sheet3!E:E,Dash!B489)&gt;0,"Sim","Não")</f>
        <v>Sim</v>
      </c>
      <c r="F489" s="2">
        <f>SUMIFS('NF-e de Entrada'!E:E,'NF-e de Entrada'!A:A,Dash!B489,'NF-e de Entrada'!F:F,"Autorizada")</f>
        <v>0</v>
      </c>
      <c r="G489" s="2">
        <f>SUMIFS('NF-e de Entrada'!E:E,'NF-e de Entrada'!A:A,Dash!B489,'NF-e de Entrada'!F:F,"Cancelada")</f>
        <v>0</v>
      </c>
      <c r="H489" s="2">
        <f>SUMIFS('NF-e de Saída'!E:E,'NF-e de Saída'!A:A,Dash!B489,'NF-e de Saída'!F:F,"AUTORIZADA")</f>
        <v>0</v>
      </c>
      <c r="I489" s="2">
        <f>SUMIFS('NF-e de Saída'!E:E,'NF-e de Saída'!A:A,Dash!B489,'NF-e de Saída'!F:F,"CANCELADA")</f>
        <v>0</v>
      </c>
    </row>
    <row r="490" spans="2:9" x14ac:dyDescent="0.3">
      <c r="B490">
        <v>784</v>
      </c>
      <c r="C490" t="s">
        <v>3287</v>
      </c>
      <c r="D490" t="s">
        <v>2769</v>
      </c>
      <c r="E490" t="str">
        <f>IF(COUNTIF(Sheet3!E:E,Dash!B490)&gt;0,"Sim","Não")</f>
        <v>Sim</v>
      </c>
      <c r="F490" s="2">
        <f>SUMIFS('NF-e de Entrada'!E:E,'NF-e de Entrada'!A:A,Dash!B490,'NF-e de Entrada'!F:F,"Autorizada")</f>
        <v>0</v>
      </c>
      <c r="G490" s="2">
        <f>SUMIFS('NF-e de Entrada'!E:E,'NF-e de Entrada'!A:A,Dash!B490,'NF-e de Entrada'!F:F,"Cancelada")</f>
        <v>0</v>
      </c>
      <c r="H490" s="2">
        <f>SUMIFS('NF-e de Saída'!E:E,'NF-e de Saída'!A:A,Dash!B490,'NF-e de Saída'!F:F,"AUTORIZADA")</f>
        <v>0</v>
      </c>
      <c r="I490" s="2">
        <f>SUMIFS('NF-e de Saída'!E:E,'NF-e de Saída'!A:A,Dash!B490,'NF-e de Saída'!F:F,"CANCELADA")</f>
        <v>0</v>
      </c>
    </row>
    <row r="491" spans="2:9" x14ac:dyDescent="0.3">
      <c r="B491">
        <v>785</v>
      </c>
      <c r="C491" t="s">
        <v>3288</v>
      </c>
      <c r="D491" t="s">
        <v>3742</v>
      </c>
      <c r="E491" t="str">
        <f>IF(COUNTIF(Sheet3!E:E,Dash!B491)&gt;0,"Sim","Não")</f>
        <v>Não</v>
      </c>
      <c r="F491" s="2">
        <f>SUMIFS('NF-e de Entrada'!E:E,'NF-e de Entrada'!A:A,Dash!B491,'NF-e de Entrada'!F:F,"Autorizada")</f>
        <v>0</v>
      </c>
      <c r="G491" s="2">
        <f>SUMIFS('NF-e de Entrada'!E:E,'NF-e de Entrada'!A:A,Dash!B491,'NF-e de Entrada'!F:F,"Cancelada")</f>
        <v>0</v>
      </c>
      <c r="H491" s="2">
        <f>SUMIFS('NF-e de Saída'!E:E,'NF-e de Saída'!A:A,Dash!B491,'NF-e de Saída'!F:F,"AUTORIZADA")</f>
        <v>0</v>
      </c>
      <c r="I491" s="2">
        <f>SUMIFS('NF-e de Saída'!E:E,'NF-e de Saída'!A:A,Dash!B491,'NF-e de Saída'!F:F,"CANCELADA")</f>
        <v>0</v>
      </c>
    </row>
    <row r="492" spans="2:9" x14ac:dyDescent="0.3">
      <c r="B492">
        <v>786</v>
      </c>
      <c r="C492" t="s">
        <v>3289</v>
      </c>
      <c r="D492" t="s">
        <v>3743</v>
      </c>
      <c r="E492" t="str">
        <f>IF(COUNTIF(Sheet3!E:E,Dash!B492)&gt;0,"Sim","Não")</f>
        <v>Não</v>
      </c>
      <c r="F492" s="2">
        <f>SUMIFS('NF-e de Entrada'!E:E,'NF-e de Entrada'!A:A,Dash!B492,'NF-e de Entrada'!F:F,"Autorizada")</f>
        <v>0</v>
      </c>
      <c r="G492" s="2">
        <f>SUMIFS('NF-e de Entrada'!E:E,'NF-e de Entrada'!A:A,Dash!B492,'NF-e de Entrada'!F:F,"Cancelada")</f>
        <v>0</v>
      </c>
      <c r="H492" s="2">
        <f>SUMIFS('NF-e de Saída'!E:E,'NF-e de Saída'!A:A,Dash!B492,'NF-e de Saída'!F:F,"AUTORIZADA")</f>
        <v>0</v>
      </c>
      <c r="I492" s="2">
        <f>SUMIFS('NF-e de Saída'!E:E,'NF-e de Saída'!A:A,Dash!B492,'NF-e de Saída'!F:F,"CANCELADA")</f>
        <v>0</v>
      </c>
    </row>
    <row r="493" spans="2:9" x14ac:dyDescent="0.3">
      <c r="B493">
        <v>787</v>
      </c>
      <c r="C493" t="s">
        <v>3290</v>
      </c>
      <c r="D493" t="s">
        <v>3744</v>
      </c>
      <c r="E493" t="str">
        <f>IF(COUNTIF(Sheet3!E:E,Dash!B493)&gt;0,"Sim","Não")</f>
        <v>Não</v>
      </c>
      <c r="F493" s="2">
        <f>SUMIFS('NF-e de Entrada'!E:E,'NF-e de Entrada'!A:A,Dash!B493,'NF-e de Entrada'!F:F,"Autorizada")</f>
        <v>0</v>
      </c>
      <c r="G493" s="2">
        <f>SUMIFS('NF-e de Entrada'!E:E,'NF-e de Entrada'!A:A,Dash!B493,'NF-e de Entrada'!F:F,"Cancelada")</f>
        <v>0</v>
      </c>
      <c r="H493" s="2">
        <f>SUMIFS('NF-e de Saída'!E:E,'NF-e de Saída'!A:A,Dash!B493,'NF-e de Saída'!F:F,"AUTORIZADA")</f>
        <v>0</v>
      </c>
      <c r="I493" s="2">
        <f>SUMIFS('NF-e de Saída'!E:E,'NF-e de Saída'!A:A,Dash!B493,'NF-e de Saída'!F:F,"CANCELADA")</f>
        <v>0</v>
      </c>
    </row>
    <row r="494" spans="2:9" x14ac:dyDescent="0.3">
      <c r="B494">
        <v>788</v>
      </c>
      <c r="C494" t="s">
        <v>3291</v>
      </c>
      <c r="D494" t="s">
        <v>2502</v>
      </c>
      <c r="E494" t="str">
        <f>IF(COUNTIF(Sheet3!E:E,Dash!B494)&gt;0,"Sim","Não")</f>
        <v>Sim</v>
      </c>
      <c r="F494" s="2">
        <f>SUMIFS('NF-e de Entrada'!E:E,'NF-e de Entrada'!A:A,Dash!B494,'NF-e de Entrada'!F:F,"Autorizada")</f>
        <v>0</v>
      </c>
      <c r="G494" s="2">
        <f>SUMIFS('NF-e de Entrada'!E:E,'NF-e de Entrada'!A:A,Dash!B494,'NF-e de Entrada'!F:F,"Cancelada")</f>
        <v>0</v>
      </c>
      <c r="H494" s="2">
        <f>SUMIFS('NF-e de Saída'!E:E,'NF-e de Saída'!A:A,Dash!B494,'NF-e de Saída'!F:F,"AUTORIZADA")</f>
        <v>0</v>
      </c>
      <c r="I494" s="2">
        <f>SUMIFS('NF-e de Saída'!E:E,'NF-e de Saída'!A:A,Dash!B494,'NF-e de Saída'!F:F,"CANCELADA")</f>
        <v>0</v>
      </c>
    </row>
    <row r="495" spans="2:9" x14ac:dyDescent="0.3">
      <c r="B495">
        <v>789</v>
      </c>
      <c r="C495" t="s">
        <v>3292</v>
      </c>
      <c r="D495" t="s">
        <v>3745</v>
      </c>
      <c r="E495" t="str">
        <f>IF(COUNTIF(Sheet3!E:E,Dash!B495)&gt;0,"Sim","Não")</f>
        <v>Não</v>
      </c>
      <c r="F495" s="2">
        <f>SUMIFS('NF-e de Entrada'!E:E,'NF-e de Entrada'!A:A,Dash!B495,'NF-e de Entrada'!F:F,"Autorizada")</f>
        <v>0</v>
      </c>
      <c r="G495" s="2">
        <f>SUMIFS('NF-e de Entrada'!E:E,'NF-e de Entrada'!A:A,Dash!B495,'NF-e de Entrada'!F:F,"Cancelada")</f>
        <v>0</v>
      </c>
      <c r="H495" s="2">
        <f>SUMIFS('NF-e de Saída'!E:E,'NF-e de Saída'!A:A,Dash!B495,'NF-e de Saída'!F:F,"AUTORIZADA")</f>
        <v>0</v>
      </c>
      <c r="I495" s="2">
        <f>SUMIFS('NF-e de Saída'!E:E,'NF-e de Saída'!A:A,Dash!B495,'NF-e de Saída'!F:F,"CANCELADA")</f>
        <v>0</v>
      </c>
    </row>
    <row r="496" spans="2:9" x14ac:dyDescent="0.3">
      <c r="B496">
        <v>790</v>
      </c>
      <c r="C496" t="s">
        <v>3293</v>
      </c>
      <c r="D496" t="s">
        <v>3746</v>
      </c>
      <c r="E496" t="str">
        <f>IF(COUNTIF(Sheet3!E:E,Dash!B496)&gt;0,"Sim","Não")</f>
        <v>Não</v>
      </c>
      <c r="F496" s="2">
        <f>SUMIFS('NF-e de Entrada'!E:E,'NF-e de Entrada'!A:A,Dash!B496,'NF-e de Entrada'!F:F,"Autorizada")</f>
        <v>0</v>
      </c>
      <c r="G496" s="2">
        <f>SUMIFS('NF-e de Entrada'!E:E,'NF-e de Entrada'!A:A,Dash!B496,'NF-e de Entrada'!F:F,"Cancelada")</f>
        <v>0</v>
      </c>
      <c r="H496" s="2">
        <f>SUMIFS('NF-e de Saída'!E:E,'NF-e de Saída'!A:A,Dash!B496,'NF-e de Saída'!F:F,"AUTORIZADA")</f>
        <v>0</v>
      </c>
      <c r="I496" s="2">
        <f>SUMIFS('NF-e de Saída'!E:E,'NF-e de Saída'!A:A,Dash!B496,'NF-e de Saída'!F:F,"CANCELADA")</f>
        <v>0</v>
      </c>
    </row>
    <row r="497" spans="2:9" x14ac:dyDescent="0.3">
      <c r="B497">
        <v>792</v>
      </c>
      <c r="C497" t="s">
        <v>3294</v>
      </c>
      <c r="D497" t="s">
        <v>3747</v>
      </c>
      <c r="E497" t="str">
        <f>IF(COUNTIF(Sheet3!E:E,Dash!B497)&gt;0,"Sim","Não")</f>
        <v>Não</v>
      </c>
      <c r="F497" s="2">
        <f>SUMIFS('NF-e de Entrada'!E:E,'NF-e de Entrada'!A:A,Dash!B497,'NF-e de Entrada'!F:F,"Autorizada")</f>
        <v>0</v>
      </c>
      <c r="G497" s="2">
        <f>SUMIFS('NF-e de Entrada'!E:E,'NF-e de Entrada'!A:A,Dash!B497,'NF-e de Entrada'!F:F,"Cancelada")</f>
        <v>0</v>
      </c>
      <c r="H497" s="2">
        <f>SUMIFS('NF-e de Saída'!E:E,'NF-e de Saída'!A:A,Dash!B497,'NF-e de Saída'!F:F,"AUTORIZADA")</f>
        <v>0</v>
      </c>
      <c r="I497" s="2">
        <f>SUMIFS('NF-e de Saída'!E:E,'NF-e de Saída'!A:A,Dash!B497,'NF-e de Saída'!F:F,"CANCELADA")</f>
        <v>0</v>
      </c>
    </row>
    <row r="498" spans="2:9" x14ac:dyDescent="0.3">
      <c r="B498">
        <v>793</v>
      </c>
      <c r="C498" t="s">
        <v>3295</v>
      </c>
      <c r="D498" t="s">
        <v>3748</v>
      </c>
      <c r="E498" t="str">
        <f>IF(COUNTIF(Sheet3!E:E,Dash!B498)&gt;0,"Sim","Não")</f>
        <v>Não</v>
      </c>
      <c r="F498" s="2">
        <f>SUMIFS('NF-e de Entrada'!E:E,'NF-e de Entrada'!A:A,Dash!B498,'NF-e de Entrada'!F:F,"Autorizada")</f>
        <v>0</v>
      </c>
      <c r="G498" s="2">
        <f>SUMIFS('NF-e de Entrada'!E:E,'NF-e de Entrada'!A:A,Dash!B498,'NF-e de Entrada'!F:F,"Cancelada")</f>
        <v>0</v>
      </c>
      <c r="H498" s="2">
        <f>SUMIFS('NF-e de Saída'!E:E,'NF-e de Saída'!A:A,Dash!B498,'NF-e de Saída'!F:F,"AUTORIZADA")</f>
        <v>0</v>
      </c>
      <c r="I498" s="2">
        <f>SUMIFS('NF-e de Saída'!E:E,'NF-e de Saída'!A:A,Dash!B498,'NF-e de Saída'!F:F,"CANCELADA")</f>
        <v>0</v>
      </c>
    </row>
    <row r="499" spans="2:9" x14ac:dyDescent="0.3">
      <c r="B499">
        <v>794</v>
      </c>
      <c r="C499" t="s">
        <v>3296</v>
      </c>
      <c r="D499" t="s">
        <v>3749</v>
      </c>
      <c r="E499" t="str">
        <f>IF(COUNTIF(Sheet3!E:E,Dash!B499)&gt;0,"Sim","Não")</f>
        <v>Não</v>
      </c>
      <c r="F499" s="2">
        <f>SUMIFS('NF-e de Entrada'!E:E,'NF-e de Entrada'!A:A,Dash!B499,'NF-e de Entrada'!F:F,"Autorizada")</f>
        <v>0</v>
      </c>
      <c r="G499" s="2">
        <f>SUMIFS('NF-e de Entrada'!E:E,'NF-e de Entrada'!A:A,Dash!B499,'NF-e de Entrada'!F:F,"Cancelada")</f>
        <v>0</v>
      </c>
      <c r="H499" s="2">
        <f>SUMIFS('NF-e de Saída'!E:E,'NF-e de Saída'!A:A,Dash!B499,'NF-e de Saída'!F:F,"AUTORIZADA")</f>
        <v>0</v>
      </c>
      <c r="I499" s="2">
        <f>SUMIFS('NF-e de Saída'!E:E,'NF-e de Saída'!A:A,Dash!B499,'NF-e de Saída'!F:F,"CANCELADA")</f>
        <v>0</v>
      </c>
    </row>
    <row r="500" spans="2:9" x14ac:dyDescent="0.3">
      <c r="B500">
        <v>795</v>
      </c>
      <c r="C500" t="s">
        <v>3297</v>
      </c>
      <c r="D500" t="s">
        <v>3750</v>
      </c>
      <c r="E500" t="str">
        <f>IF(COUNTIF(Sheet3!E:E,Dash!B500)&gt;0,"Sim","Não")</f>
        <v>Não</v>
      </c>
      <c r="F500" s="2">
        <f>SUMIFS('NF-e de Entrada'!E:E,'NF-e de Entrada'!A:A,Dash!B500,'NF-e de Entrada'!F:F,"Autorizada")</f>
        <v>0</v>
      </c>
      <c r="G500" s="2">
        <f>SUMIFS('NF-e de Entrada'!E:E,'NF-e de Entrada'!A:A,Dash!B500,'NF-e de Entrada'!F:F,"Cancelada")</f>
        <v>0</v>
      </c>
      <c r="H500" s="2">
        <f>SUMIFS('NF-e de Saída'!E:E,'NF-e de Saída'!A:A,Dash!B500,'NF-e de Saída'!F:F,"AUTORIZADA")</f>
        <v>0</v>
      </c>
      <c r="I500" s="2">
        <f>SUMIFS('NF-e de Saída'!E:E,'NF-e de Saída'!A:A,Dash!B500,'NF-e de Saída'!F:F,"CANCELADA")</f>
        <v>0</v>
      </c>
    </row>
    <row r="501" spans="2:9" x14ac:dyDescent="0.3">
      <c r="B501">
        <v>796</v>
      </c>
      <c r="C501" t="s">
        <v>3298</v>
      </c>
      <c r="D501" t="s">
        <v>2745</v>
      </c>
      <c r="E501" t="str">
        <f>IF(COUNTIF(Sheet3!E:E,Dash!B501)&gt;0,"Sim","Não")</f>
        <v>Sim</v>
      </c>
      <c r="F501" s="2">
        <f>SUMIFS('NF-e de Entrada'!E:E,'NF-e de Entrada'!A:A,Dash!B501,'NF-e de Entrada'!F:F,"Autorizada")</f>
        <v>0</v>
      </c>
      <c r="G501" s="2">
        <f>SUMIFS('NF-e de Entrada'!E:E,'NF-e de Entrada'!A:A,Dash!B501,'NF-e de Entrada'!F:F,"Cancelada")</f>
        <v>0</v>
      </c>
      <c r="H501" s="2">
        <f>SUMIFS('NF-e de Saída'!E:E,'NF-e de Saída'!A:A,Dash!B501,'NF-e de Saída'!F:F,"AUTORIZADA")</f>
        <v>0</v>
      </c>
      <c r="I501" s="2">
        <f>SUMIFS('NF-e de Saída'!E:E,'NF-e de Saída'!A:A,Dash!B501,'NF-e de Saída'!F:F,"CANCELADA")</f>
        <v>0</v>
      </c>
    </row>
    <row r="502" spans="2:9" x14ac:dyDescent="0.3">
      <c r="B502">
        <v>797</v>
      </c>
      <c r="C502" t="s">
        <v>3299</v>
      </c>
      <c r="D502" t="s">
        <v>3751</v>
      </c>
      <c r="E502" t="str">
        <f>IF(COUNTIF(Sheet3!E:E,Dash!B502)&gt;0,"Sim","Não")</f>
        <v>Não</v>
      </c>
      <c r="F502" s="2">
        <f>SUMIFS('NF-e de Entrada'!E:E,'NF-e de Entrada'!A:A,Dash!B502,'NF-e de Entrada'!F:F,"Autorizada")</f>
        <v>0</v>
      </c>
      <c r="G502" s="2">
        <f>SUMIFS('NF-e de Entrada'!E:E,'NF-e de Entrada'!A:A,Dash!B502,'NF-e de Entrada'!F:F,"Cancelada")</f>
        <v>0</v>
      </c>
      <c r="H502" s="2">
        <f>SUMIFS('NF-e de Saída'!E:E,'NF-e de Saída'!A:A,Dash!B502,'NF-e de Saída'!F:F,"AUTORIZADA")</f>
        <v>0</v>
      </c>
      <c r="I502" s="2">
        <f>SUMIFS('NF-e de Saída'!E:E,'NF-e de Saída'!A:A,Dash!B502,'NF-e de Saída'!F:F,"CANCELADA")</f>
        <v>0</v>
      </c>
    </row>
    <row r="503" spans="2:9" x14ac:dyDescent="0.3">
      <c r="B503">
        <v>798</v>
      </c>
      <c r="C503" t="s">
        <v>3300</v>
      </c>
      <c r="D503" t="s">
        <v>3752</v>
      </c>
      <c r="E503" t="str">
        <f>IF(COUNTIF(Sheet3!E:E,Dash!B503)&gt;0,"Sim","Não")</f>
        <v>Não</v>
      </c>
      <c r="F503" s="2">
        <f>SUMIFS('NF-e de Entrada'!E:E,'NF-e de Entrada'!A:A,Dash!B503,'NF-e de Entrada'!F:F,"Autorizada")</f>
        <v>0</v>
      </c>
      <c r="G503" s="2">
        <f>SUMIFS('NF-e de Entrada'!E:E,'NF-e de Entrada'!A:A,Dash!B503,'NF-e de Entrada'!F:F,"Cancelada")</f>
        <v>0</v>
      </c>
      <c r="H503" s="2">
        <f>SUMIFS('NF-e de Saída'!E:E,'NF-e de Saída'!A:A,Dash!B503,'NF-e de Saída'!F:F,"AUTORIZADA")</f>
        <v>0</v>
      </c>
      <c r="I503" s="2">
        <f>SUMIFS('NF-e de Saída'!E:E,'NF-e de Saída'!A:A,Dash!B503,'NF-e de Saída'!F:F,"CANCELADA")</f>
        <v>0</v>
      </c>
    </row>
    <row r="504" spans="2:9" x14ac:dyDescent="0.3">
      <c r="B504">
        <v>801</v>
      </c>
      <c r="C504" t="s">
        <v>3301</v>
      </c>
      <c r="D504" t="s">
        <v>3753</v>
      </c>
      <c r="E504" t="str">
        <f>IF(COUNTIF(Sheet3!E:E,Dash!B504)&gt;0,"Sim","Não")</f>
        <v>Não</v>
      </c>
      <c r="F504" s="2">
        <f>SUMIFS('NF-e de Entrada'!E:E,'NF-e de Entrada'!A:A,Dash!B504,'NF-e de Entrada'!F:F,"Autorizada")</f>
        <v>0</v>
      </c>
      <c r="G504" s="2">
        <f>SUMIFS('NF-e de Entrada'!E:E,'NF-e de Entrada'!A:A,Dash!B504,'NF-e de Entrada'!F:F,"Cancelada")</f>
        <v>0</v>
      </c>
      <c r="H504" s="2">
        <f>SUMIFS('NF-e de Saída'!E:E,'NF-e de Saída'!A:A,Dash!B504,'NF-e de Saída'!F:F,"AUTORIZADA")</f>
        <v>0</v>
      </c>
      <c r="I504" s="2">
        <f>SUMIFS('NF-e de Saída'!E:E,'NF-e de Saída'!A:A,Dash!B504,'NF-e de Saída'!F:F,"CANCELADA")</f>
        <v>0</v>
      </c>
    </row>
    <row r="505" spans="2:9" x14ac:dyDescent="0.3">
      <c r="B505">
        <v>802</v>
      </c>
      <c r="C505" t="s">
        <v>3302</v>
      </c>
      <c r="D505" t="s">
        <v>3754</v>
      </c>
      <c r="E505" t="str">
        <f>IF(COUNTIF(Sheet3!E:E,Dash!B505)&gt;0,"Sim","Não")</f>
        <v>Não</v>
      </c>
      <c r="F505" s="2">
        <f>SUMIFS('NF-e de Entrada'!E:E,'NF-e de Entrada'!A:A,Dash!B505,'NF-e de Entrada'!F:F,"Autorizada")</f>
        <v>0</v>
      </c>
      <c r="G505" s="2">
        <f>SUMIFS('NF-e de Entrada'!E:E,'NF-e de Entrada'!A:A,Dash!B505,'NF-e de Entrada'!F:F,"Cancelada")</f>
        <v>0</v>
      </c>
      <c r="H505" s="2">
        <f>SUMIFS('NF-e de Saída'!E:E,'NF-e de Saída'!A:A,Dash!B505,'NF-e de Saída'!F:F,"AUTORIZADA")</f>
        <v>0</v>
      </c>
      <c r="I505" s="2">
        <f>SUMIFS('NF-e de Saída'!E:E,'NF-e de Saída'!A:A,Dash!B505,'NF-e de Saída'!F:F,"CANCELADA")</f>
        <v>0</v>
      </c>
    </row>
    <row r="506" spans="2:9" x14ac:dyDescent="0.3">
      <c r="B506">
        <v>803</v>
      </c>
      <c r="C506" t="s">
        <v>3303</v>
      </c>
      <c r="D506" t="s">
        <v>3755</v>
      </c>
      <c r="E506" t="str">
        <f>IF(COUNTIF(Sheet3!E:E,Dash!B506)&gt;0,"Sim","Não")</f>
        <v>Não</v>
      </c>
      <c r="F506" s="2">
        <f>SUMIFS('NF-e de Entrada'!E:E,'NF-e de Entrada'!A:A,Dash!B506,'NF-e de Entrada'!F:F,"Autorizada")</f>
        <v>0</v>
      </c>
      <c r="G506" s="2">
        <f>SUMIFS('NF-e de Entrada'!E:E,'NF-e de Entrada'!A:A,Dash!B506,'NF-e de Entrada'!F:F,"Cancelada")</f>
        <v>0</v>
      </c>
      <c r="H506" s="2">
        <f>SUMIFS('NF-e de Saída'!E:E,'NF-e de Saída'!A:A,Dash!B506,'NF-e de Saída'!F:F,"AUTORIZADA")</f>
        <v>0</v>
      </c>
      <c r="I506" s="2">
        <f>SUMIFS('NF-e de Saída'!E:E,'NF-e de Saída'!A:A,Dash!B506,'NF-e de Saída'!F:F,"CANCELADA")</f>
        <v>0</v>
      </c>
    </row>
    <row r="507" spans="2:9" x14ac:dyDescent="0.3">
      <c r="B507">
        <v>804</v>
      </c>
      <c r="C507" t="s">
        <v>3304</v>
      </c>
      <c r="D507" t="s">
        <v>3756</v>
      </c>
      <c r="E507" t="str">
        <f>IF(COUNTIF(Sheet3!E:E,Dash!B507)&gt;0,"Sim","Não")</f>
        <v>Não</v>
      </c>
      <c r="F507" s="2">
        <f>SUMIFS('NF-e de Entrada'!E:E,'NF-e de Entrada'!A:A,Dash!B507,'NF-e de Entrada'!F:F,"Autorizada")</f>
        <v>0</v>
      </c>
      <c r="G507" s="2">
        <f>SUMIFS('NF-e de Entrada'!E:E,'NF-e de Entrada'!A:A,Dash!B507,'NF-e de Entrada'!F:F,"Cancelada")</f>
        <v>0</v>
      </c>
      <c r="H507" s="2">
        <f>SUMIFS('NF-e de Saída'!E:E,'NF-e de Saída'!A:A,Dash!B507,'NF-e de Saída'!F:F,"AUTORIZADA")</f>
        <v>0</v>
      </c>
      <c r="I507" s="2">
        <f>SUMIFS('NF-e de Saída'!E:E,'NF-e de Saída'!A:A,Dash!B507,'NF-e de Saída'!F:F,"CANCELADA")</f>
        <v>0</v>
      </c>
    </row>
    <row r="508" spans="2:9" x14ac:dyDescent="0.3">
      <c r="B508">
        <v>805</v>
      </c>
      <c r="C508" t="s">
        <v>3305</v>
      </c>
      <c r="D508" t="s">
        <v>3757</v>
      </c>
      <c r="E508" t="str">
        <f>IF(COUNTIF(Sheet3!E:E,Dash!B508)&gt;0,"Sim","Não")</f>
        <v>Não</v>
      </c>
      <c r="F508" s="2">
        <f>SUMIFS('NF-e de Entrada'!E:E,'NF-e de Entrada'!A:A,Dash!B508,'NF-e de Entrada'!F:F,"Autorizada")</f>
        <v>0</v>
      </c>
      <c r="G508" s="2">
        <f>SUMIFS('NF-e de Entrada'!E:E,'NF-e de Entrada'!A:A,Dash!B508,'NF-e de Entrada'!F:F,"Cancelada")</f>
        <v>0</v>
      </c>
      <c r="H508" s="2">
        <f>SUMIFS('NF-e de Saída'!E:E,'NF-e de Saída'!A:A,Dash!B508,'NF-e de Saída'!F:F,"AUTORIZADA")</f>
        <v>0</v>
      </c>
      <c r="I508" s="2">
        <f>SUMIFS('NF-e de Saída'!E:E,'NF-e de Saída'!A:A,Dash!B508,'NF-e de Saída'!F:F,"CANCELADA")</f>
        <v>0</v>
      </c>
    </row>
    <row r="509" spans="2:9" x14ac:dyDescent="0.3">
      <c r="B509">
        <v>806</v>
      </c>
      <c r="C509" t="s">
        <v>3306</v>
      </c>
      <c r="D509" t="s">
        <v>3758</v>
      </c>
      <c r="E509" t="str">
        <f>IF(COUNTIF(Sheet3!E:E,Dash!B509)&gt;0,"Sim","Não")</f>
        <v>Não</v>
      </c>
      <c r="F509" s="2">
        <f>SUMIFS('NF-e de Entrada'!E:E,'NF-e de Entrada'!A:A,Dash!B509,'NF-e de Entrada'!F:F,"Autorizada")</f>
        <v>0</v>
      </c>
      <c r="G509" s="2">
        <f>SUMIFS('NF-e de Entrada'!E:E,'NF-e de Entrada'!A:A,Dash!B509,'NF-e de Entrada'!F:F,"Cancelada")</f>
        <v>0</v>
      </c>
      <c r="H509" s="2">
        <f>SUMIFS('NF-e de Saída'!E:E,'NF-e de Saída'!A:A,Dash!B509,'NF-e de Saída'!F:F,"AUTORIZADA")</f>
        <v>0</v>
      </c>
      <c r="I509" s="2">
        <f>SUMIFS('NF-e de Saída'!E:E,'NF-e de Saída'!A:A,Dash!B509,'NF-e de Saída'!F:F,"CANCELADA")</f>
        <v>0</v>
      </c>
    </row>
    <row r="510" spans="2:9" x14ac:dyDescent="0.3">
      <c r="B510">
        <v>808</v>
      </c>
      <c r="C510" t="s">
        <v>3307</v>
      </c>
      <c r="D510" t="s">
        <v>3759</v>
      </c>
      <c r="E510" t="str">
        <f>IF(COUNTIF(Sheet3!E:E,Dash!B510)&gt;0,"Sim","Não")</f>
        <v>Não</v>
      </c>
      <c r="F510" s="2">
        <f>SUMIFS('NF-e de Entrada'!E:E,'NF-e de Entrada'!A:A,Dash!B510,'NF-e de Entrada'!F:F,"Autorizada")</f>
        <v>0</v>
      </c>
      <c r="G510" s="2">
        <f>SUMIFS('NF-e de Entrada'!E:E,'NF-e de Entrada'!A:A,Dash!B510,'NF-e de Entrada'!F:F,"Cancelada")</f>
        <v>0</v>
      </c>
      <c r="H510" s="2">
        <f>SUMIFS('NF-e de Saída'!E:E,'NF-e de Saída'!A:A,Dash!B510,'NF-e de Saída'!F:F,"AUTORIZADA")</f>
        <v>0</v>
      </c>
      <c r="I510" s="2">
        <f>SUMIFS('NF-e de Saída'!E:E,'NF-e de Saída'!A:A,Dash!B510,'NF-e de Saída'!F:F,"CANCELADA")</f>
        <v>0</v>
      </c>
    </row>
    <row r="511" spans="2:9" x14ac:dyDescent="0.3">
      <c r="B511">
        <v>809</v>
      </c>
      <c r="C511" t="s">
        <v>3308</v>
      </c>
      <c r="D511" t="s">
        <v>3760</v>
      </c>
      <c r="E511" t="str">
        <f>IF(COUNTIF(Sheet3!E:E,Dash!B511)&gt;0,"Sim","Não")</f>
        <v>Não</v>
      </c>
      <c r="F511" s="2">
        <f>SUMIFS('NF-e de Entrada'!E:E,'NF-e de Entrada'!A:A,Dash!B511,'NF-e de Entrada'!F:F,"Autorizada")</f>
        <v>0</v>
      </c>
      <c r="G511" s="2">
        <f>SUMIFS('NF-e de Entrada'!E:E,'NF-e de Entrada'!A:A,Dash!B511,'NF-e de Entrada'!F:F,"Cancelada")</f>
        <v>0</v>
      </c>
      <c r="H511" s="2">
        <f>SUMIFS('NF-e de Saída'!E:E,'NF-e de Saída'!A:A,Dash!B511,'NF-e de Saída'!F:F,"AUTORIZADA")</f>
        <v>0</v>
      </c>
      <c r="I511" s="2">
        <f>SUMIFS('NF-e de Saída'!E:E,'NF-e de Saída'!A:A,Dash!B511,'NF-e de Saída'!F:F,"CANCELADA")</f>
        <v>0</v>
      </c>
    </row>
    <row r="512" spans="2:9" x14ac:dyDescent="0.3">
      <c r="B512">
        <v>810</v>
      </c>
      <c r="C512" t="s">
        <v>3309</v>
      </c>
      <c r="D512" t="s">
        <v>3761</v>
      </c>
      <c r="E512" t="str">
        <f>IF(COUNTIF(Sheet3!E:E,Dash!B512)&gt;0,"Sim","Não")</f>
        <v>Não</v>
      </c>
      <c r="F512" s="2">
        <f>SUMIFS('NF-e de Entrada'!E:E,'NF-e de Entrada'!A:A,Dash!B512,'NF-e de Entrada'!F:F,"Autorizada")</f>
        <v>0</v>
      </c>
      <c r="G512" s="2">
        <f>SUMIFS('NF-e de Entrada'!E:E,'NF-e de Entrada'!A:A,Dash!B512,'NF-e de Entrada'!F:F,"Cancelada")</f>
        <v>0</v>
      </c>
      <c r="H512" s="2">
        <f>SUMIFS('NF-e de Saída'!E:E,'NF-e de Saída'!A:A,Dash!B512,'NF-e de Saída'!F:F,"AUTORIZADA")</f>
        <v>0</v>
      </c>
      <c r="I512" s="2">
        <f>SUMIFS('NF-e de Saída'!E:E,'NF-e de Saída'!A:A,Dash!B512,'NF-e de Saída'!F:F,"CANCELADA")</f>
        <v>0</v>
      </c>
    </row>
    <row r="513" spans="2:9" x14ac:dyDescent="0.3">
      <c r="B513">
        <v>811</v>
      </c>
      <c r="C513" t="s">
        <v>3310</v>
      </c>
      <c r="D513" t="s">
        <v>2792</v>
      </c>
      <c r="E513" t="str">
        <f>IF(COUNTIF(Sheet3!E:E,Dash!B513)&gt;0,"Sim","Não")</f>
        <v>Sim</v>
      </c>
      <c r="F513" s="2">
        <f>SUMIFS('NF-e de Entrada'!E:E,'NF-e de Entrada'!A:A,Dash!B513,'NF-e de Entrada'!F:F,"Autorizada")</f>
        <v>0</v>
      </c>
      <c r="G513" s="2">
        <f>SUMIFS('NF-e de Entrada'!E:E,'NF-e de Entrada'!A:A,Dash!B513,'NF-e de Entrada'!F:F,"Cancelada")</f>
        <v>0</v>
      </c>
      <c r="H513" s="2">
        <f>SUMIFS('NF-e de Saída'!E:E,'NF-e de Saída'!A:A,Dash!B513,'NF-e de Saída'!F:F,"AUTORIZADA")</f>
        <v>0</v>
      </c>
      <c r="I513" s="2">
        <f>SUMIFS('NF-e de Saída'!E:E,'NF-e de Saída'!A:A,Dash!B513,'NF-e de Saída'!F:F,"CANCELADA")</f>
        <v>0</v>
      </c>
    </row>
    <row r="514" spans="2:9" x14ac:dyDescent="0.3">
      <c r="B514">
        <v>812</v>
      </c>
      <c r="C514" t="s">
        <v>3311</v>
      </c>
      <c r="D514" t="s">
        <v>3762</v>
      </c>
      <c r="E514" t="str">
        <f>IF(COUNTIF(Sheet3!E:E,Dash!B514)&gt;0,"Sim","Não")</f>
        <v>Não</v>
      </c>
      <c r="F514" s="2">
        <f>SUMIFS('NF-e de Entrada'!E:E,'NF-e de Entrada'!A:A,Dash!B514,'NF-e de Entrada'!F:F,"Autorizada")</f>
        <v>0</v>
      </c>
      <c r="G514" s="2">
        <f>SUMIFS('NF-e de Entrada'!E:E,'NF-e de Entrada'!A:A,Dash!B514,'NF-e de Entrada'!F:F,"Cancelada")</f>
        <v>0</v>
      </c>
      <c r="H514" s="2">
        <f>SUMIFS('NF-e de Saída'!E:E,'NF-e de Saída'!A:A,Dash!B514,'NF-e de Saída'!F:F,"AUTORIZADA")</f>
        <v>0</v>
      </c>
      <c r="I514" s="2">
        <f>SUMIFS('NF-e de Saída'!E:E,'NF-e de Saída'!A:A,Dash!B514,'NF-e de Saída'!F:F,"CANCELADA")</f>
        <v>0</v>
      </c>
    </row>
    <row r="515" spans="2:9" x14ac:dyDescent="0.3">
      <c r="B515">
        <v>813</v>
      </c>
      <c r="C515" t="s">
        <v>3312</v>
      </c>
      <c r="D515" t="s">
        <v>3763</v>
      </c>
      <c r="E515" t="str">
        <f>IF(COUNTIF(Sheet3!E:E,Dash!B515)&gt;0,"Sim","Não")</f>
        <v>Não</v>
      </c>
      <c r="F515" s="2">
        <f>SUMIFS('NF-e de Entrada'!E:E,'NF-e de Entrada'!A:A,Dash!B515,'NF-e de Entrada'!F:F,"Autorizada")</f>
        <v>0</v>
      </c>
      <c r="G515" s="2">
        <f>SUMIFS('NF-e de Entrada'!E:E,'NF-e de Entrada'!A:A,Dash!B515,'NF-e de Entrada'!F:F,"Cancelada")</f>
        <v>0</v>
      </c>
      <c r="H515" s="2">
        <f>SUMIFS('NF-e de Saída'!E:E,'NF-e de Saída'!A:A,Dash!B515,'NF-e de Saída'!F:F,"AUTORIZADA")</f>
        <v>0</v>
      </c>
      <c r="I515" s="2">
        <f>SUMIFS('NF-e de Saída'!E:E,'NF-e de Saída'!A:A,Dash!B515,'NF-e de Saída'!F:F,"CANCELADA")</f>
        <v>0</v>
      </c>
    </row>
    <row r="516" spans="2:9" x14ac:dyDescent="0.3">
      <c r="B516">
        <v>814</v>
      </c>
      <c r="C516" t="s">
        <v>3313</v>
      </c>
      <c r="D516" t="s">
        <v>3764</v>
      </c>
      <c r="E516" t="str">
        <f>IF(COUNTIF(Sheet3!E:E,Dash!B516)&gt;0,"Sim","Não")</f>
        <v>Não</v>
      </c>
      <c r="F516" s="2">
        <f>SUMIFS('NF-e de Entrada'!E:E,'NF-e de Entrada'!A:A,Dash!B516,'NF-e de Entrada'!F:F,"Autorizada")</f>
        <v>0</v>
      </c>
      <c r="G516" s="2">
        <f>SUMIFS('NF-e de Entrada'!E:E,'NF-e de Entrada'!A:A,Dash!B516,'NF-e de Entrada'!F:F,"Cancelada")</f>
        <v>0</v>
      </c>
      <c r="H516" s="2">
        <f>SUMIFS('NF-e de Saída'!E:E,'NF-e de Saída'!A:A,Dash!B516,'NF-e de Saída'!F:F,"AUTORIZADA")</f>
        <v>0</v>
      </c>
      <c r="I516" s="2">
        <f>SUMIFS('NF-e de Saída'!E:E,'NF-e de Saída'!A:A,Dash!B516,'NF-e de Saída'!F:F,"CANCELADA")</f>
        <v>0</v>
      </c>
    </row>
    <row r="517" spans="2:9" x14ac:dyDescent="0.3">
      <c r="B517">
        <v>815</v>
      </c>
      <c r="C517" t="s">
        <v>3314</v>
      </c>
      <c r="D517" t="s">
        <v>2784</v>
      </c>
      <c r="E517" t="str">
        <f>IF(COUNTIF(Sheet3!E:E,Dash!B517)&gt;0,"Sim","Não")</f>
        <v>Sim</v>
      </c>
      <c r="F517" s="2">
        <f>SUMIFS('NF-e de Entrada'!E:E,'NF-e de Entrada'!A:A,Dash!B517,'NF-e de Entrada'!F:F,"Autorizada")</f>
        <v>0</v>
      </c>
      <c r="G517" s="2">
        <f>SUMIFS('NF-e de Entrada'!E:E,'NF-e de Entrada'!A:A,Dash!B517,'NF-e de Entrada'!F:F,"Cancelada")</f>
        <v>0</v>
      </c>
      <c r="H517" s="2">
        <f>SUMIFS('NF-e de Saída'!E:E,'NF-e de Saída'!A:A,Dash!B517,'NF-e de Saída'!F:F,"AUTORIZADA")</f>
        <v>0</v>
      </c>
      <c r="I517" s="2">
        <f>SUMIFS('NF-e de Saída'!E:E,'NF-e de Saída'!A:A,Dash!B517,'NF-e de Saída'!F:F,"CANCELADA")</f>
        <v>0</v>
      </c>
    </row>
    <row r="518" spans="2:9" x14ac:dyDescent="0.3">
      <c r="B518">
        <v>816</v>
      </c>
      <c r="C518" t="s">
        <v>3315</v>
      </c>
      <c r="D518" t="s">
        <v>3765</v>
      </c>
      <c r="E518" t="str">
        <f>IF(COUNTIF(Sheet3!E:E,Dash!B518)&gt;0,"Sim","Não")</f>
        <v>Não</v>
      </c>
      <c r="F518" s="2">
        <f>SUMIFS('NF-e de Entrada'!E:E,'NF-e de Entrada'!A:A,Dash!B518,'NF-e de Entrada'!F:F,"Autorizada")</f>
        <v>0</v>
      </c>
      <c r="G518" s="2">
        <f>SUMIFS('NF-e de Entrada'!E:E,'NF-e de Entrada'!A:A,Dash!B518,'NF-e de Entrada'!F:F,"Cancelada")</f>
        <v>0</v>
      </c>
      <c r="H518" s="2">
        <f>SUMIFS('NF-e de Saída'!E:E,'NF-e de Saída'!A:A,Dash!B518,'NF-e de Saída'!F:F,"AUTORIZADA")</f>
        <v>0</v>
      </c>
      <c r="I518" s="2">
        <f>SUMIFS('NF-e de Saída'!E:E,'NF-e de Saída'!A:A,Dash!B518,'NF-e de Saída'!F:F,"CANCELADA")</f>
        <v>0</v>
      </c>
    </row>
    <row r="519" spans="2:9" x14ac:dyDescent="0.3">
      <c r="B519">
        <v>817</v>
      </c>
      <c r="C519" t="s">
        <v>3316</v>
      </c>
      <c r="D519" t="s">
        <v>3766</v>
      </c>
      <c r="E519" t="str">
        <f>IF(COUNTIF(Sheet3!E:E,Dash!B519)&gt;0,"Sim","Não")</f>
        <v>Não</v>
      </c>
      <c r="F519" s="2">
        <f>SUMIFS('NF-e de Entrada'!E:E,'NF-e de Entrada'!A:A,Dash!B519,'NF-e de Entrada'!F:F,"Autorizada")</f>
        <v>0</v>
      </c>
      <c r="G519" s="2">
        <f>SUMIFS('NF-e de Entrada'!E:E,'NF-e de Entrada'!A:A,Dash!B519,'NF-e de Entrada'!F:F,"Cancelada")</f>
        <v>0</v>
      </c>
      <c r="H519" s="2">
        <f>SUMIFS('NF-e de Saída'!E:E,'NF-e de Saída'!A:A,Dash!B519,'NF-e de Saída'!F:F,"AUTORIZADA")</f>
        <v>0</v>
      </c>
      <c r="I519" s="2">
        <f>SUMIFS('NF-e de Saída'!E:E,'NF-e de Saída'!A:A,Dash!B519,'NF-e de Saída'!F:F,"CANCELADA")</f>
        <v>0</v>
      </c>
    </row>
    <row r="520" spans="2:9" x14ac:dyDescent="0.3">
      <c r="B520">
        <v>819</v>
      </c>
      <c r="C520" t="s">
        <v>3317</v>
      </c>
      <c r="D520" t="s">
        <v>2485</v>
      </c>
      <c r="E520" t="str">
        <f>IF(COUNTIF(Sheet3!E:E,Dash!B520)&gt;0,"Sim","Não")</f>
        <v>Sim</v>
      </c>
      <c r="F520" s="2">
        <f>SUMIFS('NF-e de Entrada'!E:E,'NF-e de Entrada'!A:A,Dash!B520,'NF-e de Entrada'!F:F,"Autorizada")</f>
        <v>208534.12000000002</v>
      </c>
      <c r="G520" s="2">
        <f>SUMIFS('NF-e de Entrada'!E:E,'NF-e de Entrada'!A:A,Dash!B520,'NF-e de Entrada'!F:F,"Cancelada")</f>
        <v>0</v>
      </c>
      <c r="H520" s="2">
        <f>SUMIFS('NF-e de Saída'!E:E,'NF-e de Saída'!A:A,Dash!B520,'NF-e de Saída'!F:F,"AUTORIZADA")</f>
        <v>0</v>
      </c>
      <c r="I520" s="2">
        <f>SUMIFS('NF-e de Saída'!E:E,'NF-e de Saída'!A:A,Dash!B520,'NF-e de Saída'!F:F,"CANCELADA")</f>
        <v>0</v>
      </c>
    </row>
    <row r="521" spans="2:9" x14ac:dyDescent="0.3">
      <c r="B521">
        <v>820</v>
      </c>
      <c r="C521" t="s">
        <v>3318</v>
      </c>
      <c r="D521" t="s">
        <v>2518</v>
      </c>
      <c r="E521" t="str">
        <f>IF(COUNTIF(Sheet3!E:E,Dash!B521)&gt;0,"Sim","Não")</f>
        <v>Sim</v>
      </c>
      <c r="F521" s="2">
        <f>SUMIFS('NF-e de Entrada'!E:E,'NF-e de Entrada'!A:A,Dash!B521,'NF-e de Entrada'!F:F,"Autorizada")</f>
        <v>19491.59</v>
      </c>
      <c r="G521" s="2">
        <f>SUMIFS('NF-e de Entrada'!E:E,'NF-e de Entrada'!A:A,Dash!B521,'NF-e de Entrada'!F:F,"Cancelada")</f>
        <v>0</v>
      </c>
      <c r="H521" s="2">
        <f>SUMIFS('NF-e de Saída'!E:E,'NF-e de Saída'!A:A,Dash!B521,'NF-e de Saída'!F:F,"AUTORIZADA")</f>
        <v>0</v>
      </c>
      <c r="I521" s="2">
        <f>SUMIFS('NF-e de Saída'!E:E,'NF-e de Saída'!A:A,Dash!B521,'NF-e de Saída'!F:F,"CANCELADA")</f>
        <v>0</v>
      </c>
    </row>
    <row r="522" spans="2:9" x14ac:dyDescent="0.3">
      <c r="B522">
        <v>821</v>
      </c>
      <c r="C522" t="s">
        <v>3319</v>
      </c>
      <c r="D522" t="s">
        <v>3767</v>
      </c>
      <c r="E522" t="str">
        <f>IF(COUNTIF(Sheet3!E:E,Dash!B522)&gt;0,"Sim","Não")</f>
        <v>Não</v>
      </c>
      <c r="F522" s="2">
        <f>SUMIFS('NF-e de Entrada'!E:E,'NF-e de Entrada'!A:A,Dash!B522,'NF-e de Entrada'!F:F,"Autorizada")</f>
        <v>0</v>
      </c>
      <c r="G522" s="2">
        <f>SUMIFS('NF-e de Entrada'!E:E,'NF-e de Entrada'!A:A,Dash!B522,'NF-e de Entrada'!F:F,"Cancelada")</f>
        <v>0</v>
      </c>
      <c r="H522" s="2">
        <f>SUMIFS('NF-e de Saída'!E:E,'NF-e de Saída'!A:A,Dash!B522,'NF-e de Saída'!F:F,"AUTORIZADA")</f>
        <v>0</v>
      </c>
      <c r="I522" s="2">
        <f>SUMIFS('NF-e de Saída'!E:E,'NF-e de Saída'!A:A,Dash!B522,'NF-e de Saída'!F:F,"CANCELADA")</f>
        <v>0</v>
      </c>
    </row>
    <row r="523" spans="2:9" x14ac:dyDescent="0.3">
      <c r="B523">
        <v>822</v>
      </c>
      <c r="C523" t="s">
        <v>3320</v>
      </c>
      <c r="D523" t="s">
        <v>3768</v>
      </c>
      <c r="E523" t="str">
        <f>IF(COUNTIF(Sheet3!E:E,Dash!B523)&gt;0,"Sim","Não")</f>
        <v>Não</v>
      </c>
      <c r="F523" s="2">
        <f>SUMIFS('NF-e de Entrada'!E:E,'NF-e de Entrada'!A:A,Dash!B523,'NF-e de Entrada'!F:F,"Autorizada")</f>
        <v>0</v>
      </c>
      <c r="G523" s="2">
        <f>SUMIFS('NF-e de Entrada'!E:E,'NF-e de Entrada'!A:A,Dash!B523,'NF-e de Entrada'!F:F,"Cancelada")</f>
        <v>0</v>
      </c>
      <c r="H523" s="2">
        <f>SUMIFS('NF-e de Saída'!E:E,'NF-e de Saída'!A:A,Dash!B523,'NF-e de Saída'!F:F,"AUTORIZADA")</f>
        <v>0</v>
      </c>
      <c r="I523" s="2">
        <f>SUMIFS('NF-e de Saída'!E:E,'NF-e de Saída'!A:A,Dash!B523,'NF-e de Saída'!F:F,"CANCELADA")</f>
        <v>0</v>
      </c>
    </row>
    <row r="524" spans="2:9" x14ac:dyDescent="0.3">
      <c r="B524">
        <v>823</v>
      </c>
      <c r="C524" t="s">
        <v>3321</v>
      </c>
      <c r="D524" t="s">
        <v>3769</v>
      </c>
      <c r="E524" t="str">
        <f>IF(COUNTIF(Sheet3!E:E,Dash!B524)&gt;0,"Sim","Não")</f>
        <v>Não</v>
      </c>
      <c r="F524" s="2">
        <f>SUMIFS('NF-e de Entrada'!E:E,'NF-e de Entrada'!A:A,Dash!B524,'NF-e de Entrada'!F:F,"Autorizada")</f>
        <v>0</v>
      </c>
      <c r="G524" s="2">
        <f>SUMIFS('NF-e de Entrada'!E:E,'NF-e de Entrada'!A:A,Dash!B524,'NF-e de Entrada'!F:F,"Cancelada")</f>
        <v>0</v>
      </c>
      <c r="H524" s="2">
        <f>SUMIFS('NF-e de Saída'!E:E,'NF-e de Saída'!A:A,Dash!B524,'NF-e de Saída'!F:F,"AUTORIZADA")</f>
        <v>0</v>
      </c>
      <c r="I524" s="2">
        <f>SUMIFS('NF-e de Saída'!E:E,'NF-e de Saída'!A:A,Dash!B524,'NF-e de Saída'!F:F,"CANCELADA")</f>
        <v>0</v>
      </c>
    </row>
    <row r="525" spans="2:9" x14ac:dyDescent="0.3">
      <c r="B525">
        <v>824</v>
      </c>
      <c r="C525" t="s">
        <v>3322</v>
      </c>
      <c r="D525" t="s">
        <v>3770</v>
      </c>
      <c r="E525" t="str">
        <f>IF(COUNTIF(Sheet3!E:E,Dash!B525)&gt;0,"Sim","Não")</f>
        <v>Não</v>
      </c>
      <c r="F525" s="2">
        <f>SUMIFS('NF-e de Entrada'!E:E,'NF-e de Entrada'!A:A,Dash!B525,'NF-e de Entrada'!F:F,"Autorizada")</f>
        <v>0</v>
      </c>
      <c r="G525" s="2">
        <f>SUMIFS('NF-e de Entrada'!E:E,'NF-e de Entrada'!A:A,Dash!B525,'NF-e de Entrada'!F:F,"Cancelada")</f>
        <v>0</v>
      </c>
      <c r="H525" s="2">
        <f>SUMIFS('NF-e de Saída'!E:E,'NF-e de Saída'!A:A,Dash!B525,'NF-e de Saída'!F:F,"AUTORIZADA")</f>
        <v>0</v>
      </c>
      <c r="I525" s="2">
        <f>SUMIFS('NF-e de Saída'!E:E,'NF-e de Saída'!A:A,Dash!B525,'NF-e de Saída'!F:F,"CANCELADA")</f>
        <v>0</v>
      </c>
    </row>
    <row r="526" spans="2:9" x14ac:dyDescent="0.3">
      <c r="B526">
        <v>826</v>
      </c>
      <c r="C526" t="s">
        <v>3323</v>
      </c>
      <c r="D526" t="s">
        <v>3771</v>
      </c>
      <c r="E526" t="str">
        <f>IF(COUNTIF(Sheet3!E:E,Dash!B526)&gt;0,"Sim","Não")</f>
        <v>Não</v>
      </c>
      <c r="F526" s="2">
        <f>SUMIFS('NF-e de Entrada'!E:E,'NF-e de Entrada'!A:A,Dash!B526,'NF-e de Entrada'!F:F,"Autorizada")</f>
        <v>0</v>
      </c>
      <c r="G526" s="2">
        <f>SUMIFS('NF-e de Entrada'!E:E,'NF-e de Entrada'!A:A,Dash!B526,'NF-e de Entrada'!F:F,"Cancelada")</f>
        <v>0</v>
      </c>
      <c r="H526" s="2">
        <f>SUMIFS('NF-e de Saída'!E:E,'NF-e de Saída'!A:A,Dash!B526,'NF-e de Saída'!F:F,"AUTORIZADA")</f>
        <v>0</v>
      </c>
      <c r="I526" s="2">
        <f>SUMIFS('NF-e de Saída'!E:E,'NF-e de Saída'!A:A,Dash!B526,'NF-e de Saída'!F:F,"CANCELADA")</f>
        <v>0</v>
      </c>
    </row>
    <row r="527" spans="2:9" x14ac:dyDescent="0.3">
      <c r="B527">
        <v>827</v>
      </c>
      <c r="C527" t="s">
        <v>3324</v>
      </c>
      <c r="D527" t="s">
        <v>3772</v>
      </c>
      <c r="E527" t="str">
        <f>IF(COUNTIF(Sheet3!E:E,Dash!B527)&gt;0,"Sim","Não")</f>
        <v>Não</v>
      </c>
      <c r="F527" s="2">
        <f>SUMIFS('NF-e de Entrada'!E:E,'NF-e de Entrada'!A:A,Dash!B527,'NF-e de Entrada'!F:F,"Autorizada")</f>
        <v>0</v>
      </c>
      <c r="G527" s="2">
        <f>SUMIFS('NF-e de Entrada'!E:E,'NF-e de Entrada'!A:A,Dash!B527,'NF-e de Entrada'!F:F,"Cancelada")</f>
        <v>0</v>
      </c>
      <c r="H527" s="2">
        <f>SUMIFS('NF-e de Saída'!E:E,'NF-e de Saída'!A:A,Dash!B527,'NF-e de Saída'!F:F,"AUTORIZADA")</f>
        <v>0</v>
      </c>
      <c r="I527" s="2">
        <f>SUMIFS('NF-e de Saída'!E:E,'NF-e de Saída'!A:A,Dash!B527,'NF-e de Saída'!F:F,"CANCELADA")</f>
        <v>0</v>
      </c>
    </row>
    <row r="528" spans="2:9" x14ac:dyDescent="0.3">
      <c r="B528">
        <v>828</v>
      </c>
      <c r="C528" t="s">
        <v>3325</v>
      </c>
      <c r="D528" t="s">
        <v>3773</v>
      </c>
      <c r="E528" t="str">
        <f>IF(COUNTIF(Sheet3!E:E,Dash!B528)&gt;0,"Sim","Não")</f>
        <v>Não</v>
      </c>
      <c r="F528" s="2">
        <f>SUMIFS('NF-e de Entrada'!E:E,'NF-e de Entrada'!A:A,Dash!B528,'NF-e de Entrada'!F:F,"Autorizada")</f>
        <v>0</v>
      </c>
      <c r="G528" s="2">
        <f>SUMIFS('NF-e de Entrada'!E:E,'NF-e de Entrada'!A:A,Dash!B528,'NF-e de Entrada'!F:F,"Cancelada")</f>
        <v>0</v>
      </c>
      <c r="H528" s="2">
        <f>SUMIFS('NF-e de Saída'!E:E,'NF-e de Saída'!A:A,Dash!B528,'NF-e de Saída'!F:F,"AUTORIZADA")</f>
        <v>0</v>
      </c>
      <c r="I528" s="2">
        <f>SUMIFS('NF-e de Saída'!E:E,'NF-e de Saída'!A:A,Dash!B528,'NF-e de Saída'!F:F,"CANCELADA")</f>
        <v>0</v>
      </c>
    </row>
    <row r="529" spans="2:9" x14ac:dyDescent="0.3">
      <c r="B529">
        <v>829</v>
      </c>
      <c r="C529" t="s">
        <v>3326</v>
      </c>
      <c r="D529" t="s">
        <v>3774</v>
      </c>
      <c r="E529" t="str">
        <f>IF(COUNTIF(Sheet3!E:E,Dash!B529)&gt;0,"Sim","Não")</f>
        <v>Não</v>
      </c>
      <c r="F529" s="2">
        <f>SUMIFS('NF-e de Entrada'!E:E,'NF-e de Entrada'!A:A,Dash!B529,'NF-e de Entrada'!F:F,"Autorizada")</f>
        <v>0</v>
      </c>
      <c r="G529" s="2">
        <f>SUMIFS('NF-e de Entrada'!E:E,'NF-e de Entrada'!A:A,Dash!B529,'NF-e de Entrada'!F:F,"Cancelada")</f>
        <v>0</v>
      </c>
      <c r="H529" s="2">
        <f>SUMIFS('NF-e de Saída'!E:E,'NF-e de Saída'!A:A,Dash!B529,'NF-e de Saída'!F:F,"AUTORIZADA")</f>
        <v>0</v>
      </c>
      <c r="I529" s="2">
        <f>SUMIFS('NF-e de Saída'!E:E,'NF-e de Saída'!A:A,Dash!B529,'NF-e de Saída'!F:F,"CANCELADA")</f>
        <v>0</v>
      </c>
    </row>
    <row r="530" spans="2:9" x14ac:dyDescent="0.3">
      <c r="B530">
        <v>832</v>
      </c>
      <c r="C530" t="s">
        <v>3327</v>
      </c>
      <c r="D530" t="s">
        <v>3775</v>
      </c>
      <c r="E530" t="str">
        <f>IF(COUNTIF(Sheet3!E:E,Dash!B530)&gt;0,"Sim","Não")</f>
        <v>Não</v>
      </c>
      <c r="F530" s="2">
        <f>SUMIFS('NF-e de Entrada'!E:E,'NF-e de Entrada'!A:A,Dash!B530,'NF-e de Entrada'!F:F,"Autorizada")</f>
        <v>0</v>
      </c>
      <c r="G530" s="2">
        <f>SUMIFS('NF-e de Entrada'!E:E,'NF-e de Entrada'!A:A,Dash!B530,'NF-e de Entrada'!F:F,"Cancelada")</f>
        <v>0</v>
      </c>
      <c r="H530" s="2">
        <f>SUMIFS('NF-e de Saída'!E:E,'NF-e de Saída'!A:A,Dash!B530,'NF-e de Saída'!F:F,"AUTORIZADA")</f>
        <v>0</v>
      </c>
      <c r="I530" s="2">
        <f>SUMIFS('NF-e de Saída'!E:E,'NF-e de Saída'!A:A,Dash!B530,'NF-e de Saída'!F:F,"CANCELADA")</f>
        <v>0</v>
      </c>
    </row>
    <row r="531" spans="2:9" x14ac:dyDescent="0.3">
      <c r="B531">
        <v>833</v>
      </c>
      <c r="C531" t="s">
        <v>3328</v>
      </c>
      <c r="D531" t="s">
        <v>3776</v>
      </c>
      <c r="E531" t="str">
        <f>IF(COUNTIF(Sheet3!E:E,Dash!B531)&gt;0,"Sim","Não")</f>
        <v>Não</v>
      </c>
      <c r="F531" s="2">
        <f>SUMIFS('NF-e de Entrada'!E:E,'NF-e de Entrada'!A:A,Dash!B531,'NF-e de Entrada'!F:F,"Autorizada")</f>
        <v>0</v>
      </c>
      <c r="G531" s="2">
        <f>SUMIFS('NF-e de Entrada'!E:E,'NF-e de Entrada'!A:A,Dash!B531,'NF-e de Entrada'!F:F,"Cancelada")</f>
        <v>0</v>
      </c>
      <c r="H531" s="2">
        <f>SUMIFS('NF-e de Saída'!E:E,'NF-e de Saída'!A:A,Dash!B531,'NF-e de Saída'!F:F,"AUTORIZADA")</f>
        <v>0</v>
      </c>
      <c r="I531" s="2">
        <f>SUMIFS('NF-e de Saída'!E:E,'NF-e de Saída'!A:A,Dash!B531,'NF-e de Saída'!F:F,"CANCELADA")</f>
        <v>0</v>
      </c>
    </row>
    <row r="532" spans="2:9" x14ac:dyDescent="0.3">
      <c r="B532">
        <v>834</v>
      </c>
      <c r="C532" t="s">
        <v>3329</v>
      </c>
      <c r="D532" t="s">
        <v>3777</v>
      </c>
      <c r="E532" t="str">
        <f>IF(COUNTIF(Sheet3!E:E,Dash!B532)&gt;0,"Sim","Não")</f>
        <v>Não</v>
      </c>
      <c r="F532" s="2">
        <f>SUMIFS('NF-e de Entrada'!E:E,'NF-e de Entrada'!A:A,Dash!B532,'NF-e de Entrada'!F:F,"Autorizada")</f>
        <v>0</v>
      </c>
      <c r="G532" s="2">
        <f>SUMIFS('NF-e de Entrada'!E:E,'NF-e de Entrada'!A:A,Dash!B532,'NF-e de Entrada'!F:F,"Cancelada")</f>
        <v>0</v>
      </c>
      <c r="H532" s="2">
        <f>SUMIFS('NF-e de Saída'!E:E,'NF-e de Saída'!A:A,Dash!B532,'NF-e de Saída'!F:F,"AUTORIZADA")</f>
        <v>0</v>
      </c>
      <c r="I532" s="2">
        <f>SUMIFS('NF-e de Saída'!E:E,'NF-e de Saída'!A:A,Dash!B532,'NF-e de Saída'!F:F,"CANCELADA")</f>
        <v>0</v>
      </c>
    </row>
    <row r="533" spans="2:9" x14ac:dyDescent="0.3">
      <c r="B533">
        <v>836</v>
      </c>
      <c r="C533" t="s">
        <v>3330</v>
      </c>
      <c r="D533" t="s">
        <v>3778</v>
      </c>
      <c r="E533" t="str">
        <f>IF(COUNTIF(Sheet3!E:E,Dash!B533)&gt;0,"Sim","Não")</f>
        <v>Sim</v>
      </c>
      <c r="F533" s="2">
        <f>SUMIFS('NF-e de Entrada'!E:E,'NF-e de Entrada'!A:A,Dash!B533,'NF-e de Entrada'!F:F,"Autorizada")</f>
        <v>24377.53</v>
      </c>
      <c r="G533" s="2">
        <f>SUMIFS('NF-e de Entrada'!E:E,'NF-e de Entrada'!A:A,Dash!B533,'NF-e de Entrada'!F:F,"Cancelada")</f>
        <v>0</v>
      </c>
      <c r="H533" s="2">
        <f>SUMIFS('NF-e de Saída'!E:E,'NF-e de Saída'!A:A,Dash!B533,'NF-e de Saída'!F:F,"AUTORIZADA")</f>
        <v>0</v>
      </c>
      <c r="I533" s="2">
        <f>SUMIFS('NF-e de Saída'!E:E,'NF-e de Saída'!A:A,Dash!B533,'NF-e de Saída'!F:F,"CANCELADA")</f>
        <v>0</v>
      </c>
    </row>
    <row r="534" spans="2:9" x14ac:dyDescent="0.3">
      <c r="B534">
        <v>837</v>
      </c>
      <c r="C534" t="s">
        <v>3331</v>
      </c>
      <c r="D534" t="s">
        <v>3779</v>
      </c>
      <c r="E534" t="str">
        <f>IF(COUNTIF(Sheet3!E:E,Dash!B534)&gt;0,"Sim","Não")</f>
        <v>Não</v>
      </c>
      <c r="F534" s="2">
        <f>SUMIFS('NF-e de Entrada'!E:E,'NF-e de Entrada'!A:A,Dash!B534,'NF-e de Entrada'!F:F,"Autorizada")</f>
        <v>0</v>
      </c>
      <c r="G534" s="2">
        <f>SUMIFS('NF-e de Entrada'!E:E,'NF-e de Entrada'!A:A,Dash!B534,'NF-e de Entrada'!F:F,"Cancelada")</f>
        <v>0</v>
      </c>
      <c r="H534" s="2">
        <f>SUMIFS('NF-e de Saída'!E:E,'NF-e de Saída'!A:A,Dash!B534,'NF-e de Saída'!F:F,"AUTORIZADA")</f>
        <v>0</v>
      </c>
      <c r="I534" s="2">
        <f>SUMIFS('NF-e de Saída'!E:E,'NF-e de Saída'!A:A,Dash!B534,'NF-e de Saída'!F:F,"CANCELADA")</f>
        <v>0</v>
      </c>
    </row>
    <row r="535" spans="2:9" x14ac:dyDescent="0.3">
      <c r="B535">
        <v>838</v>
      </c>
      <c r="C535" t="s">
        <v>3332</v>
      </c>
      <c r="D535" t="s">
        <v>2485</v>
      </c>
      <c r="E535" t="str">
        <f>IF(COUNTIF(Sheet3!E:E,Dash!B535)&gt;0,"Sim","Não")</f>
        <v>Sim</v>
      </c>
      <c r="F535" s="2">
        <f>SUMIFS('NF-e de Entrada'!E:E,'NF-e de Entrada'!A:A,Dash!B535,'NF-e de Entrada'!F:F,"Autorizada")</f>
        <v>0</v>
      </c>
      <c r="G535" s="2">
        <f>SUMIFS('NF-e de Entrada'!E:E,'NF-e de Entrada'!A:A,Dash!B535,'NF-e de Entrada'!F:F,"Cancelada")</f>
        <v>0</v>
      </c>
      <c r="H535" s="2">
        <f>SUMIFS('NF-e de Saída'!E:E,'NF-e de Saída'!A:A,Dash!B535,'NF-e de Saída'!F:F,"AUTORIZADA")</f>
        <v>0</v>
      </c>
      <c r="I535" s="2">
        <f>SUMIFS('NF-e de Saída'!E:E,'NF-e de Saída'!A:A,Dash!B535,'NF-e de Saída'!F:F,"CANCELADA")</f>
        <v>0</v>
      </c>
    </row>
    <row r="536" spans="2:9" x14ac:dyDescent="0.3">
      <c r="B536">
        <v>839</v>
      </c>
      <c r="C536" t="s">
        <v>3333</v>
      </c>
      <c r="D536" t="s">
        <v>3780</v>
      </c>
      <c r="E536" t="str">
        <f>IF(COUNTIF(Sheet3!E:E,Dash!B536)&gt;0,"Sim","Não")</f>
        <v>Não</v>
      </c>
      <c r="F536" s="2">
        <f>SUMIFS('NF-e de Entrada'!E:E,'NF-e de Entrada'!A:A,Dash!B536,'NF-e de Entrada'!F:F,"Autorizada")</f>
        <v>0</v>
      </c>
      <c r="G536" s="2">
        <f>SUMIFS('NF-e de Entrada'!E:E,'NF-e de Entrada'!A:A,Dash!B536,'NF-e de Entrada'!F:F,"Cancelada")</f>
        <v>0</v>
      </c>
      <c r="H536" s="2">
        <f>SUMIFS('NF-e de Saída'!E:E,'NF-e de Saída'!A:A,Dash!B536,'NF-e de Saída'!F:F,"AUTORIZADA")</f>
        <v>0</v>
      </c>
      <c r="I536" s="2">
        <f>SUMIFS('NF-e de Saída'!E:E,'NF-e de Saída'!A:A,Dash!B536,'NF-e de Saída'!F:F,"CANCELADA")</f>
        <v>0</v>
      </c>
    </row>
    <row r="537" spans="2:9" x14ac:dyDescent="0.3">
      <c r="B537">
        <v>840</v>
      </c>
      <c r="C537" t="s">
        <v>3334</v>
      </c>
      <c r="D537" t="s">
        <v>3781</v>
      </c>
      <c r="E537" t="str">
        <f>IF(COUNTIF(Sheet3!E:E,Dash!B537)&gt;0,"Sim","Não")</f>
        <v>Não</v>
      </c>
      <c r="F537" s="2">
        <f>SUMIFS('NF-e de Entrada'!E:E,'NF-e de Entrada'!A:A,Dash!B537,'NF-e de Entrada'!F:F,"Autorizada")</f>
        <v>0</v>
      </c>
      <c r="G537" s="2">
        <f>SUMIFS('NF-e de Entrada'!E:E,'NF-e de Entrada'!A:A,Dash!B537,'NF-e de Entrada'!F:F,"Cancelada")</f>
        <v>0</v>
      </c>
      <c r="H537" s="2">
        <f>SUMIFS('NF-e de Saída'!E:E,'NF-e de Saída'!A:A,Dash!B537,'NF-e de Saída'!F:F,"AUTORIZADA")</f>
        <v>0</v>
      </c>
      <c r="I537" s="2">
        <f>SUMIFS('NF-e de Saída'!E:E,'NF-e de Saída'!A:A,Dash!B537,'NF-e de Saída'!F:F,"CANCELADA")</f>
        <v>0</v>
      </c>
    </row>
    <row r="538" spans="2:9" x14ac:dyDescent="0.3">
      <c r="B538">
        <v>841</v>
      </c>
      <c r="C538" t="s">
        <v>3335</v>
      </c>
      <c r="D538" t="s">
        <v>3782</v>
      </c>
      <c r="E538" t="str">
        <f>IF(COUNTIF(Sheet3!E:E,Dash!B538)&gt;0,"Sim","Não")</f>
        <v>Não</v>
      </c>
      <c r="F538" s="2">
        <f>SUMIFS('NF-e de Entrada'!E:E,'NF-e de Entrada'!A:A,Dash!B538,'NF-e de Entrada'!F:F,"Autorizada")</f>
        <v>0</v>
      </c>
      <c r="G538" s="2">
        <f>SUMIFS('NF-e de Entrada'!E:E,'NF-e de Entrada'!A:A,Dash!B538,'NF-e de Entrada'!F:F,"Cancelada")</f>
        <v>0</v>
      </c>
      <c r="H538" s="2">
        <f>SUMIFS('NF-e de Saída'!E:E,'NF-e de Saída'!A:A,Dash!B538,'NF-e de Saída'!F:F,"AUTORIZADA")</f>
        <v>0</v>
      </c>
      <c r="I538" s="2">
        <f>SUMIFS('NF-e de Saída'!E:E,'NF-e de Saída'!A:A,Dash!B538,'NF-e de Saída'!F:F,"CANCELADA")</f>
        <v>0</v>
      </c>
    </row>
    <row r="539" spans="2:9" x14ac:dyDescent="0.3">
      <c r="B539">
        <v>842</v>
      </c>
      <c r="C539" t="s">
        <v>3336</v>
      </c>
      <c r="D539" t="s">
        <v>3783</v>
      </c>
      <c r="E539" t="str">
        <f>IF(COUNTIF(Sheet3!E:E,Dash!B539)&gt;0,"Sim","Não")</f>
        <v>Não</v>
      </c>
      <c r="F539" s="2">
        <f>SUMIFS('NF-e de Entrada'!E:E,'NF-e de Entrada'!A:A,Dash!B539,'NF-e de Entrada'!F:F,"Autorizada")</f>
        <v>0</v>
      </c>
      <c r="G539" s="2">
        <f>SUMIFS('NF-e de Entrada'!E:E,'NF-e de Entrada'!A:A,Dash!B539,'NF-e de Entrada'!F:F,"Cancelada")</f>
        <v>0</v>
      </c>
      <c r="H539" s="2">
        <f>SUMIFS('NF-e de Saída'!E:E,'NF-e de Saída'!A:A,Dash!B539,'NF-e de Saída'!F:F,"AUTORIZADA")</f>
        <v>0</v>
      </c>
      <c r="I539" s="2">
        <f>SUMIFS('NF-e de Saída'!E:E,'NF-e de Saída'!A:A,Dash!B539,'NF-e de Saída'!F:F,"CANCELADA")</f>
        <v>0</v>
      </c>
    </row>
    <row r="540" spans="2:9" x14ac:dyDescent="0.3">
      <c r="B540">
        <v>843</v>
      </c>
      <c r="C540" t="s">
        <v>3337</v>
      </c>
      <c r="D540" t="s">
        <v>3784</v>
      </c>
      <c r="E540" t="str">
        <f>IF(COUNTIF(Sheet3!E:E,Dash!B540)&gt;0,"Sim","Não")</f>
        <v>Não</v>
      </c>
      <c r="F540" s="2">
        <f>SUMIFS('NF-e de Entrada'!E:E,'NF-e de Entrada'!A:A,Dash!B540,'NF-e de Entrada'!F:F,"Autorizada")</f>
        <v>0</v>
      </c>
      <c r="G540" s="2">
        <f>SUMIFS('NF-e de Entrada'!E:E,'NF-e de Entrada'!A:A,Dash!B540,'NF-e de Entrada'!F:F,"Cancelada")</f>
        <v>0</v>
      </c>
      <c r="H540" s="2">
        <f>SUMIFS('NF-e de Saída'!E:E,'NF-e de Saída'!A:A,Dash!B540,'NF-e de Saída'!F:F,"AUTORIZADA")</f>
        <v>0</v>
      </c>
      <c r="I540" s="2">
        <f>SUMIFS('NF-e de Saída'!E:E,'NF-e de Saída'!A:A,Dash!B540,'NF-e de Saída'!F:F,"CANCELADA")</f>
        <v>0</v>
      </c>
    </row>
    <row r="541" spans="2:9" x14ac:dyDescent="0.3">
      <c r="B541">
        <v>844</v>
      </c>
      <c r="C541" t="s">
        <v>3338</v>
      </c>
      <c r="D541" t="s">
        <v>2716</v>
      </c>
      <c r="E541" t="str">
        <f>IF(COUNTIF(Sheet3!E:E,Dash!B541)&gt;0,"Sim","Não")</f>
        <v>Sim</v>
      </c>
      <c r="F541" s="2">
        <f>SUMIFS('NF-e de Entrada'!E:E,'NF-e de Entrada'!A:A,Dash!B541,'NF-e de Entrada'!F:F,"Autorizada")</f>
        <v>0</v>
      </c>
      <c r="G541" s="2">
        <f>SUMIFS('NF-e de Entrada'!E:E,'NF-e de Entrada'!A:A,Dash!B541,'NF-e de Entrada'!F:F,"Cancelada")</f>
        <v>0</v>
      </c>
      <c r="H541" s="2">
        <f>SUMIFS('NF-e de Saída'!E:E,'NF-e de Saída'!A:A,Dash!B541,'NF-e de Saída'!F:F,"AUTORIZADA")</f>
        <v>0</v>
      </c>
      <c r="I541" s="2">
        <f>SUMIFS('NF-e de Saída'!E:E,'NF-e de Saída'!A:A,Dash!B541,'NF-e de Saída'!F:F,"CANCELADA")</f>
        <v>0</v>
      </c>
    </row>
    <row r="542" spans="2:9" x14ac:dyDescent="0.3">
      <c r="B542">
        <v>845</v>
      </c>
      <c r="C542" t="s">
        <v>3339</v>
      </c>
      <c r="D542" t="s">
        <v>3785</v>
      </c>
      <c r="E542" t="str">
        <f>IF(COUNTIF(Sheet3!E:E,Dash!B542)&gt;0,"Sim","Não")</f>
        <v>Não</v>
      </c>
      <c r="F542" s="2">
        <f>SUMIFS('NF-e de Entrada'!E:E,'NF-e de Entrada'!A:A,Dash!B542,'NF-e de Entrada'!F:F,"Autorizada")</f>
        <v>0</v>
      </c>
      <c r="G542" s="2">
        <f>SUMIFS('NF-e de Entrada'!E:E,'NF-e de Entrada'!A:A,Dash!B542,'NF-e de Entrada'!F:F,"Cancelada")</f>
        <v>0</v>
      </c>
      <c r="H542" s="2">
        <f>SUMIFS('NF-e de Saída'!E:E,'NF-e de Saída'!A:A,Dash!B542,'NF-e de Saída'!F:F,"AUTORIZADA")</f>
        <v>0</v>
      </c>
      <c r="I542" s="2">
        <f>SUMIFS('NF-e de Saída'!E:E,'NF-e de Saída'!A:A,Dash!B542,'NF-e de Saída'!F:F,"CANCELADA")</f>
        <v>0</v>
      </c>
    </row>
    <row r="543" spans="2:9" x14ac:dyDescent="0.3">
      <c r="B543">
        <v>846</v>
      </c>
      <c r="C543" t="s">
        <v>3340</v>
      </c>
      <c r="D543" t="s">
        <v>3786</v>
      </c>
      <c r="E543" t="str">
        <f>IF(COUNTIF(Sheet3!E:E,Dash!B543)&gt;0,"Sim","Não")</f>
        <v>Não</v>
      </c>
      <c r="F543" s="2">
        <f>SUMIFS('NF-e de Entrada'!E:E,'NF-e de Entrada'!A:A,Dash!B543,'NF-e de Entrada'!F:F,"Autorizada")</f>
        <v>0</v>
      </c>
      <c r="G543" s="2">
        <f>SUMIFS('NF-e de Entrada'!E:E,'NF-e de Entrada'!A:A,Dash!B543,'NF-e de Entrada'!F:F,"Cancelada")</f>
        <v>0</v>
      </c>
      <c r="H543" s="2">
        <f>SUMIFS('NF-e de Saída'!E:E,'NF-e de Saída'!A:A,Dash!B543,'NF-e de Saída'!F:F,"AUTORIZADA")</f>
        <v>0</v>
      </c>
      <c r="I543" s="2">
        <f>SUMIFS('NF-e de Saída'!E:E,'NF-e de Saída'!A:A,Dash!B543,'NF-e de Saída'!F:F,"CANCELADA")</f>
        <v>0</v>
      </c>
    </row>
    <row r="544" spans="2:9" x14ac:dyDescent="0.3">
      <c r="B544">
        <v>847</v>
      </c>
      <c r="C544" t="s">
        <v>3341</v>
      </c>
      <c r="D544" t="s">
        <v>3787</v>
      </c>
      <c r="E544" t="str">
        <f>IF(COUNTIF(Sheet3!E:E,Dash!B544)&gt;0,"Sim","Não")</f>
        <v>Não</v>
      </c>
      <c r="F544" s="2">
        <f>SUMIFS('NF-e de Entrada'!E:E,'NF-e de Entrada'!A:A,Dash!B544,'NF-e de Entrada'!F:F,"Autorizada")</f>
        <v>0</v>
      </c>
      <c r="G544" s="2">
        <f>SUMIFS('NF-e de Entrada'!E:E,'NF-e de Entrada'!A:A,Dash!B544,'NF-e de Entrada'!F:F,"Cancelada")</f>
        <v>0</v>
      </c>
      <c r="H544" s="2">
        <f>SUMIFS('NF-e de Saída'!E:E,'NF-e de Saída'!A:A,Dash!B544,'NF-e de Saída'!F:F,"AUTORIZADA")</f>
        <v>0</v>
      </c>
      <c r="I544" s="2">
        <f>SUMIFS('NF-e de Saída'!E:E,'NF-e de Saída'!A:A,Dash!B544,'NF-e de Saída'!F:F,"CANCELADA")</f>
        <v>0</v>
      </c>
    </row>
    <row r="545" spans="2:9" x14ac:dyDescent="0.3">
      <c r="B545">
        <v>848</v>
      </c>
      <c r="C545" t="s">
        <v>3342</v>
      </c>
      <c r="D545" t="s">
        <v>3788</v>
      </c>
      <c r="E545" t="str">
        <f>IF(COUNTIF(Sheet3!E:E,Dash!B545)&gt;0,"Sim","Não")</f>
        <v>Não</v>
      </c>
      <c r="F545" s="2">
        <f>SUMIFS('NF-e de Entrada'!E:E,'NF-e de Entrada'!A:A,Dash!B545,'NF-e de Entrada'!F:F,"Autorizada")</f>
        <v>0</v>
      </c>
      <c r="G545" s="2">
        <f>SUMIFS('NF-e de Entrada'!E:E,'NF-e de Entrada'!A:A,Dash!B545,'NF-e de Entrada'!F:F,"Cancelada")</f>
        <v>0</v>
      </c>
      <c r="H545" s="2">
        <f>SUMIFS('NF-e de Saída'!E:E,'NF-e de Saída'!A:A,Dash!B545,'NF-e de Saída'!F:F,"AUTORIZADA")</f>
        <v>0</v>
      </c>
      <c r="I545" s="2">
        <f>SUMIFS('NF-e de Saída'!E:E,'NF-e de Saída'!A:A,Dash!B545,'NF-e de Saída'!F:F,"CANCELADA")</f>
        <v>0</v>
      </c>
    </row>
    <row r="546" spans="2:9" x14ac:dyDescent="0.3">
      <c r="B546">
        <v>849</v>
      </c>
      <c r="C546" t="s">
        <v>3343</v>
      </c>
      <c r="D546" t="s">
        <v>3789</v>
      </c>
      <c r="E546" t="str">
        <f>IF(COUNTIF(Sheet3!E:E,Dash!B546)&gt;0,"Sim","Não")</f>
        <v>Não</v>
      </c>
      <c r="F546" s="2">
        <f>SUMIFS('NF-e de Entrada'!E:E,'NF-e de Entrada'!A:A,Dash!B546,'NF-e de Entrada'!F:F,"Autorizada")</f>
        <v>0</v>
      </c>
      <c r="G546" s="2">
        <f>SUMIFS('NF-e de Entrada'!E:E,'NF-e de Entrada'!A:A,Dash!B546,'NF-e de Entrada'!F:F,"Cancelada")</f>
        <v>0</v>
      </c>
      <c r="H546" s="2">
        <f>SUMIFS('NF-e de Saída'!E:E,'NF-e de Saída'!A:A,Dash!B546,'NF-e de Saída'!F:F,"AUTORIZADA")</f>
        <v>0</v>
      </c>
      <c r="I546" s="2">
        <f>SUMIFS('NF-e de Saída'!E:E,'NF-e de Saída'!A:A,Dash!B546,'NF-e de Saída'!F:F,"CANCELADA")</f>
        <v>0</v>
      </c>
    </row>
    <row r="547" spans="2:9" x14ac:dyDescent="0.3">
      <c r="B547">
        <v>850</v>
      </c>
      <c r="C547" t="s">
        <v>3344</v>
      </c>
      <c r="D547" t="s">
        <v>3790</v>
      </c>
      <c r="E547" t="str">
        <f>IF(COUNTIF(Sheet3!E:E,Dash!B547)&gt;0,"Sim","Não")</f>
        <v>Não</v>
      </c>
      <c r="F547" s="2">
        <f>SUMIFS('NF-e de Entrada'!E:E,'NF-e de Entrada'!A:A,Dash!B547,'NF-e de Entrada'!F:F,"Autorizada")</f>
        <v>0</v>
      </c>
      <c r="G547" s="2">
        <f>SUMIFS('NF-e de Entrada'!E:E,'NF-e de Entrada'!A:A,Dash!B547,'NF-e de Entrada'!F:F,"Cancelada")</f>
        <v>0</v>
      </c>
      <c r="H547" s="2">
        <f>SUMIFS('NF-e de Saída'!E:E,'NF-e de Saída'!A:A,Dash!B547,'NF-e de Saída'!F:F,"AUTORIZADA")</f>
        <v>0</v>
      </c>
      <c r="I547" s="2">
        <f>SUMIFS('NF-e de Saída'!E:E,'NF-e de Saída'!A:A,Dash!B547,'NF-e de Saída'!F:F,"CANCELADA")</f>
        <v>0</v>
      </c>
    </row>
    <row r="548" spans="2:9" x14ac:dyDescent="0.3">
      <c r="B548">
        <v>852</v>
      </c>
      <c r="C548" t="s">
        <v>3345</v>
      </c>
      <c r="D548" t="s">
        <v>3791</v>
      </c>
      <c r="E548" t="str">
        <f>IF(COUNTIF(Sheet3!E:E,Dash!B548)&gt;0,"Sim","Não")</f>
        <v>Não</v>
      </c>
      <c r="F548" s="2">
        <f>SUMIFS('NF-e de Entrada'!E:E,'NF-e de Entrada'!A:A,Dash!B548,'NF-e de Entrada'!F:F,"Autorizada")</f>
        <v>0</v>
      </c>
      <c r="G548" s="2">
        <f>SUMIFS('NF-e de Entrada'!E:E,'NF-e de Entrada'!A:A,Dash!B548,'NF-e de Entrada'!F:F,"Cancelada")</f>
        <v>0</v>
      </c>
      <c r="H548" s="2">
        <f>SUMIFS('NF-e de Saída'!E:E,'NF-e de Saída'!A:A,Dash!B548,'NF-e de Saída'!F:F,"AUTORIZADA")</f>
        <v>0</v>
      </c>
      <c r="I548" s="2">
        <f>SUMIFS('NF-e de Saída'!E:E,'NF-e de Saída'!A:A,Dash!B548,'NF-e de Saída'!F:F,"CANCELADA")</f>
        <v>0</v>
      </c>
    </row>
    <row r="549" spans="2:9" x14ac:dyDescent="0.3">
      <c r="B549">
        <v>853</v>
      </c>
      <c r="C549" t="s">
        <v>3346</v>
      </c>
      <c r="D549" t="s">
        <v>3792</v>
      </c>
      <c r="E549" t="str">
        <f>IF(COUNTIF(Sheet3!E:E,Dash!B549)&gt;0,"Sim","Não")</f>
        <v>Não</v>
      </c>
      <c r="F549" s="2">
        <f>SUMIFS('NF-e de Entrada'!E:E,'NF-e de Entrada'!A:A,Dash!B549,'NF-e de Entrada'!F:F,"Autorizada")</f>
        <v>0</v>
      </c>
      <c r="G549" s="2">
        <f>SUMIFS('NF-e de Entrada'!E:E,'NF-e de Entrada'!A:A,Dash!B549,'NF-e de Entrada'!F:F,"Cancelada")</f>
        <v>0</v>
      </c>
      <c r="H549" s="2">
        <f>SUMIFS('NF-e de Saída'!E:E,'NF-e de Saída'!A:A,Dash!B549,'NF-e de Saída'!F:F,"AUTORIZADA")</f>
        <v>0</v>
      </c>
      <c r="I549" s="2">
        <f>SUMIFS('NF-e de Saída'!E:E,'NF-e de Saída'!A:A,Dash!B549,'NF-e de Saída'!F:F,"CANCELADA")</f>
        <v>0</v>
      </c>
    </row>
    <row r="550" spans="2:9" x14ac:dyDescent="0.3">
      <c r="B550">
        <v>855</v>
      </c>
      <c r="C550" t="s">
        <v>3347</v>
      </c>
      <c r="D550" t="s">
        <v>3793</v>
      </c>
      <c r="E550" t="str">
        <f>IF(COUNTIF(Sheet3!E:E,Dash!B550)&gt;0,"Sim","Não")</f>
        <v>Não</v>
      </c>
      <c r="F550" s="2">
        <f>SUMIFS('NF-e de Entrada'!E:E,'NF-e de Entrada'!A:A,Dash!B550,'NF-e de Entrada'!F:F,"Autorizada")</f>
        <v>0</v>
      </c>
      <c r="G550" s="2">
        <f>SUMIFS('NF-e de Entrada'!E:E,'NF-e de Entrada'!A:A,Dash!B550,'NF-e de Entrada'!F:F,"Cancelada")</f>
        <v>0</v>
      </c>
      <c r="H550" s="2">
        <f>SUMIFS('NF-e de Saída'!E:E,'NF-e de Saída'!A:A,Dash!B550,'NF-e de Saída'!F:F,"AUTORIZADA")</f>
        <v>0</v>
      </c>
      <c r="I550" s="2">
        <f>SUMIFS('NF-e de Saída'!E:E,'NF-e de Saída'!A:A,Dash!B550,'NF-e de Saída'!F:F,"CANCELADA")</f>
        <v>0</v>
      </c>
    </row>
    <row r="551" spans="2:9" x14ac:dyDescent="0.3">
      <c r="B551">
        <v>856</v>
      </c>
      <c r="C551" t="s">
        <v>3348</v>
      </c>
      <c r="D551" t="s">
        <v>3794</v>
      </c>
      <c r="E551" t="str">
        <f>IF(COUNTIF(Sheet3!E:E,Dash!B551)&gt;0,"Sim","Não")</f>
        <v>Não</v>
      </c>
      <c r="F551" s="2">
        <f>SUMIFS('NF-e de Entrada'!E:E,'NF-e de Entrada'!A:A,Dash!B551,'NF-e de Entrada'!F:F,"Autorizada")</f>
        <v>0</v>
      </c>
      <c r="G551" s="2">
        <f>SUMIFS('NF-e de Entrada'!E:E,'NF-e de Entrada'!A:A,Dash!B551,'NF-e de Entrada'!F:F,"Cancelada")</f>
        <v>0</v>
      </c>
      <c r="H551" s="2">
        <f>SUMIFS('NF-e de Saída'!E:E,'NF-e de Saída'!A:A,Dash!B551,'NF-e de Saída'!F:F,"AUTORIZADA")</f>
        <v>0</v>
      </c>
      <c r="I551" s="2">
        <f>SUMIFS('NF-e de Saída'!E:E,'NF-e de Saída'!A:A,Dash!B551,'NF-e de Saída'!F:F,"CANCELADA")</f>
        <v>0</v>
      </c>
    </row>
    <row r="552" spans="2:9" x14ac:dyDescent="0.3">
      <c r="B552">
        <v>857</v>
      </c>
      <c r="C552" t="s">
        <v>3349</v>
      </c>
      <c r="D552" t="s">
        <v>3795</v>
      </c>
      <c r="E552" t="str">
        <f>IF(COUNTIF(Sheet3!E:E,Dash!B552)&gt;0,"Sim","Não")</f>
        <v>Não</v>
      </c>
      <c r="F552" s="2">
        <f>SUMIFS('NF-e de Entrada'!E:E,'NF-e de Entrada'!A:A,Dash!B552,'NF-e de Entrada'!F:F,"Autorizada")</f>
        <v>0</v>
      </c>
      <c r="G552" s="2">
        <f>SUMIFS('NF-e de Entrada'!E:E,'NF-e de Entrada'!A:A,Dash!B552,'NF-e de Entrada'!F:F,"Cancelada")</f>
        <v>0</v>
      </c>
      <c r="H552" s="2">
        <f>SUMIFS('NF-e de Saída'!E:E,'NF-e de Saída'!A:A,Dash!B552,'NF-e de Saída'!F:F,"AUTORIZADA")</f>
        <v>0</v>
      </c>
      <c r="I552" s="2">
        <f>SUMIFS('NF-e de Saída'!E:E,'NF-e de Saída'!A:A,Dash!B552,'NF-e de Saída'!F:F,"CANCELADA")</f>
        <v>0</v>
      </c>
    </row>
    <row r="553" spans="2:9" x14ac:dyDescent="0.3">
      <c r="B553">
        <v>858</v>
      </c>
      <c r="C553" t="s">
        <v>3350</v>
      </c>
      <c r="D553" t="s">
        <v>2688</v>
      </c>
      <c r="E553" t="str">
        <f>IF(COUNTIF(Sheet3!E:E,Dash!B553)&gt;0,"Sim","Não")</f>
        <v>Sim</v>
      </c>
      <c r="F553" s="2">
        <f>SUMIFS('NF-e de Entrada'!E:E,'NF-e de Entrada'!A:A,Dash!B553,'NF-e de Entrada'!F:F,"Autorizada")</f>
        <v>0</v>
      </c>
      <c r="G553" s="2">
        <f>SUMIFS('NF-e de Entrada'!E:E,'NF-e de Entrada'!A:A,Dash!B553,'NF-e de Entrada'!F:F,"Cancelada")</f>
        <v>0</v>
      </c>
      <c r="H553" s="2">
        <f>SUMIFS('NF-e de Saída'!E:E,'NF-e de Saída'!A:A,Dash!B553,'NF-e de Saída'!F:F,"AUTORIZADA")</f>
        <v>0</v>
      </c>
      <c r="I553" s="2">
        <f>SUMIFS('NF-e de Saída'!E:E,'NF-e de Saída'!A:A,Dash!B553,'NF-e de Saída'!F:F,"CANCELADA")</f>
        <v>0</v>
      </c>
    </row>
    <row r="554" spans="2:9" x14ac:dyDescent="0.3">
      <c r="B554">
        <v>859</v>
      </c>
      <c r="C554" t="s">
        <v>3351</v>
      </c>
      <c r="D554" t="s">
        <v>3796</v>
      </c>
      <c r="E554" t="str">
        <f>IF(COUNTIF(Sheet3!E:E,Dash!B554)&gt;0,"Sim","Não")</f>
        <v>Não</v>
      </c>
      <c r="F554" s="2">
        <f>SUMIFS('NF-e de Entrada'!E:E,'NF-e de Entrada'!A:A,Dash!B554,'NF-e de Entrada'!F:F,"Autorizada")</f>
        <v>0</v>
      </c>
      <c r="G554" s="2">
        <f>SUMIFS('NF-e de Entrada'!E:E,'NF-e de Entrada'!A:A,Dash!B554,'NF-e de Entrada'!F:F,"Cancelada")</f>
        <v>0</v>
      </c>
      <c r="H554" s="2">
        <f>SUMIFS('NF-e de Saída'!E:E,'NF-e de Saída'!A:A,Dash!B554,'NF-e de Saída'!F:F,"AUTORIZADA")</f>
        <v>0</v>
      </c>
      <c r="I554" s="2">
        <f>SUMIFS('NF-e de Saída'!E:E,'NF-e de Saída'!A:A,Dash!B554,'NF-e de Saída'!F:F,"CANCELADA")</f>
        <v>0</v>
      </c>
    </row>
    <row r="555" spans="2:9" x14ac:dyDescent="0.3">
      <c r="B555">
        <v>860</v>
      </c>
      <c r="C555" t="s">
        <v>3352</v>
      </c>
      <c r="D555" t="s">
        <v>3797</v>
      </c>
      <c r="E555" t="str">
        <f>IF(COUNTIF(Sheet3!E:E,Dash!B555)&gt;0,"Sim","Não")</f>
        <v>Não</v>
      </c>
      <c r="F555" s="2">
        <f>SUMIFS('NF-e de Entrada'!E:E,'NF-e de Entrada'!A:A,Dash!B555,'NF-e de Entrada'!F:F,"Autorizada")</f>
        <v>0</v>
      </c>
      <c r="G555" s="2">
        <f>SUMIFS('NF-e de Entrada'!E:E,'NF-e de Entrada'!A:A,Dash!B555,'NF-e de Entrada'!F:F,"Cancelada")</f>
        <v>0</v>
      </c>
      <c r="H555" s="2">
        <f>SUMIFS('NF-e de Saída'!E:E,'NF-e de Saída'!A:A,Dash!B555,'NF-e de Saída'!F:F,"AUTORIZADA")</f>
        <v>0</v>
      </c>
      <c r="I555" s="2">
        <f>SUMIFS('NF-e de Saída'!E:E,'NF-e de Saída'!A:A,Dash!B555,'NF-e de Saída'!F:F,"CANCELADA")</f>
        <v>0</v>
      </c>
    </row>
    <row r="556" spans="2:9" x14ac:dyDescent="0.3">
      <c r="B556">
        <v>861</v>
      </c>
      <c r="C556" t="s">
        <v>3353</v>
      </c>
      <c r="D556" t="s">
        <v>3798</v>
      </c>
      <c r="E556" t="str">
        <f>IF(COUNTIF(Sheet3!E:E,Dash!B556)&gt;0,"Sim","Não")</f>
        <v>Não</v>
      </c>
      <c r="F556" s="2">
        <f>SUMIFS('NF-e de Entrada'!E:E,'NF-e de Entrada'!A:A,Dash!B556,'NF-e de Entrada'!F:F,"Autorizada")</f>
        <v>0</v>
      </c>
      <c r="G556" s="2">
        <f>SUMIFS('NF-e de Entrada'!E:E,'NF-e de Entrada'!A:A,Dash!B556,'NF-e de Entrada'!F:F,"Cancelada")</f>
        <v>0</v>
      </c>
      <c r="H556" s="2">
        <f>SUMIFS('NF-e de Saída'!E:E,'NF-e de Saída'!A:A,Dash!B556,'NF-e de Saída'!F:F,"AUTORIZADA")</f>
        <v>0</v>
      </c>
      <c r="I556" s="2">
        <f>SUMIFS('NF-e de Saída'!E:E,'NF-e de Saída'!A:A,Dash!B556,'NF-e de Saída'!F:F,"CANCELADA")</f>
        <v>0</v>
      </c>
    </row>
    <row r="557" spans="2:9" x14ac:dyDescent="0.3">
      <c r="B557">
        <v>862</v>
      </c>
      <c r="C557" t="s">
        <v>3354</v>
      </c>
      <c r="D557" t="s">
        <v>3799</v>
      </c>
      <c r="E557" t="str">
        <f>IF(COUNTIF(Sheet3!E:E,Dash!B557)&gt;0,"Sim","Não")</f>
        <v>Não</v>
      </c>
      <c r="F557" s="2">
        <f>SUMIFS('NF-e de Entrada'!E:E,'NF-e de Entrada'!A:A,Dash!B557,'NF-e de Entrada'!F:F,"Autorizada")</f>
        <v>0</v>
      </c>
      <c r="G557" s="2">
        <f>SUMIFS('NF-e de Entrada'!E:E,'NF-e de Entrada'!A:A,Dash!B557,'NF-e de Entrada'!F:F,"Cancelada")</f>
        <v>0</v>
      </c>
      <c r="H557" s="2">
        <f>SUMIFS('NF-e de Saída'!E:E,'NF-e de Saída'!A:A,Dash!B557,'NF-e de Saída'!F:F,"AUTORIZADA")</f>
        <v>0</v>
      </c>
      <c r="I557" s="2">
        <f>SUMIFS('NF-e de Saída'!E:E,'NF-e de Saída'!A:A,Dash!B557,'NF-e de Saída'!F:F,"CANCELADA")</f>
        <v>0</v>
      </c>
    </row>
    <row r="558" spans="2:9" x14ac:dyDescent="0.3">
      <c r="B558">
        <v>863</v>
      </c>
      <c r="C558" t="s">
        <v>3355</v>
      </c>
      <c r="D558" t="s">
        <v>3800</v>
      </c>
      <c r="E558" t="str">
        <f>IF(COUNTIF(Sheet3!E:E,Dash!B558)&gt;0,"Sim","Não")</f>
        <v>Não</v>
      </c>
      <c r="F558" s="2">
        <f>SUMIFS('NF-e de Entrada'!E:E,'NF-e de Entrada'!A:A,Dash!B558,'NF-e de Entrada'!F:F,"Autorizada")</f>
        <v>0</v>
      </c>
      <c r="G558" s="2">
        <f>SUMIFS('NF-e de Entrada'!E:E,'NF-e de Entrada'!A:A,Dash!B558,'NF-e de Entrada'!F:F,"Cancelada")</f>
        <v>0</v>
      </c>
      <c r="H558" s="2">
        <f>SUMIFS('NF-e de Saída'!E:E,'NF-e de Saída'!A:A,Dash!B558,'NF-e de Saída'!F:F,"AUTORIZADA")</f>
        <v>0</v>
      </c>
      <c r="I558" s="2">
        <f>SUMIFS('NF-e de Saída'!E:E,'NF-e de Saída'!A:A,Dash!B558,'NF-e de Saída'!F:F,"CANCELADA")</f>
        <v>0</v>
      </c>
    </row>
    <row r="559" spans="2:9" x14ac:dyDescent="0.3">
      <c r="B559">
        <v>864</v>
      </c>
      <c r="C559" t="s">
        <v>3356</v>
      </c>
      <c r="D559" t="s">
        <v>2522</v>
      </c>
      <c r="E559" t="str">
        <f>IF(COUNTIF(Sheet3!E:E,Dash!B559)&gt;0,"Sim","Não")</f>
        <v>Sim</v>
      </c>
      <c r="F559" s="2">
        <f>SUMIFS('NF-e de Entrada'!E:E,'NF-e de Entrada'!A:A,Dash!B559,'NF-e de Entrada'!F:F,"Autorizada")</f>
        <v>0</v>
      </c>
      <c r="G559" s="2">
        <f>SUMIFS('NF-e de Entrada'!E:E,'NF-e de Entrada'!A:A,Dash!B559,'NF-e de Entrada'!F:F,"Cancelada")</f>
        <v>0</v>
      </c>
      <c r="H559" s="2">
        <f>SUMIFS('NF-e de Saída'!E:E,'NF-e de Saída'!A:A,Dash!B559,'NF-e de Saída'!F:F,"AUTORIZADA")</f>
        <v>0</v>
      </c>
      <c r="I559" s="2">
        <f>SUMIFS('NF-e de Saída'!E:E,'NF-e de Saída'!A:A,Dash!B559,'NF-e de Saída'!F:F,"CANCELADA")</f>
        <v>0</v>
      </c>
    </row>
    <row r="560" spans="2:9" x14ac:dyDescent="0.3">
      <c r="B560">
        <v>865</v>
      </c>
      <c r="C560" t="s">
        <v>3357</v>
      </c>
      <c r="D560" t="s">
        <v>3801</v>
      </c>
      <c r="E560" t="str">
        <f>IF(COUNTIF(Sheet3!E:E,Dash!B560)&gt;0,"Sim","Não")</f>
        <v>Não</v>
      </c>
      <c r="F560" s="2">
        <f>SUMIFS('NF-e de Entrada'!E:E,'NF-e de Entrada'!A:A,Dash!B560,'NF-e de Entrada'!F:F,"Autorizada")</f>
        <v>0</v>
      </c>
      <c r="G560" s="2">
        <f>SUMIFS('NF-e de Entrada'!E:E,'NF-e de Entrada'!A:A,Dash!B560,'NF-e de Entrada'!F:F,"Cancelada")</f>
        <v>0</v>
      </c>
      <c r="H560" s="2">
        <f>SUMIFS('NF-e de Saída'!E:E,'NF-e de Saída'!A:A,Dash!B560,'NF-e de Saída'!F:F,"AUTORIZADA")</f>
        <v>0</v>
      </c>
      <c r="I560" s="2">
        <f>SUMIFS('NF-e de Saída'!E:E,'NF-e de Saída'!A:A,Dash!B560,'NF-e de Saída'!F:F,"CANCELADA")</f>
        <v>0</v>
      </c>
    </row>
    <row r="561" spans="2:9" x14ac:dyDescent="0.3">
      <c r="B561">
        <v>866</v>
      </c>
      <c r="C561" t="s">
        <v>3358</v>
      </c>
      <c r="D561" t="s">
        <v>3802</v>
      </c>
      <c r="E561" t="str">
        <f>IF(COUNTIF(Sheet3!E:E,Dash!B561)&gt;0,"Sim","Não")</f>
        <v>Não</v>
      </c>
      <c r="F561" s="2">
        <f>SUMIFS('NF-e de Entrada'!E:E,'NF-e de Entrada'!A:A,Dash!B561,'NF-e de Entrada'!F:F,"Autorizada")</f>
        <v>0</v>
      </c>
      <c r="G561" s="2">
        <f>SUMIFS('NF-e de Entrada'!E:E,'NF-e de Entrada'!A:A,Dash!B561,'NF-e de Entrada'!F:F,"Cancelada")</f>
        <v>0</v>
      </c>
      <c r="H561" s="2">
        <f>SUMIFS('NF-e de Saída'!E:E,'NF-e de Saída'!A:A,Dash!B561,'NF-e de Saída'!F:F,"AUTORIZADA")</f>
        <v>0</v>
      </c>
      <c r="I561" s="2">
        <f>SUMIFS('NF-e de Saída'!E:E,'NF-e de Saída'!A:A,Dash!B561,'NF-e de Saída'!F:F,"CANCELADA")</f>
        <v>0</v>
      </c>
    </row>
    <row r="562" spans="2:9" x14ac:dyDescent="0.3">
      <c r="B562">
        <v>867</v>
      </c>
      <c r="C562" t="s">
        <v>3359</v>
      </c>
      <c r="D562" t="s">
        <v>3803</v>
      </c>
      <c r="E562" t="str">
        <f>IF(COUNTIF(Sheet3!E:E,Dash!B562)&gt;0,"Sim","Não")</f>
        <v>Não</v>
      </c>
      <c r="F562" s="2">
        <f>SUMIFS('NF-e de Entrada'!E:E,'NF-e de Entrada'!A:A,Dash!B562,'NF-e de Entrada'!F:F,"Autorizada")</f>
        <v>0</v>
      </c>
      <c r="G562" s="2">
        <f>SUMIFS('NF-e de Entrada'!E:E,'NF-e de Entrada'!A:A,Dash!B562,'NF-e de Entrada'!F:F,"Cancelada")</f>
        <v>0</v>
      </c>
      <c r="H562" s="2">
        <f>SUMIFS('NF-e de Saída'!E:E,'NF-e de Saída'!A:A,Dash!B562,'NF-e de Saída'!F:F,"AUTORIZADA")</f>
        <v>0</v>
      </c>
      <c r="I562" s="2">
        <f>SUMIFS('NF-e de Saída'!E:E,'NF-e de Saída'!A:A,Dash!B562,'NF-e de Saída'!F:F,"CANCELADA")</f>
        <v>0</v>
      </c>
    </row>
    <row r="563" spans="2:9" x14ac:dyDescent="0.3">
      <c r="B563">
        <v>868</v>
      </c>
      <c r="C563" t="s">
        <v>3360</v>
      </c>
      <c r="D563" t="s">
        <v>3804</v>
      </c>
      <c r="E563" t="str">
        <f>IF(COUNTIF(Sheet3!E:E,Dash!B563)&gt;0,"Sim","Não")</f>
        <v>Não</v>
      </c>
      <c r="F563" s="2">
        <f>SUMIFS('NF-e de Entrada'!E:E,'NF-e de Entrada'!A:A,Dash!B563,'NF-e de Entrada'!F:F,"Autorizada")</f>
        <v>0</v>
      </c>
      <c r="G563" s="2">
        <f>SUMIFS('NF-e de Entrada'!E:E,'NF-e de Entrada'!A:A,Dash!B563,'NF-e de Entrada'!F:F,"Cancelada")</f>
        <v>0</v>
      </c>
      <c r="H563" s="2">
        <f>SUMIFS('NF-e de Saída'!E:E,'NF-e de Saída'!A:A,Dash!B563,'NF-e de Saída'!F:F,"AUTORIZADA")</f>
        <v>0</v>
      </c>
      <c r="I563" s="2">
        <f>SUMIFS('NF-e de Saída'!E:E,'NF-e de Saída'!A:A,Dash!B563,'NF-e de Saída'!F:F,"CANCELADA")</f>
        <v>0</v>
      </c>
    </row>
    <row r="564" spans="2:9" x14ac:dyDescent="0.3">
      <c r="B564">
        <v>869</v>
      </c>
      <c r="C564" t="s">
        <v>3361</v>
      </c>
      <c r="D564" t="s">
        <v>3805</v>
      </c>
      <c r="E564" t="str">
        <f>IF(COUNTIF(Sheet3!E:E,Dash!B564)&gt;0,"Sim","Não")</f>
        <v>Não</v>
      </c>
      <c r="F564" s="2">
        <f>SUMIFS('NF-e de Entrada'!E:E,'NF-e de Entrada'!A:A,Dash!B564,'NF-e de Entrada'!F:F,"Autorizada")</f>
        <v>0</v>
      </c>
      <c r="G564" s="2">
        <f>SUMIFS('NF-e de Entrada'!E:E,'NF-e de Entrada'!A:A,Dash!B564,'NF-e de Entrada'!F:F,"Cancelada")</f>
        <v>0</v>
      </c>
      <c r="H564" s="2">
        <f>SUMIFS('NF-e de Saída'!E:E,'NF-e de Saída'!A:A,Dash!B564,'NF-e de Saída'!F:F,"AUTORIZADA")</f>
        <v>0</v>
      </c>
      <c r="I564" s="2">
        <f>SUMIFS('NF-e de Saída'!E:E,'NF-e de Saída'!A:A,Dash!B564,'NF-e de Saída'!F:F,"CANCELADA")</f>
        <v>0</v>
      </c>
    </row>
    <row r="565" spans="2:9" x14ac:dyDescent="0.3">
      <c r="B565">
        <v>871</v>
      </c>
      <c r="C565" t="s">
        <v>3362</v>
      </c>
      <c r="D565" t="s">
        <v>3806</v>
      </c>
      <c r="E565" t="str">
        <f>IF(COUNTIF(Sheet3!E:E,Dash!B565)&gt;0,"Sim","Não")</f>
        <v>Não</v>
      </c>
      <c r="F565" s="2">
        <f>SUMIFS('NF-e de Entrada'!E:E,'NF-e de Entrada'!A:A,Dash!B565,'NF-e de Entrada'!F:F,"Autorizada")</f>
        <v>0</v>
      </c>
      <c r="G565" s="2">
        <f>SUMIFS('NF-e de Entrada'!E:E,'NF-e de Entrada'!A:A,Dash!B565,'NF-e de Entrada'!F:F,"Cancelada")</f>
        <v>0</v>
      </c>
      <c r="H565" s="2">
        <f>SUMIFS('NF-e de Saída'!E:E,'NF-e de Saída'!A:A,Dash!B565,'NF-e de Saída'!F:F,"AUTORIZADA")</f>
        <v>0</v>
      </c>
      <c r="I565" s="2">
        <f>SUMIFS('NF-e de Saída'!E:E,'NF-e de Saída'!A:A,Dash!B565,'NF-e de Saída'!F:F,"CANCELADA")</f>
        <v>0</v>
      </c>
    </row>
    <row r="566" spans="2:9" x14ac:dyDescent="0.3">
      <c r="B566">
        <v>872</v>
      </c>
      <c r="C566" t="s">
        <v>3363</v>
      </c>
      <c r="D566" t="s">
        <v>3807</v>
      </c>
      <c r="E566" t="str">
        <f>IF(COUNTIF(Sheet3!E:E,Dash!B566)&gt;0,"Sim","Não")</f>
        <v>Não</v>
      </c>
      <c r="F566" s="2">
        <f>SUMIFS('NF-e de Entrada'!E:E,'NF-e de Entrada'!A:A,Dash!B566,'NF-e de Entrada'!F:F,"Autorizada")</f>
        <v>0</v>
      </c>
      <c r="G566" s="2">
        <f>SUMIFS('NF-e de Entrada'!E:E,'NF-e de Entrada'!A:A,Dash!B566,'NF-e de Entrada'!F:F,"Cancelada")</f>
        <v>0</v>
      </c>
      <c r="H566" s="2">
        <f>SUMIFS('NF-e de Saída'!E:E,'NF-e de Saída'!A:A,Dash!B566,'NF-e de Saída'!F:F,"AUTORIZADA")</f>
        <v>0</v>
      </c>
      <c r="I566" s="2">
        <f>SUMIFS('NF-e de Saída'!E:E,'NF-e de Saída'!A:A,Dash!B566,'NF-e de Saída'!F:F,"CANCELADA")</f>
        <v>0</v>
      </c>
    </row>
    <row r="567" spans="2:9" x14ac:dyDescent="0.3">
      <c r="B567">
        <v>873</v>
      </c>
      <c r="C567" t="s">
        <v>3364</v>
      </c>
      <c r="D567" t="s">
        <v>3808</v>
      </c>
      <c r="E567" t="str">
        <f>IF(COUNTIF(Sheet3!E:E,Dash!B567)&gt;0,"Sim","Não")</f>
        <v>Não</v>
      </c>
      <c r="F567" s="2">
        <f>SUMIFS('NF-e de Entrada'!E:E,'NF-e de Entrada'!A:A,Dash!B567,'NF-e de Entrada'!F:F,"Autorizada")</f>
        <v>0</v>
      </c>
      <c r="G567" s="2">
        <f>SUMIFS('NF-e de Entrada'!E:E,'NF-e de Entrada'!A:A,Dash!B567,'NF-e de Entrada'!F:F,"Cancelada")</f>
        <v>0</v>
      </c>
      <c r="H567" s="2">
        <f>SUMIFS('NF-e de Saída'!E:E,'NF-e de Saída'!A:A,Dash!B567,'NF-e de Saída'!F:F,"AUTORIZADA")</f>
        <v>0</v>
      </c>
      <c r="I567" s="2">
        <f>SUMIFS('NF-e de Saída'!E:E,'NF-e de Saída'!A:A,Dash!B567,'NF-e de Saída'!F:F,"CANCELADA")</f>
        <v>0</v>
      </c>
    </row>
    <row r="568" spans="2:9" x14ac:dyDescent="0.3">
      <c r="B568">
        <v>874</v>
      </c>
      <c r="C568" t="s">
        <v>3365</v>
      </c>
      <c r="D568" t="s">
        <v>3809</v>
      </c>
      <c r="E568" t="str">
        <f>IF(COUNTIF(Sheet3!E:E,Dash!B568)&gt;0,"Sim","Não")</f>
        <v>Não</v>
      </c>
      <c r="F568" s="2">
        <f>SUMIFS('NF-e de Entrada'!E:E,'NF-e de Entrada'!A:A,Dash!B568,'NF-e de Entrada'!F:F,"Autorizada")</f>
        <v>0</v>
      </c>
      <c r="G568" s="2">
        <f>SUMIFS('NF-e de Entrada'!E:E,'NF-e de Entrada'!A:A,Dash!B568,'NF-e de Entrada'!F:F,"Cancelada")</f>
        <v>0</v>
      </c>
      <c r="H568" s="2">
        <f>SUMIFS('NF-e de Saída'!E:E,'NF-e de Saída'!A:A,Dash!B568,'NF-e de Saída'!F:F,"AUTORIZADA")</f>
        <v>0</v>
      </c>
      <c r="I568" s="2">
        <f>SUMIFS('NF-e de Saída'!E:E,'NF-e de Saída'!A:A,Dash!B568,'NF-e de Saída'!F:F,"CANCELADA")</f>
        <v>0</v>
      </c>
    </row>
    <row r="569" spans="2:9" x14ac:dyDescent="0.3">
      <c r="B569">
        <v>876</v>
      </c>
      <c r="C569" t="s">
        <v>3366</v>
      </c>
      <c r="D569" t="s">
        <v>3810</v>
      </c>
      <c r="E569" t="str">
        <f>IF(COUNTIF(Sheet3!E:E,Dash!B569)&gt;0,"Sim","Não")</f>
        <v>Não</v>
      </c>
      <c r="F569" s="2">
        <f>SUMIFS('NF-e de Entrada'!E:E,'NF-e de Entrada'!A:A,Dash!B569,'NF-e de Entrada'!F:F,"Autorizada")</f>
        <v>0</v>
      </c>
      <c r="G569" s="2">
        <f>SUMIFS('NF-e de Entrada'!E:E,'NF-e de Entrada'!A:A,Dash!B569,'NF-e de Entrada'!F:F,"Cancelada")</f>
        <v>0</v>
      </c>
      <c r="H569" s="2">
        <f>SUMIFS('NF-e de Saída'!E:E,'NF-e de Saída'!A:A,Dash!B569,'NF-e de Saída'!F:F,"AUTORIZADA")</f>
        <v>0</v>
      </c>
      <c r="I569" s="2">
        <f>SUMIFS('NF-e de Saída'!E:E,'NF-e de Saída'!A:A,Dash!B569,'NF-e de Saída'!F:F,"CANCELADA")</f>
        <v>0</v>
      </c>
    </row>
    <row r="570" spans="2:9" x14ac:dyDescent="0.3">
      <c r="B570">
        <v>877</v>
      </c>
      <c r="C570" t="s">
        <v>3367</v>
      </c>
      <c r="D570" t="s">
        <v>3811</v>
      </c>
      <c r="E570" t="str">
        <f>IF(COUNTIF(Sheet3!E:E,Dash!B570)&gt;0,"Sim","Não")</f>
        <v>Não</v>
      </c>
      <c r="F570" s="2">
        <f>SUMIFS('NF-e de Entrada'!E:E,'NF-e de Entrada'!A:A,Dash!B570,'NF-e de Entrada'!F:F,"Autorizada")</f>
        <v>0</v>
      </c>
      <c r="G570" s="2">
        <f>SUMIFS('NF-e de Entrada'!E:E,'NF-e de Entrada'!A:A,Dash!B570,'NF-e de Entrada'!F:F,"Cancelada")</f>
        <v>0</v>
      </c>
      <c r="H570" s="2">
        <f>SUMIFS('NF-e de Saída'!E:E,'NF-e de Saída'!A:A,Dash!B570,'NF-e de Saída'!F:F,"AUTORIZADA")</f>
        <v>0</v>
      </c>
      <c r="I570" s="2">
        <f>SUMIFS('NF-e de Saída'!E:E,'NF-e de Saída'!A:A,Dash!B570,'NF-e de Saída'!F:F,"CANCELADA")</f>
        <v>0</v>
      </c>
    </row>
    <row r="571" spans="2:9" x14ac:dyDescent="0.3">
      <c r="B571">
        <v>878</v>
      </c>
      <c r="C571" t="s">
        <v>3368</v>
      </c>
      <c r="D571" t="s">
        <v>3812</v>
      </c>
      <c r="E571" t="str">
        <f>IF(COUNTIF(Sheet3!E:E,Dash!B571)&gt;0,"Sim","Não")</f>
        <v>Não</v>
      </c>
      <c r="F571" s="2">
        <f>SUMIFS('NF-e de Entrada'!E:E,'NF-e de Entrada'!A:A,Dash!B571,'NF-e de Entrada'!F:F,"Autorizada")</f>
        <v>0</v>
      </c>
      <c r="G571" s="2">
        <f>SUMIFS('NF-e de Entrada'!E:E,'NF-e de Entrada'!A:A,Dash!B571,'NF-e de Entrada'!F:F,"Cancelada")</f>
        <v>0</v>
      </c>
      <c r="H571" s="2">
        <f>SUMIFS('NF-e de Saída'!E:E,'NF-e de Saída'!A:A,Dash!B571,'NF-e de Saída'!F:F,"AUTORIZADA")</f>
        <v>0</v>
      </c>
      <c r="I571" s="2">
        <f>SUMIFS('NF-e de Saída'!E:E,'NF-e de Saída'!A:A,Dash!B571,'NF-e de Saída'!F:F,"CANCELADA")</f>
        <v>0</v>
      </c>
    </row>
    <row r="572" spans="2:9" x14ac:dyDescent="0.3">
      <c r="B572">
        <v>880</v>
      </c>
      <c r="C572" t="s">
        <v>3369</v>
      </c>
      <c r="D572" t="s">
        <v>3813</v>
      </c>
      <c r="E572" t="str">
        <f>IF(COUNTIF(Sheet3!E:E,Dash!B572)&gt;0,"Sim","Não")</f>
        <v>Não</v>
      </c>
      <c r="F572" s="2">
        <f>SUMIFS('NF-e de Entrada'!E:E,'NF-e de Entrada'!A:A,Dash!B572,'NF-e de Entrada'!F:F,"Autorizada")</f>
        <v>0</v>
      </c>
      <c r="G572" s="2">
        <f>SUMIFS('NF-e de Entrada'!E:E,'NF-e de Entrada'!A:A,Dash!B572,'NF-e de Entrada'!F:F,"Cancelada")</f>
        <v>0</v>
      </c>
      <c r="H572" s="2">
        <f>SUMIFS('NF-e de Saída'!E:E,'NF-e de Saída'!A:A,Dash!B572,'NF-e de Saída'!F:F,"AUTORIZADA")</f>
        <v>0</v>
      </c>
      <c r="I572" s="2">
        <f>SUMIFS('NF-e de Saída'!E:E,'NF-e de Saída'!A:A,Dash!B572,'NF-e de Saída'!F:F,"CANCELADA")</f>
        <v>0</v>
      </c>
    </row>
    <row r="573" spans="2:9" x14ac:dyDescent="0.3">
      <c r="B573">
        <v>881</v>
      </c>
      <c r="C573" t="s">
        <v>3230</v>
      </c>
      <c r="D573" t="s">
        <v>2524</v>
      </c>
      <c r="E573" t="str">
        <f>IF(COUNTIF(Sheet3!E:E,Dash!B573)&gt;0,"Sim","Não")</f>
        <v>Não</v>
      </c>
      <c r="F573" s="2">
        <f>SUMIFS('NF-e de Entrada'!E:E,'NF-e de Entrada'!A:A,Dash!B573,'NF-e de Entrada'!F:F,"Autorizada")</f>
        <v>0</v>
      </c>
      <c r="G573" s="2">
        <f>SUMIFS('NF-e de Entrada'!E:E,'NF-e de Entrada'!A:A,Dash!B573,'NF-e de Entrada'!F:F,"Cancelada")</f>
        <v>0</v>
      </c>
      <c r="H573" s="2">
        <f>SUMIFS('NF-e de Saída'!E:E,'NF-e de Saída'!A:A,Dash!B573,'NF-e de Saída'!F:F,"AUTORIZADA")</f>
        <v>0</v>
      </c>
      <c r="I573" s="2">
        <f>SUMIFS('NF-e de Saída'!E:E,'NF-e de Saída'!A:A,Dash!B573,'NF-e de Saída'!F:F,"CANCELADA")</f>
        <v>0</v>
      </c>
    </row>
    <row r="574" spans="2:9" x14ac:dyDescent="0.3">
      <c r="B574">
        <v>882</v>
      </c>
      <c r="C574" t="s">
        <v>3370</v>
      </c>
      <c r="D574" t="s">
        <v>3814</v>
      </c>
      <c r="E574" t="str">
        <f>IF(COUNTIF(Sheet3!E:E,Dash!B574)&gt;0,"Sim","Não")</f>
        <v>Não</v>
      </c>
      <c r="F574" s="2">
        <f>SUMIFS('NF-e de Entrada'!E:E,'NF-e de Entrada'!A:A,Dash!B574,'NF-e de Entrada'!F:F,"Autorizada")</f>
        <v>0</v>
      </c>
      <c r="G574" s="2">
        <f>SUMIFS('NF-e de Entrada'!E:E,'NF-e de Entrada'!A:A,Dash!B574,'NF-e de Entrada'!F:F,"Cancelada")</f>
        <v>0</v>
      </c>
      <c r="H574" s="2">
        <f>SUMIFS('NF-e de Saída'!E:E,'NF-e de Saída'!A:A,Dash!B574,'NF-e de Saída'!F:F,"AUTORIZADA")</f>
        <v>0</v>
      </c>
      <c r="I574" s="2">
        <f>SUMIFS('NF-e de Saída'!E:E,'NF-e de Saída'!A:A,Dash!B574,'NF-e de Saída'!F:F,"CANCELADA")</f>
        <v>0</v>
      </c>
    </row>
    <row r="575" spans="2:9" x14ac:dyDescent="0.3">
      <c r="B575">
        <v>883</v>
      </c>
      <c r="C575" t="s">
        <v>3371</v>
      </c>
      <c r="D575" t="s">
        <v>3815</v>
      </c>
      <c r="E575" t="str">
        <f>IF(COUNTIF(Sheet3!E:E,Dash!B575)&gt;0,"Sim","Não")</f>
        <v>Não</v>
      </c>
      <c r="F575" s="2">
        <f>SUMIFS('NF-e de Entrada'!E:E,'NF-e de Entrada'!A:A,Dash!B575,'NF-e de Entrada'!F:F,"Autorizada")</f>
        <v>0</v>
      </c>
      <c r="G575" s="2">
        <f>SUMIFS('NF-e de Entrada'!E:E,'NF-e de Entrada'!A:A,Dash!B575,'NF-e de Entrada'!F:F,"Cancelada")</f>
        <v>0</v>
      </c>
      <c r="H575" s="2">
        <f>SUMIFS('NF-e de Saída'!E:E,'NF-e de Saída'!A:A,Dash!B575,'NF-e de Saída'!F:F,"AUTORIZADA")</f>
        <v>0</v>
      </c>
      <c r="I575" s="2">
        <f>SUMIFS('NF-e de Saída'!E:E,'NF-e de Saída'!A:A,Dash!B575,'NF-e de Saída'!F:F,"CANCELADA")</f>
        <v>0</v>
      </c>
    </row>
    <row r="576" spans="2:9" x14ac:dyDescent="0.3">
      <c r="B576">
        <v>884</v>
      </c>
      <c r="C576" t="s">
        <v>3372</v>
      </c>
      <c r="D576" t="s">
        <v>3816</v>
      </c>
      <c r="E576" t="str">
        <f>IF(COUNTIF(Sheet3!E:E,Dash!B576)&gt;0,"Sim","Não")</f>
        <v>Não</v>
      </c>
      <c r="F576" s="2">
        <f>SUMIFS('NF-e de Entrada'!E:E,'NF-e de Entrada'!A:A,Dash!B576,'NF-e de Entrada'!F:F,"Autorizada")</f>
        <v>0</v>
      </c>
      <c r="G576" s="2">
        <f>SUMIFS('NF-e de Entrada'!E:E,'NF-e de Entrada'!A:A,Dash!B576,'NF-e de Entrada'!F:F,"Cancelada")</f>
        <v>0</v>
      </c>
      <c r="H576" s="2">
        <f>SUMIFS('NF-e de Saída'!E:E,'NF-e de Saída'!A:A,Dash!B576,'NF-e de Saída'!F:F,"AUTORIZADA")</f>
        <v>0</v>
      </c>
      <c r="I576" s="2">
        <f>SUMIFS('NF-e de Saída'!E:E,'NF-e de Saída'!A:A,Dash!B576,'NF-e de Saída'!F:F,"CANCELADA")</f>
        <v>0</v>
      </c>
    </row>
    <row r="577" spans="2:9" x14ac:dyDescent="0.3">
      <c r="B577">
        <v>885</v>
      </c>
      <c r="C577" t="s">
        <v>3373</v>
      </c>
      <c r="D577" t="s">
        <v>3817</v>
      </c>
      <c r="E577" t="str">
        <f>IF(COUNTIF(Sheet3!E:E,Dash!B577)&gt;0,"Sim","Não")</f>
        <v>Não</v>
      </c>
      <c r="F577" s="2">
        <f>SUMIFS('NF-e de Entrada'!E:E,'NF-e de Entrada'!A:A,Dash!B577,'NF-e de Entrada'!F:F,"Autorizada")</f>
        <v>0</v>
      </c>
      <c r="G577" s="2">
        <f>SUMIFS('NF-e de Entrada'!E:E,'NF-e de Entrada'!A:A,Dash!B577,'NF-e de Entrada'!F:F,"Cancelada")</f>
        <v>0</v>
      </c>
      <c r="H577" s="2">
        <f>SUMIFS('NF-e de Saída'!E:E,'NF-e de Saída'!A:A,Dash!B577,'NF-e de Saída'!F:F,"AUTORIZADA")</f>
        <v>0</v>
      </c>
      <c r="I577" s="2">
        <f>SUMIFS('NF-e de Saída'!E:E,'NF-e de Saída'!A:A,Dash!B577,'NF-e de Saída'!F:F,"CANCELADA")</f>
        <v>0</v>
      </c>
    </row>
    <row r="578" spans="2:9" x14ac:dyDescent="0.3">
      <c r="B578">
        <v>886</v>
      </c>
      <c r="C578" t="s">
        <v>3374</v>
      </c>
      <c r="D578" t="s">
        <v>3818</v>
      </c>
      <c r="E578" t="str">
        <f>IF(COUNTIF(Sheet3!E:E,Dash!B578)&gt;0,"Sim","Não")</f>
        <v>Não</v>
      </c>
      <c r="F578" s="2">
        <f>SUMIFS('NF-e de Entrada'!E:E,'NF-e de Entrada'!A:A,Dash!B578,'NF-e de Entrada'!F:F,"Autorizada")</f>
        <v>0</v>
      </c>
      <c r="G578" s="2">
        <f>SUMIFS('NF-e de Entrada'!E:E,'NF-e de Entrada'!A:A,Dash!B578,'NF-e de Entrada'!F:F,"Cancelada")</f>
        <v>0</v>
      </c>
      <c r="H578" s="2">
        <f>SUMIFS('NF-e de Saída'!E:E,'NF-e de Saída'!A:A,Dash!B578,'NF-e de Saída'!F:F,"AUTORIZADA")</f>
        <v>0</v>
      </c>
      <c r="I578" s="2">
        <f>SUMIFS('NF-e de Saída'!E:E,'NF-e de Saída'!A:A,Dash!B578,'NF-e de Saída'!F:F,"CANCELADA")</f>
        <v>0</v>
      </c>
    </row>
    <row r="579" spans="2:9" x14ac:dyDescent="0.3">
      <c r="B579">
        <v>887</v>
      </c>
      <c r="C579" t="s">
        <v>3375</v>
      </c>
      <c r="D579" t="s">
        <v>3819</v>
      </c>
      <c r="E579" t="str">
        <f>IF(COUNTIF(Sheet3!E:E,Dash!B579)&gt;0,"Sim","Não")</f>
        <v>Não</v>
      </c>
      <c r="F579" s="2">
        <f>SUMIFS('NF-e de Entrada'!E:E,'NF-e de Entrada'!A:A,Dash!B579,'NF-e de Entrada'!F:F,"Autorizada")</f>
        <v>0</v>
      </c>
      <c r="G579" s="2">
        <f>SUMIFS('NF-e de Entrada'!E:E,'NF-e de Entrada'!A:A,Dash!B579,'NF-e de Entrada'!F:F,"Cancelada")</f>
        <v>0</v>
      </c>
      <c r="H579" s="2">
        <f>SUMIFS('NF-e de Saída'!E:E,'NF-e de Saída'!A:A,Dash!B579,'NF-e de Saída'!F:F,"AUTORIZADA")</f>
        <v>0</v>
      </c>
      <c r="I579" s="2">
        <f>SUMIFS('NF-e de Saída'!E:E,'NF-e de Saída'!A:A,Dash!B579,'NF-e de Saída'!F:F,"CANCELADA")</f>
        <v>0</v>
      </c>
    </row>
    <row r="580" spans="2:9" x14ac:dyDescent="0.3">
      <c r="B580">
        <v>888</v>
      </c>
      <c r="C580" t="s">
        <v>3376</v>
      </c>
      <c r="D580" t="s">
        <v>3820</v>
      </c>
      <c r="E580" t="str">
        <f>IF(COUNTIF(Sheet3!E:E,Dash!B580)&gt;0,"Sim","Não")</f>
        <v>Não</v>
      </c>
      <c r="F580" s="2">
        <f>SUMIFS('NF-e de Entrada'!E:E,'NF-e de Entrada'!A:A,Dash!B580,'NF-e de Entrada'!F:F,"Autorizada")</f>
        <v>0</v>
      </c>
      <c r="G580" s="2">
        <f>SUMIFS('NF-e de Entrada'!E:E,'NF-e de Entrada'!A:A,Dash!B580,'NF-e de Entrada'!F:F,"Cancelada")</f>
        <v>0</v>
      </c>
      <c r="H580" s="2">
        <f>SUMIFS('NF-e de Saída'!E:E,'NF-e de Saída'!A:A,Dash!B580,'NF-e de Saída'!F:F,"AUTORIZADA")</f>
        <v>0</v>
      </c>
      <c r="I580" s="2">
        <f>SUMIFS('NF-e de Saída'!E:E,'NF-e de Saída'!A:A,Dash!B580,'NF-e de Saída'!F:F,"CANCELADA")</f>
        <v>0</v>
      </c>
    </row>
    <row r="581" spans="2:9" x14ac:dyDescent="0.3">
      <c r="B581">
        <v>889</v>
      </c>
      <c r="C581" t="s">
        <v>3377</v>
      </c>
      <c r="D581" t="s">
        <v>3821</v>
      </c>
      <c r="E581" t="str">
        <f>IF(COUNTIF(Sheet3!E:E,Dash!B581)&gt;0,"Sim","Não")</f>
        <v>Não</v>
      </c>
      <c r="F581" s="2">
        <f>SUMIFS('NF-e de Entrada'!E:E,'NF-e de Entrada'!A:A,Dash!B581,'NF-e de Entrada'!F:F,"Autorizada")</f>
        <v>0</v>
      </c>
      <c r="G581" s="2">
        <f>SUMIFS('NF-e de Entrada'!E:E,'NF-e de Entrada'!A:A,Dash!B581,'NF-e de Entrada'!F:F,"Cancelada")</f>
        <v>0</v>
      </c>
      <c r="H581" s="2">
        <f>SUMIFS('NF-e de Saída'!E:E,'NF-e de Saída'!A:A,Dash!B581,'NF-e de Saída'!F:F,"AUTORIZADA")</f>
        <v>0</v>
      </c>
      <c r="I581" s="2">
        <f>SUMIFS('NF-e de Saída'!E:E,'NF-e de Saída'!A:A,Dash!B581,'NF-e de Saída'!F:F,"CANCELADA")</f>
        <v>0</v>
      </c>
    </row>
    <row r="582" spans="2:9" x14ac:dyDescent="0.3">
      <c r="B582">
        <v>890</v>
      </c>
      <c r="C582" t="s">
        <v>3378</v>
      </c>
      <c r="D582" t="s">
        <v>3822</v>
      </c>
      <c r="E582" t="str">
        <f>IF(COUNTIF(Sheet3!E:E,Dash!B582)&gt;0,"Sim","Não")</f>
        <v>Não</v>
      </c>
      <c r="F582" s="2">
        <f>SUMIFS('NF-e de Entrada'!E:E,'NF-e de Entrada'!A:A,Dash!B582,'NF-e de Entrada'!F:F,"Autorizada")</f>
        <v>0</v>
      </c>
      <c r="G582" s="2">
        <f>SUMIFS('NF-e de Entrada'!E:E,'NF-e de Entrada'!A:A,Dash!B582,'NF-e de Entrada'!F:F,"Cancelada")</f>
        <v>0</v>
      </c>
      <c r="H582" s="2">
        <f>SUMIFS('NF-e de Saída'!E:E,'NF-e de Saída'!A:A,Dash!B582,'NF-e de Saída'!F:F,"AUTORIZADA")</f>
        <v>0</v>
      </c>
      <c r="I582" s="2">
        <f>SUMIFS('NF-e de Saída'!E:E,'NF-e de Saída'!A:A,Dash!B582,'NF-e de Saída'!F:F,"CANCELADA")</f>
        <v>0</v>
      </c>
    </row>
    <row r="583" spans="2:9" x14ac:dyDescent="0.3">
      <c r="B583">
        <v>891</v>
      </c>
      <c r="C583" t="s">
        <v>3379</v>
      </c>
      <c r="D583" t="s">
        <v>3823</v>
      </c>
      <c r="E583" t="str">
        <f>IF(COUNTIF(Sheet3!E:E,Dash!B583)&gt;0,"Sim","Não")</f>
        <v>Não</v>
      </c>
      <c r="F583" s="2">
        <f>SUMIFS('NF-e de Entrada'!E:E,'NF-e de Entrada'!A:A,Dash!B583,'NF-e de Entrada'!F:F,"Autorizada")</f>
        <v>0</v>
      </c>
      <c r="G583" s="2">
        <f>SUMIFS('NF-e de Entrada'!E:E,'NF-e de Entrada'!A:A,Dash!B583,'NF-e de Entrada'!F:F,"Cancelada")</f>
        <v>0</v>
      </c>
      <c r="H583" s="2">
        <f>SUMIFS('NF-e de Saída'!E:E,'NF-e de Saída'!A:A,Dash!B583,'NF-e de Saída'!F:F,"AUTORIZADA")</f>
        <v>0</v>
      </c>
      <c r="I583" s="2">
        <f>SUMIFS('NF-e de Saída'!E:E,'NF-e de Saída'!A:A,Dash!B583,'NF-e de Saída'!F:F,"CANCELADA")</f>
        <v>0</v>
      </c>
    </row>
    <row r="584" spans="2:9" x14ac:dyDescent="0.3">
      <c r="B584">
        <v>892</v>
      </c>
      <c r="C584" t="s">
        <v>3380</v>
      </c>
      <c r="D584" t="s">
        <v>3824</v>
      </c>
      <c r="E584" t="str">
        <f>IF(COUNTIF(Sheet3!E:E,Dash!B584)&gt;0,"Sim","Não")</f>
        <v>Não</v>
      </c>
      <c r="F584" s="2">
        <f>SUMIFS('NF-e de Entrada'!E:E,'NF-e de Entrada'!A:A,Dash!B584,'NF-e de Entrada'!F:F,"Autorizada")</f>
        <v>0</v>
      </c>
      <c r="G584" s="2">
        <f>SUMIFS('NF-e de Entrada'!E:E,'NF-e de Entrada'!A:A,Dash!B584,'NF-e de Entrada'!F:F,"Cancelada")</f>
        <v>0</v>
      </c>
      <c r="H584" s="2">
        <f>SUMIFS('NF-e de Saída'!E:E,'NF-e de Saída'!A:A,Dash!B584,'NF-e de Saída'!F:F,"AUTORIZADA")</f>
        <v>0</v>
      </c>
      <c r="I584" s="2">
        <f>SUMIFS('NF-e de Saída'!E:E,'NF-e de Saída'!A:A,Dash!B584,'NF-e de Saída'!F:F,"CANCELADA")</f>
        <v>0</v>
      </c>
    </row>
    <row r="585" spans="2:9" x14ac:dyDescent="0.3">
      <c r="B585">
        <v>894</v>
      </c>
      <c r="C585" t="s">
        <v>3381</v>
      </c>
      <c r="D585" t="s">
        <v>3825</v>
      </c>
      <c r="E585" t="str">
        <f>IF(COUNTIF(Sheet3!E:E,Dash!B585)&gt;0,"Sim","Não")</f>
        <v>Não</v>
      </c>
      <c r="F585" s="2">
        <f>SUMIFS('NF-e de Entrada'!E:E,'NF-e de Entrada'!A:A,Dash!B585,'NF-e de Entrada'!F:F,"Autorizada")</f>
        <v>0</v>
      </c>
      <c r="G585" s="2">
        <f>SUMIFS('NF-e de Entrada'!E:E,'NF-e de Entrada'!A:A,Dash!B585,'NF-e de Entrada'!F:F,"Cancelada")</f>
        <v>0</v>
      </c>
      <c r="H585" s="2">
        <f>SUMIFS('NF-e de Saída'!E:E,'NF-e de Saída'!A:A,Dash!B585,'NF-e de Saída'!F:F,"AUTORIZADA")</f>
        <v>0</v>
      </c>
      <c r="I585" s="2">
        <f>SUMIFS('NF-e de Saída'!E:E,'NF-e de Saída'!A:A,Dash!B585,'NF-e de Saída'!F:F,"CANCELADA")</f>
        <v>0</v>
      </c>
    </row>
    <row r="586" spans="2:9" x14ac:dyDescent="0.3">
      <c r="B586">
        <v>895</v>
      </c>
      <c r="C586" t="s">
        <v>3382</v>
      </c>
      <c r="D586" t="s">
        <v>3826</v>
      </c>
      <c r="E586" t="str">
        <f>IF(COUNTIF(Sheet3!E:E,Dash!B586)&gt;0,"Sim","Não")</f>
        <v>Não</v>
      </c>
      <c r="F586" s="2">
        <f>SUMIFS('NF-e de Entrada'!E:E,'NF-e de Entrada'!A:A,Dash!B586,'NF-e de Entrada'!F:F,"Autorizada")</f>
        <v>0</v>
      </c>
      <c r="G586" s="2">
        <f>SUMIFS('NF-e de Entrada'!E:E,'NF-e de Entrada'!A:A,Dash!B586,'NF-e de Entrada'!F:F,"Cancelada")</f>
        <v>0</v>
      </c>
      <c r="H586" s="2">
        <f>SUMIFS('NF-e de Saída'!E:E,'NF-e de Saída'!A:A,Dash!B586,'NF-e de Saída'!F:F,"AUTORIZADA")</f>
        <v>0</v>
      </c>
      <c r="I586" s="2">
        <f>SUMIFS('NF-e de Saída'!E:E,'NF-e de Saída'!A:A,Dash!B586,'NF-e de Saída'!F:F,"CANCELADA")</f>
        <v>0</v>
      </c>
    </row>
    <row r="587" spans="2:9" x14ac:dyDescent="0.3">
      <c r="B587">
        <v>896</v>
      </c>
      <c r="C587" t="s">
        <v>3383</v>
      </c>
      <c r="D587" t="s">
        <v>3827</v>
      </c>
      <c r="E587" t="str">
        <f>IF(COUNTIF(Sheet3!E:E,Dash!B587)&gt;0,"Sim","Não")</f>
        <v>Não</v>
      </c>
      <c r="F587" s="2">
        <f>SUMIFS('NF-e de Entrada'!E:E,'NF-e de Entrada'!A:A,Dash!B587,'NF-e de Entrada'!F:F,"Autorizada")</f>
        <v>0</v>
      </c>
      <c r="G587" s="2">
        <f>SUMIFS('NF-e de Entrada'!E:E,'NF-e de Entrada'!A:A,Dash!B587,'NF-e de Entrada'!F:F,"Cancelada")</f>
        <v>0</v>
      </c>
      <c r="H587" s="2">
        <f>SUMIFS('NF-e de Saída'!E:E,'NF-e de Saída'!A:A,Dash!B587,'NF-e de Saída'!F:F,"AUTORIZADA")</f>
        <v>0</v>
      </c>
      <c r="I587" s="2">
        <f>SUMIFS('NF-e de Saída'!E:E,'NF-e de Saída'!A:A,Dash!B587,'NF-e de Saída'!F:F,"CANCELADA")</f>
        <v>0</v>
      </c>
    </row>
    <row r="588" spans="2:9" x14ac:dyDescent="0.3">
      <c r="B588">
        <v>898</v>
      </c>
      <c r="C588" t="s">
        <v>3384</v>
      </c>
      <c r="D588" t="s">
        <v>3828</v>
      </c>
      <c r="E588" t="str">
        <f>IF(COUNTIF(Sheet3!E:E,Dash!B588)&gt;0,"Sim","Não")</f>
        <v>Não</v>
      </c>
      <c r="F588" s="2">
        <f>SUMIFS('NF-e de Entrada'!E:E,'NF-e de Entrada'!A:A,Dash!B588,'NF-e de Entrada'!F:F,"Autorizada")</f>
        <v>0</v>
      </c>
      <c r="G588" s="2">
        <f>SUMIFS('NF-e de Entrada'!E:E,'NF-e de Entrada'!A:A,Dash!B588,'NF-e de Entrada'!F:F,"Cancelada")</f>
        <v>0</v>
      </c>
      <c r="H588" s="2">
        <f>SUMIFS('NF-e de Saída'!E:E,'NF-e de Saída'!A:A,Dash!B588,'NF-e de Saída'!F:F,"AUTORIZADA")</f>
        <v>0</v>
      </c>
      <c r="I588" s="2">
        <f>SUMIFS('NF-e de Saída'!E:E,'NF-e de Saída'!A:A,Dash!B588,'NF-e de Saída'!F:F,"CANCELADA")</f>
        <v>0</v>
      </c>
    </row>
    <row r="589" spans="2:9" x14ac:dyDescent="0.3">
      <c r="B589">
        <v>899</v>
      </c>
      <c r="C589" t="s">
        <v>3385</v>
      </c>
      <c r="D589" t="s">
        <v>3829</v>
      </c>
      <c r="E589" t="str">
        <f>IF(COUNTIF(Sheet3!E:E,Dash!B589)&gt;0,"Sim","Não")</f>
        <v>Não</v>
      </c>
      <c r="F589" s="2">
        <f>SUMIFS('NF-e de Entrada'!E:E,'NF-e de Entrada'!A:A,Dash!B589,'NF-e de Entrada'!F:F,"Autorizada")</f>
        <v>0</v>
      </c>
      <c r="G589" s="2">
        <f>SUMIFS('NF-e de Entrada'!E:E,'NF-e de Entrada'!A:A,Dash!B589,'NF-e de Entrada'!F:F,"Cancelada")</f>
        <v>0</v>
      </c>
      <c r="H589" s="2">
        <f>SUMIFS('NF-e de Saída'!E:E,'NF-e de Saída'!A:A,Dash!B589,'NF-e de Saída'!F:F,"AUTORIZADA")</f>
        <v>0</v>
      </c>
      <c r="I589" s="2">
        <f>SUMIFS('NF-e de Saída'!E:E,'NF-e de Saída'!A:A,Dash!B589,'NF-e de Saída'!F:F,"CANCELADA")</f>
        <v>0</v>
      </c>
    </row>
    <row r="590" spans="2:9" x14ac:dyDescent="0.3">
      <c r="B590">
        <v>900</v>
      </c>
      <c r="C590" t="s">
        <v>3386</v>
      </c>
      <c r="D590" t="s">
        <v>3830</v>
      </c>
      <c r="E590" t="str">
        <f>IF(COUNTIF(Sheet3!E:E,Dash!B590)&gt;0,"Sim","Não")</f>
        <v>Não</v>
      </c>
      <c r="F590" s="2">
        <f>SUMIFS('NF-e de Entrada'!E:E,'NF-e de Entrada'!A:A,Dash!B590,'NF-e de Entrada'!F:F,"Autorizada")</f>
        <v>0</v>
      </c>
      <c r="G590" s="2">
        <f>SUMIFS('NF-e de Entrada'!E:E,'NF-e de Entrada'!A:A,Dash!B590,'NF-e de Entrada'!F:F,"Cancelada")</f>
        <v>0</v>
      </c>
      <c r="H590" s="2">
        <f>SUMIFS('NF-e de Saída'!E:E,'NF-e de Saída'!A:A,Dash!B590,'NF-e de Saída'!F:F,"AUTORIZADA")</f>
        <v>0</v>
      </c>
      <c r="I590" s="2">
        <f>SUMIFS('NF-e de Saída'!E:E,'NF-e de Saída'!A:A,Dash!B590,'NF-e de Saída'!F:F,"CANCELADA")</f>
        <v>0</v>
      </c>
    </row>
  </sheetData>
  <autoFilter ref="B2:F59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63"/>
  <sheetViews>
    <sheetView workbookViewId="0">
      <selection activeCell="F1" sqref="F1"/>
    </sheetView>
  </sheetViews>
  <sheetFormatPr defaultRowHeight="14.4" x14ac:dyDescent="0.3"/>
  <cols>
    <col min="1" max="1" width="16.77734375" bestFit="1" customWidth="1"/>
    <col min="2" max="2" width="15.109375" bestFit="1" customWidth="1"/>
    <col min="3" max="3" width="10.109375" bestFit="1" customWidth="1"/>
    <col min="4" max="4" width="46" bestFit="1" customWidth="1"/>
    <col min="5" max="5" width="10.109375" bestFit="1" customWidth="1"/>
    <col min="6" max="6" width="11.77734375" bestFit="1" customWidth="1"/>
    <col min="7" max="7" width="14.6640625" bestFit="1" customWidth="1"/>
    <col min="8" max="8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154</v>
      </c>
      <c r="B2" s="1" t="s">
        <v>14</v>
      </c>
      <c r="C2" s="1" t="s">
        <v>19</v>
      </c>
      <c r="D2" s="1" t="s">
        <v>20</v>
      </c>
      <c r="E2" s="1">
        <v>5762.19</v>
      </c>
      <c r="F2" s="1" t="s">
        <v>8</v>
      </c>
      <c r="G2" s="1" t="s">
        <v>9</v>
      </c>
      <c r="H2" s="1" t="s">
        <v>10</v>
      </c>
    </row>
    <row r="3" spans="1:8" x14ac:dyDescent="0.3">
      <c r="A3" s="1">
        <v>154</v>
      </c>
      <c r="B3" s="1" t="s">
        <v>14</v>
      </c>
      <c r="C3" s="1" t="s">
        <v>17</v>
      </c>
      <c r="D3" s="1" t="s">
        <v>18</v>
      </c>
      <c r="E3" s="1">
        <v>6834.04</v>
      </c>
      <c r="F3" s="1" t="s">
        <v>8</v>
      </c>
      <c r="G3" s="1" t="s">
        <v>9</v>
      </c>
      <c r="H3" s="1" t="s">
        <v>10</v>
      </c>
    </row>
    <row r="4" spans="1:8" x14ac:dyDescent="0.3">
      <c r="A4" s="1">
        <v>154</v>
      </c>
      <c r="B4" s="1" t="s">
        <v>14</v>
      </c>
      <c r="C4" s="1" t="s">
        <v>15</v>
      </c>
      <c r="D4" s="1" t="s">
        <v>16</v>
      </c>
      <c r="E4" s="1">
        <v>627</v>
      </c>
      <c r="F4" s="1" t="s">
        <v>8</v>
      </c>
      <c r="G4" s="1" t="s">
        <v>9</v>
      </c>
      <c r="H4" s="1" t="s">
        <v>10</v>
      </c>
    </row>
    <row r="5" spans="1:8" x14ac:dyDescent="0.3">
      <c r="A5" s="1">
        <v>154</v>
      </c>
      <c r="B5" s="1" t="s">
        <v>14</v>
      </c>
      <c r="C5" s="1" t="s">
        <v>21</v>
      </c>
      <c r="D5" s="1" t="s">
        <v>22</v>
      </c>
      <c r="E5" s="1">
        <v>1459.1</v>
      </c>
      <c r="F5" s="1" t="s">
        <v>8</v>
      </c>
      <c r="G5" s="1" t="s">
        <v>9</v>
      </c>
      <c r="H5" s="1" t="s">
        <v>10</v>
      </c>
    </row>
    <row r="6" spans="1:8" x14ac:dyDescent="0.3">
      <c r="A6" s="1">
        <v>154</v>
      </c>
      <c r="B6" s="1" t="s">
        <v>14</v>
      </c>
      <c r="C6" s="1" t="s">
        <v>23</v>
      </c>
      <c r="D6" s="1" t="s">
        <v>24</v>
      </c>
      <c r="E6" s="1">
        <v>292.82</v>
      </c>
      <c r="F6" s="1" t="s">
        <v>8</v>
      </c>
      <c r="G6" s="1" t="s">
        <v>9</v>
      </c>
      <c r="H6" s="1" t="s">
        <v>10</v>
      </c>
    </row>
    <row r="7" spans="1:8" x14ac:dyDescent="0.3">
      <c r="A7" s="1">
        <v>154</v>
      </c>
      <c r="B7" s="1" t="s">
        <v>14</v>
      </c>
      <c r="C7" s="1" t="s">
        <v>25</v>
      </c>
      <c r="D7" s="1" t="s">
        <v>26</v>
      </c>
      <c r="E7" s="1">
        <v>77.08</v>
      </c>
      <c r="F7" s="1" t="s">
        <v>8</v>
      </c>
      <c r="G7" s="1" t="s">
        <v>9</v>
      </c>
      <c r="H7" s="1" t="s">
        <v>10</v>
      </c>
    </row>
    <row r="8" spans="1:8" x14ac:dyDescent="0.3">
      <c r="A8" s="1">
        <v>154</v>
      </c>
      <c r="B8" s="1" t="s">
        <v>14</v>
      </c>
      <c r="C8" s="1" t="s">
        <v>27</v>
      </c>
      <c r="D8" s="1" t="s">
        <v>28</v>
      </c>
      <c r="E8" s="1">
        <v>1071.4000000000001</v>
      </c>
      <c r="F8" s="1" t="s">
        <v>8</v>
      </c>
      <c r="G8" s="1" t="s">
        <v>9</v>
      </c>
      <c r="H8" s="1" t="s">
        <v>10</v>
      </c>
    </row>
    <row r="9" spans="1:8" x14ac:dyDescent="0.3">
      <c r="A9" s="1">
        <v>154</v>
      </c>
      <c r="B9" s="1" t="s">
        <v>14</v>
      </c>
      <c r="C9" s="1" t="s">
        <v>29</v>
      </c>
      <c r="D9" s="1" t="s">
        <v>30</v>
      </c>
      <c r="E9" s="1">
        <v>996.98</v>
      </c>
      <c r="F9" s="1" t="s">
        <v>8</v>
      </c>
      <c r="G9" s="1" t="s">
        <v>9</v>
      </c>
      <c r="H9" s="1" t="s">
        <v>10</v>
      </c>
    </row>
    <row r="10" spans="1:8" x14ac:dyDescent="0.3">
      <c r="A10" s="1">
        <v>154</v>
      </c>
      <c r="B10" s="1" t="s">
        <v>14</v>
      </c>
      <c r="C10" s="1" t="s">
        <v>31</v>
      </c>
      <c r="D10" s="1" t="s">
        <v>32</v>
      </c>
      <c r="E10" s="1">
        <v>3324</v>
      </c>
      <c r="F10" s="1" t="s">
        <v>8</v>
      </c>
      <c r="G10" s="1" t="s">
        <v>9</v>
      </c>
      <c r="H10" s="1" t="s">
        <v>10</v>
      </c>
    </row>
    <row r="11" spans="1:8" x14ac:dyDescent="0.3">
      <c r="A11" s="1">
        <v>154</v>
      </c>
      <c r="B11" s="1" t="s">
        <v>14</v>
      </c>
      <c r="C11" s="1" t="s">
        <v>33</v>
      </c>
      <c r="D11" s="1" t="s">
        <v>34</v>
      </c>
      <c r="E11" s="1">
        <v>101.2</v>
      </c>
      <c r="F11" s="1" t="s">
        <v>8</v>
      </c>
      <c r="G11" s="1" t="s">
        <v>9</v>
      </c>
      <c r="H11" s="1" t="s">
        <v>10</v>
      </c>
    </row>
    <row r="12" spans="1:8" x14ac:dyDescent="0.3">
      <c r="A12" s="1">
        <v>154</v>
      </c>
      <c r="B12" s="1" t="s">
        <v>14</v>
      </c>
      <c r="C12" s="1" t="s">
        <v>35</v>
      </c>
      <c r="D12" s="1" t="s">
        <v>36</v>
      </c>
      <c r="E12" s="1">
        <v>567.86</v>
      </c>
      <c r="F12" s="1" t="s">
        <v>8</v>
      </c>
      <c r="G12" s="1" t="s">
        <v>9</v>
      </c>
      <c r="H12" s="1" t="s">
        <v>10</v>
      </c>
    </row>
    <row r="13" spans="1:8" x14ac:dyDescent="0.3">
      <c r="A13" s="1">
        <v>154</v>
      </c>
      <c r="B13" s="1" t="s">
        <v>14</v>
      </c>
      <c r="C13" s="1" t="s">
        <v>37</v>
      </c>
      <c r="D13" s="1" t="s">
        <v>38</v>
      </c>
      <c r="E13" s="1">
        <v>1180.54</v>
      </c>
      <c r="F13" s="1" t="s">
        <v>8</v>
      </c>
      <c r="G13" s="1" t="s">
        <v>9</v>
      </c>
      <c r="H13" s="1" t="s">
        <v>10</v>
      </c>
    </row>
    <row r="14" spans="1:8" x14ac:dyDescent="0.3">
      <c r="A14" s="1">
        <v>154</v>
      </c>
      <c r="B14" s="1" t="s">
        <v>14</v>
      </c>
      <c r="C14" s="1" t="s">
        <v>39</v>
      </c>
      <c r="D14" s="1" t="s">
        <v>40</v>
      </c>
      <c r="E14" s="1">
        <v>8878.57</v>
      </c>
      <c r="F14" s="1" t="s">
        <v>8</v>
      </c>
      <c r="G14" s="1" t="s">
        <v>9</v>
      </c>
      <c r="H14" s="1" t="s">
        <v>10</v>
      </c>
    </row>
    <row r="15" spans="1:8" x14ac:dyDescent="0.3">
      <c r="A15" s="1">
        <v>154</v>
      </c>
      <c r="B15" s="1" t="s">
        <v>14</v>
      </c>
      <c r="C15" s="1" t="s">
        <v>41</v>
      </c>
      <c r="D15" s="1" t="s">
        <v>42</v>
      </c>
      <c r="E15" s="1">
        <v>761.08</v>
      </c>
      <c r="F15" s="1" t="s">
        <v>8</v>
      </c>
      <c r="G15" s="1" t="s">
        <v>9</v>
      </c>
      <c r="H15" s="1" t="s">
        <v>10</v>
      </c>
    </row>
    <row r="16" spans="1:8" x14ac:dyDescent="0.3">
      <c r="A16" s="1">
        <v>154</v>
      </c>
      <c r="B16" s="1" t="s">
        <v>14</v>
      </c>
      <c r="C16" s="1" t="s">
        <v>43</v>
      </c>
      <c r="D16" s="1" t="s">
        <v>44</v>
      </c>
      <c r="E16" s="1">
        <v>1533.97</v>
      </c>
      <c r="F16" s="1" t="s">
        <v>8</v>
      </c>
      <c r="G16" s="1" t="s">
        <v>9</v>
      </c>
      <c r="H16" s="1" t="s">
        <v>10</v>
      </c>
    </row>
    <row r="17" spans="1:8" x14ac:dyDescent="0.3">
      <c r="A17" s="1">
        <v>154</v>
      </c>
      <c r="B17" s="1" t="s">
        <v>14</v>
      </c>
      <c r="C17" s="1" t="s">
        <v>45</v>
      </c>
      <c r="D17" s="1" t="s">
        <v>46</v>
      </c>
      <c r="E17" s="1">
        <v>486</v>
      </c>
      <c r="F17" s="1" t="s">
        <v>8</v>
      </c>
      <c r="G17" s="1" t="s">
        <v>9</v>
      </c>
      <c r="H17" s="1" t="s">
        <v>10</v>
      </c>
    </row>
    <row r="18" spans="1:8" x14ac:dyDescent="0.3">
      <c r="A18" s="1">
        <v>154</v>
      </c>
      <c r="B18" s="1" t="s">
        <v>14</v>
      </c>
      <c r="C18" s="1" t="s">
        <v>47</v>
      </c>
      <c r="D18" s="1" t="s">
        <v>48</v>
      </c>
      <c r="E18" s="1">
        <v>277.33999999999997</v>
      </c>
      <c r="F18" s="1" t="s">
        <v>8</v>
      </c>
      <c r="G18" s="1" t="s">
        <v>9</v>
      </c>
      <c r="H18" s="1" t="s">
        <v>10</v>
      </c>
    </row>
    <row r="19" spans="1:8" x14ac:dyDescent="0.3">
      <c r="A19" s="1">
        <v>154</v>
      </c>
      <c r="B19" s="1" t="s">
        <v>14</v>
      </c>
      <c r="C19" s="1" t="s">
        <v>49</v>
      </c>
      <c r="D19" s="1" t="s">
        <v>50</v>
      </c>
      <c r="E19" s="1">
        <v>450.29</v>
      </c>
      <c r="F19" s="1" t="s">
        <v>8</v>
      </c>
      <c r="G19" s="1" t="s">
        <v>9</v>
      </c>
      <c r="H19" s="1" t="s">
        <v>10</v>
      </c>
    </row>
    <row r="20" spans="1:8" x14ac:dyDescent="0.3">
      <c r="A20" s="1">
        <v>154</v>
      </c>
      <c r="B20" s="1" t="s">
        <v>14</v>
      </c>
      <c r="C20" s="1" t="s">
        <v>51</v>
      </c>
      <c r="D20" s="1" t="s">
        <v>52</v>
      </c>
      <c r="E20" s="1">
        <v>85.85</v>
      </c>
      <c r="F20" s="1" t="s">
        <v>8</v>
      </c>
      <c r="G20" s="1" t="s">
        <v>9</v>
      </c>
      <c r="H20" s="1" t="s">
        <v>10</v>
      </c>
    </row>
    <row r="21" spans="1:8" x14ac:dyDescent="0.3">
      <c r="A21" s="1">
        <v>154</v>
      </c>
      <c r="B21" s="1" t="s">
        <v>14</v>
      </c>
      <c r="C21" s="1" t="s">
        <v>53</v>
      </c>
      <c r="D21" s="1" t="s">
        <v>54</v>
      </c>
      <c r="E21" s="1">
        <v>745.5</v>
      </c>
      <c r="F21" s="1" t="s">
        <v>8</v>
      </c>
      <c r="G21" s="1" t="s">
        <v>9</v>
      </c>
      <c r="H21" s="1" t="s">
        <v>10</v>
      </c>
    </row>
    <row r="22" spans="1:8" x14ac:dyDescent="0.3">
      <c r="A22" s="1">
        <v>154</v>
      </c>
      <c r="B22" s="1" t="s">
        <v>14</v>
      </c>
      <c r="C22" s="1" t="s">
        <v>3832</v>
      </c>
      <c r="D22" s="1" t="s">
        <v>3833</v>
      </c>
      <c r="E22" s="1">
        <v>3460.96</v>
      </c>
      <c r="F22" s="1" t="s">
        <v>8</v>
      </c>
      <c r="G22" s="1" t="s">
        <v>9</v>
      </c>
      <c r="H22" s="1" t="s">
        <v>10</v>
      </c>
    </row>
    <row r="23" spans="1:8" x14ac:dyDescent="0.3">
      <c r="A23" s="1">
        <v>154</v>
      </c>
      <c r="B23" s="1" t="s">
        <v>14</v>
      </c>
      <c r="C23" s="1" t="s">
        <v>3834</v>
      </c>
      <c r="D23" s="1" t="s">
        <v>3835</v>
      </c>
      <c r="E23" s="1">
        <v>9486.18</v>
      </c>
      <c r="F23" s="1" t="s">
        <v>8</v>
      </c>
      <c r="G23" s="1" t="s">
        <v>9</v>
      </c>
      <c r="H23" s="1" t="s">
        <v>10</v>
      </c>
    </row>
    <row r="24" spans="1:8" x14ac:dyDescent="0.3">
      <c r="A24" s="1">
        <v>154</v>
      </c>
      <c r="B24" s="1" t="s">
        <v>14</v>
      </c>
      <c r="C24" s="1" t="s">
        <v>3836</v>
      </c>
      <c r="D24" s="1" t="s">
        <v>3837</v>
      </c>
      <c r="E24" s="1">
        <v>5395.96</v>
      </c>
      <c r="F24" s="1" t="s">
        <v>8</v>
      </c>
      <c r="G24" s="1" t="s">
        <v>9</v>
      </c>
      <c r="H24" s="1" t="s">
        <v>10</v>
      </c>
    </row>
    <row r="25" spans="1:8" x14ac:dyDescent="0.3">
      <c r="A25" s="1">
        <v>154</v>
      </c>
      <c r="B25" s="1" t="s">
        <v>14</v>
      </c>
      <c r="C25" s="1" t="s">
        <v>3838</v>
      </c>
      <c r="D25" s="1" t="s">
        <v>3839</v>
      </c>
      <c r="E25" s="1">
        <v>5395.96</v>
      </c>
      <c r="F25" s="1" t="s">
        <v>8</v>
      </c>
      <c r="G25" s="1" t="s">
        <v>9</v>
      </c>
      <c r="H25" s="1" t="s">
        <v>10</v>
      </c>
    </row>
    <row r="26" spans="1:8" x14ac:dyDescent="0.3">
      <c r="A26" s="1">
        <v>154</v>
      </c>
      <c r="B26" s="1" t="s">
        <v>14</v>
      </c>
      <c r="C26" s="1" t="s">
        <v>3840</v>
      </c>
      <c r="D26" s="1" t="s">
        <v>3841</v>
      </c>
      <c r="E26" s="1">
        <v>503.07</v>
      </c>
      <c r="F26" s="1" t="s">
        <v>11</v>
      </c>
      <c r="G26" s="1" t="s">
        <v>9</v>
      </c>
      <c r="H26" s="1" t="s">
        <v>10</v>
      </c>
    </row>
    <row r="27" spans="1:8" x14ac:dyDescent="0.3">
      <c r="A27" s="1">
        <v>154</v>
      </c>
      <c r="B27" s="1" t="s">
        <v>14</v>
      </c>
      <c r="C27" s="1" t="s">
        <v>3842</v>
      </c>
      <c r="D27" s="1" t="s">
        <v>3843</v>
      </c>
      <c r="E27" s="1">
        <v>870.01</v>
      </c>
      <c r="F27" s="1" t="s">
        <v>8</v>
      </c>
      <c r="G27" s="1" t="s">
        <v>9</v>
      </c>
      <c r="H27" s="1" t="s">
        <v>10</v>
      </c>
    </row>
    <row r="28" spans="1:8" x14ac:dyDescent="0.3">
      <c r="A28" s="1">
        <v>154</v>
      </c>
      <c r="B28" s="1" t="s">
        <v>14</v>
      </c>
      <c r="C28" s="1" t="s">
        <v>3844</v>
      </c>
      <c r="D28" s="1" t="s">
        <v>3845</v>
      </c>
      <c r="E28" s="1">
        <v>8503.18</v>
      </c>
      <c r="F28" s="1" t="s">
        <v>8</v>
      </c>
      <c r="G28" s="1" t="s">
        <v>9</v>
      </c>
      <c r="H28" s="1" t="s">
        <v>10</v>
      </c>
    </row>
    <row r="29" spans="1:8" x14ac:dyDescent="0.3">
      <c r="A29" s="1">
        <v>154</v>
      </c>
      <c r="B29" s="1" t="s">
        <v>14</v>
      </c>
      <c r="C29" s="1" t="s">
        <v>3846</v>
      </c>
      <c r="D29" s="1" t="s">
        <v>3847</v>
      </c>
      <c r="E29" s="1">
        <v>896.7</v>
      </c>
      <c r="F29" s="1" t="s">
        <v>8</v>
      </c>
      <c r="G29" s="1" t="s">
        <v>9</v>
      </c>
      <c r="H29" s="1" t="s">
        <v>10</v>
      </c>
    </row>
    <row r="30" spans="1:8" x14ac:dyDescent="0.3">
      <c r="A30" s="1">
        <v>154</v>
      </c>
      <c r="B30" s="1" t="s">
        <v>14</v>
      </c>
      <c r="C30" s="1" t="s">
        <v>3848</v>
      </c>
      <c r="D30" s="1" t="s">
        <v>3849</v>
      </c>
      <c r="E30" s="1">
        <v>4096.95</v>
      </c>
      <c r="F30" s="1" t="s">
        <v>8</v>
      </c>
      <c r="G30" s="1" t="s">
        <v>9</v>
      </c>
      <c r="H30" s="1" t="s">
        <v>10</v>
      </c>
    </row>
    <row r="31" spans="1:8" x14ac:dyDescent="0.3">
      <c r="A31" s="1">
        <v>154</v>
      </c>
      <c r="B31" s="1" t="s">
        <v>14</v>
      </c>
      <c r="C31" s="1" t="s">
        <v>3850</v>
      </c>
      <c r="D31" s="1" t="s">
        <v>3851</v>
      </c>
      <c r="E31" s="1">
        <v>644</v>
      </c>
      <c r="F31" s="1" t="s">
        <v>8</v>
      </c>
      <c r="G31" s="1" t="s">
        <v>9</v>
      </c>
      <c r="H31" s="1" t="s">
        <v>10</v>
      </c>
    </row>
    <row r="32" spans="1:8" x14ac:dyDescent="0.3">
      <c r="A32" s="1">
        <v>154</v>
      </c>
      <c r="B32" s="1" t="s">
        <v>14</v>
      </c>
      <c r="C32" s="1" t="s">
        <v>3852</v>
      </c>
      <c r="D32" s="1" t="s">
        <v>3853</v>
      </c>
      <c r="E32" s="1">
        <v>1030.98</v>
      </c>
      <c r="F32" s="1" t="s">
        <v>8</v>
      </c>
      <c r="G32" s="1" t="s">
        <v>9</v>
      </c>
      <c r="H32" s="1" t="s">
        <v>10</v>
      </c>
    </row>
    <row r="33" spans="1:8" x14ac:dyDescent="0.3">
      <c r="A33" s="1">
        <v>154</v>
      </c>
      <c r="B33" s="1" t="s">
        <v>14</v>
      </c>
      <c r="C33" s="1" t="s">
        <v>3854</v>
      </c>
      <c r="D33" s="1" t="s">
        <v>3855</v>
      </c>
      <c r="E33" s="1">
        <v>1599.6</v>
      </c>
      <c r="F33" s="1" t="s">
        <v>8</v>
      </c>
      <c r="G33" s="1" t="s">
        <v>9</v>
      </c>
      <c r="H33" s="1" t="s">
        <v>10</v>
      </c>
    </row>
    <row r="34" spans="1:8" x14ac:dyDescent="0.3">
      <c r="A34" s="1">
        <v>154</v>
      </c>
      <c r="B34" s="1" t="s">
        <v>14</v>
      </c>
      <c r="C34" s="1" t="s">
        <v>3856</v>
      </c>
      <c r="D34" s="1" t="s">
        <v>3857</v>
      </c>
      <c r="E34" s="1">
        <v>3881.2</v>
      </c>
      <c r="F34" s="1" t="s">
        <v>8</v>
      </c>
      <c r="G34" s="1" t="s">
        <v>9</v>
      </c>
      <c r="H34" s="1" t="s">
        <v>10</v>
      </c>
    </row>
    <row r="35" spans="1:8" x14ac:dyDescent="0.3">
      <c r="A35" s="1">
        <v>154</v>
      </c>
      <c r="B35" s="1" t="s">
        <v>14</v>
      </c>
      <c r="C35" s="1" t="s">
        <v>3858</v>
      </c>
      <c r="D35" s="1" t="s">
        <v>3859</v>
      </c>
      <c r="E35" s="1">
        <v>191.58</v>
      </c>
      <c r="F35" s="1" t="s">
        <v>8</v>
      </c>
      <c r="G35" s="1" t="s">
        <v>9</v>
      </c>
      <c r="H35" s="1" t="s">
        <v>10</v>
      </c>
    </row>
    <row r="36" spans="1:8" x14ac:dyDescent="0.3">
      <c r="A36" s="1">
        <v>154</v>
      </c>
      <c r="B36" s="1" t="s">
        <v>14</v>
      </c>
      <c r="C36" s="1" t="s">
        <v>3860</v>
      </c>
      <c r="D36" s="1" t="s">
        <v>3861</v>
      </c>
      <c r="E36" s="1">
        <v>746.5</v>
      </c>
      <c r="F36" s="1" t="s">
        <v>8</v>
      </c>
      <c r="G36" s="1" t="s">
        <v>9</v>
      </c>
      <c r="H36" s="1" t="s">
        <v>10</v>
      </c>
    </row>
    <row r="37" spans="1:8" x14ac:dyDescent="0.3">
      <c r="A37" s="1">
        <v>154</v>
      </c>
      <c r="B37" s="1" t="s">
        <v>14</v>
      </c>
      <c r="C37" s="1" t="s">
        <v>3862</v>
      </c>
      <c r="D37" s="1" t="s">
        <v>3863</v>
      </c>
      <c r="E37" s="1">
        <v>1405.41</v>
      </c>
      <c r="F37" s="1" t="s">
        <v>8</v>
      </c>
      <c r="G37" s="1" t="s">
        <v>9</v>
      </c>
      <c r="H37" s="1" t="s">
        <v>10</v>
      </c>
    </row>
    <row r="38" spans="1:8" x14ac:dyDescent="0.3">
      <c r="A38" s="1">
        <v>154</v>
      </c>
      <c r="B38" s="1" t="s">
        <v>14</v>
      </c>
      <c r="C38" s="1" t="s">
        <v>3864</v>
      </c>
      <c r="D38" s="1" t="s">
        <v>3865</v>
      </c>
      <c r="E38" s="1">
        <v>103.22</v>
      </c>
      <c r="F38" s="1" t="s">
        <v>8</v>
      </c>
      <c r="G38" s="1" t="s">
        <v>9</v>
      </c>
      <c r="H38" s="1" t="s">
        <v>10</v>
      </c>
    </row>
    <row r="39" spans="1:8" x14ac:dyDescent="0.3">
      <c r="A39" s="1">
        <v>154</v>
      </c>
      <c r="B39" s="1" t="s">
        <v>14</v>
      </c>
      <c r="C39" s="1" t="s">
        <v>3866</v>
      </c>
      <c r="D39" s="1" t="s">
        <v>3867</v>
      </c>
      <c r="E39" s="1">
        <v>250.37</v>
      </c>
      <c r="F39" s="1" t="s">
        <v>8</v>
      </c>
      <c r="G39" s="1" t="s">
        <v>9</v>
      </c>
      <c r="H39" s="1" t="s">
        <v>10</v>
      </c>
    </row>
    <row r="40" spans="1:8" x14ac:dyDescent="0.3">
      <c r="A40" s="1">
        <v>154</v>
      </c>
      <c r="B40" s="1" t="s">
        <v>14</v>
      </c>
      <c r="C40" s="1" t="s">
        <v>3868</v>
      </c>
      <c r="D40" s="1" t="s">
        <v>3869</v>
      </c>
      <c r="E40" s="1">
        <v>232.82</v>
      </c>
      <c r="F40" s="1" t="s">
        <v>8</v>
      </c>
      <c r="G40" s="1" t="s">
        <v>9</v>
      </c>
      <c r="H40" s="1" t="s">
        <v>10</v>
      </c>
    </row>
    <row r="41" spans="1:8" x14ac:dyDescent="0.3">
      <c r="A41" s="1">
        <v>154</v>
      </c>
      <c r="B41" s="1" t="s">
        <v>14</v>
      </c>
      <c r="C41" s="1" t="s">
        <v>3870</v>
      </c>
      <c r="D41" s="1" t="s">
        <v>3871</v>
      </c>
      <c r="E41" s="1">
        <v>778.59</v>
      </c>
      <c r="F41" s="1" t="s">
        <v>8</v>
      </c>
      <c r="G41" s="1" t="s">
        <v>9</v>
      </c>
      <c r="H41" s="1" t="s">
        <v>10</v>
      </c>
    </row>
    <row r="42" spans="1:8" x14ac:dyDescent="0.3">
      <c r="A42" s="1">
        <v>154</v>
      </c>
      <c r="B42" s="1" t="s">
        <v>14</v>
      </c>
      <c r="C42" s="1" t="s">
        <v>3872</v>
      </c>
      <c r="D42" s="1" t="s">
        <v>3873</v>
      </c>
      <c r="E42" s="1">
        <v>372.3</v>
      </c>
      <c r="F42" s="1" t="s">
        <v>8</v>
      </c>
      <c r="G42" s="1" t="s">
        <v>9</v>
      </c>
      <c r="H42" s="1" t="s">
        <v>10</v>
      </c>
    </row>
    <row r="43" spans="1:8" x14ac:dyDescent="0.3">
      <c r="A43" s="1">
        <v>154</v>
      </c>
      <c r="B43" s="1" t="s">
        <v>14</v>
      </c>
      <c r="C43" s="1" t="s">
        <v>3874</v>
      </c>
      <c r="D43" s="1" t="s">
        <v>3875</v>
      </c>
      <c r="E43" s="1">
        <v>1971.65</v>
      </c>
      <c r="F43" s="1" t="s">
        <v>8</v>
      </c>
      <c r="G43" s="1" t="s">
        <v>9</v>
      </c>
      <c r="H43" s="1" t="s">
        <v>10</v>
      </c>
    </row>
    <row r="44" spans="1:8" x14ac:dyDescent="0.3">
      <c r="A44" s="1">
        <v>154</v>
      </c>
      <c r="B44" s="1" t="s">
        <v>14</v>
      </c>
      <c r="C44" s="1" t="s">
        <v>3876</v>
      </c>
      <c r="D44" s="1" t="s">
        <v>3877</v>
      </c>
      <c r="E44" s="1">
        <v>800</v>
      </c>
      <c r="F44" s="1" t="s">
        <v>8</v>
      </c>
      <c r="G44" s="1" t="s">
        <v>9</v>
      </c>
      <c r="H44" s="1" t="s">
        <v>10</v>
      </c>
    </row>
    <row r="45" spans="1:8" x14ac:dyDescent="0.3">
      <c r="A45" s="1">
        <v>154</v>
      </c>
      <c r="B45" s="1" t="s">
        <v>14</v>
      </c>
      <c r="C45" s="1" t="s">
        <v>3878</v>
      </c>
      <c r="D45" s="1" t="s">
        <v>3879</v>
      </c>
      <c r="E45" s="1">
        <v>7647.23</v>
      </c>
      <c r="F45" s="1" t="s">
        <v>8</v>
      </c>
      <c r="G45" s="1" t="s">
        <v>9</v>
      </c>
      <c r="H45" s="1" t="s">
        <v>10</v>
      </c>
    </row>
    <row r="46" spans="1:8" x14ac:dyDescent="0.3">
      <c r="A46" s="1">
        <v>154</v>
      </c>
      <c r="B46" s="1" t="s">
        <v>14</v>
      </c>
      <c r="C46" s="1" t="s">
        <v>3880</v>
      </c>
      <c r="D46" s="1" t="s">
        <v>3881</v>
      </c>
      <c r="E46" s="1">
        <v>4419.92</v>
      </c>
      <c r="F46" s="1" t="s">
        <v>8</v>
      </c>
      <c r="G46" s="1" t="s">
        <v>9</v>
      </c>
      <c r="H46" s="1" t="s">
        <v>10</v>
      </c>
    </row>
    <row r="47" spans="1:8" x14ac:dyDescent="0.3">
      <c r="A47" s="1">
        <v>154</v>
      </c>
      <c r="B47" s="1" t="s">
        <v>14</v>
      </c>
      <c r="C47" s="1" t="s">
        <v>3882</v>
      </c>
      <c r="D47" s="1" t="s">
        <v>3883</v>
      </c>
      <c r="E47" s="1">
        <v>117</v>
      </c>
      <c r="F47" s="1" t="s">
        <v>8</v>
      </c>
      <c r="G47" s="1" t="s">
        <v>9</v>
      </c>
      <c r="H47" s="1" t="s">
        <v>10</v>
      </c>
    </row>
    <row r="48" spans="1:8" x14ac:dyDescent="0.3">
      <c r="A48" s="1">
        <v>154</v>
      </c>
      <c r="B48" s="1" t="s">
        <v>14</v>
      </c>
      <c r="C48" s="1" t="s">
        <v>3884</v>
      </c>
      <c r="D48" s="1" t="s">
        <v>3885</v>
      </c>
      <c r="E48" s="1">
        <v>4743.34</v>
      </c>
      <c r="F48" s="1" t="s">
        <v>8</v>
      </c>
      <c r="G48" s="1" t="s">
        <v>9</v>
      </c>
      <c r="H48" s="1" t="s">
        <v>10</v>
      </c>
    </row>
    <row r="49" spans="1:8" x14ac:dyDescent="0.3">
      <c r="A49" s="1">
        <v>154</v>
      </c>
      <c r="B49" s="1" t="s">
        <v>14</v>
      </c>
      <c r="C49" s="1" t="s">
        <v>3886</v>
      </c>
      <c r="D49" s="1" t="s">
        <v>3887</v>
      </c>
      <c r="E49" s="1">
        <v>745.61</v>
      </c>
      <c r="F49" s="1" t="s">
        <v>8</v>
      </c>
      <c r="G49" s="1" t="s">
        <v>9</v>
      </c>
      <c r="H49" s="1" t="s">
        <v>10</v>
      </c>
    </row>
    <row r="50" spans="1:8" x14ac:dyDescent="0.3">
      <c r="A50" s="1">
        <v>154</v>
      </c>
      <c r="B50" s="1" t="s">
        <v>14</v>
      </c>
      <c r="C50" s="1" t="s">
        <v>3888</v>
      </c>
      <c r="D50" s="1" t="s">
        <v>3889</v>
      </c>
      <c r="E50" s="1">
        <v>457.95</v>
      </c>
      <c r="F50" s="1" t="s">
        <v>8</v>
      </c>
      <c r="G50" s="1" t="s">
        <v>9</v>
      </c>
      <c r="H50" s="1" t="s">
        <v>10</v>
      </c>
    </row>
    <row r="51" spans="1:8" x14ac:dyDescent="0.3">
      <c r="A51" s="1">
        <v>154</v>
      </c>
      <c r="B51" s="1" t="s">
        <v>14</v>
      </c>
      <c r="C51" s="1" t="s">
        <v>3890</v>
      </c>
      <c r="D51" s="1" t="s">
        <v>3891</v>
      </c>
      <c r="E51" s="1">
        <v>7304</v>
      </c>
      <c r="F51" s="1" t="s">
        <v>8</v>
      </c>
      <c r="G51" s="1" t="s">
        <v>9</v>
      </c>
      <c r="H51" s="1" t="s">
        <v>10</v>
      </c>
    </row>
    <row r="52" spans="1:8" x14ac:dyDescent="0.3">
      <c r="A52" s="1">
        <v>154</v>
      </c>
      <c r="B52" s="1" t="s">
        <v>14</v>
      </c>
      <c r="C52" s="1" t="s">
        <v>3892</v>
      </c>
      <c r="D52" s="1" t="s">
        <v>3893</v>
      </c>
      <c r="E52" s="1">
        <v>657.3</v>
      </c>
      <c r="F52" s="1" t="s">
        <v>8</v>
      </c>
      <c r="G52" s="1" t="s">
        <v>9</v>
      </c>
      <c r="H52" s="1" t="s">
        <v>10</v>
      </c>
    </row>
    <row r="53" spans="1:8" x14ac:dyDescent="0.3">
      <c r="A53" s="1">
        <v>154</v>
      </c>
      <c r="B53" s="1" t="s">
        <v>14</v>
      </c>
      <c r="C53" s="1" t="s">
        <v>3894</v>
      </c>
      <c r="D53" s="1" t="s">
        <v>3895</v>
      </c>
      <c r="E53" s="1">
        <v>275.33</v>
      </c>
      <c r="F53" s="1" t="s">
        <v>8</v>
      </c>
      <c r="G53" s="1" t="s">
        <v>9</v>
      </c>
      <c r="H53" s="1" t="s">
        <v>10</v>
      </c>
    </row>
    <row r="54" spans="1:8" x14ac:dyDescent="0.3">
      <c r="A54" s="1">
        <v>154</v>
      </c>
      <c r="B54" s="1" t="s">
        <v>14</v>
      </c>
      <c r="C54" s="1" t="s">
        <v>3896</v>
      </c>
      <c r="D54" s="1" t="s">
        <v>3897</v>
      </c>
      <c r="E54" s="1">
        <v>805.12</v>
      </c>
      <c r="F54" s="1" t="s">
        <v>8</v>
      </c>
      <c r="G54" s="1" t="s">
        <v>9</v>
      </c>
      <c r="H54" s="1" t="s">
        <v>10</v>
      </c>
    </row>
    <row r="55" spans="1:8" x14ac:dyDescent="0.3">
      <c r="A55" s="1">
        <v>154</v>
      </c>
      <c r="B55" s="1" t="s">
        <v>14</v>
      </c>
      <c r="C55" s="1" t="s">
        <v>3898</v>
      </c>
      <c r="D55" s="1" t="s">
        <v>3899</v>
      </c>
      <c r="E55" s="1">
        <v>163.88</v>
      </c>
      <c r="F55" s="1" t="s">
        <v>8</v>
      </c>
      <c r="G55" s="1" t="s">
        <v>9</v>
      </c>
      <c r="H55" s="1" t="s">
        <v>10</v>
      </c>
    </row>
    <row r="56" spans="1:8" x14ac:dyDescent="0.3">
      <c r="A56" s="1">
        <v>154</v>
      </c>
      <c r="B56" s="1" t="s">
        <v>14</v>
      </c>
      <c r="C56" s="1" t="s">
        <v>3900</v>
      </c>
      <c r="D56" s="1" t="s">
        <v>3901</v>
      </c>
      <c r="E56" s="1">
        <v>5627.99</v>
      </c>
      <c r="F56" s="1" t="s">
        <v>8</v>
      </c>
      <c r="G56" s="1" t="s">
        <v>9</v>
      </c>
      <c r="H56" s="1" t="s">
        <v>10</v>
      </c>
    </row>
    <row r="57" spans="1:8" x14ac:dyDescent="0.3">
      <c r="A57" s="1">
        <v>154</v>
      </c>
      <c r="B57" s="1" t="s">
        <v>14</v>
      </c>
      <c r="C57" s="1" t="s">
        <v>3902</v>
      </c>
      <c r="D57" s="1" t="s">
        <v>3903</v>
      </c>
      <c r="E57" s="1">
        <v>2226</v>
      </c>
      <c r="F57" s="1" t="s">
        <v>8</v>
      </c>
      <c r="G57" s="1" t="s">
        <v>9</v>
      </c>
      <c r="H57" s="1" t="s">
        <v>10</v>
      </c>
    </row>
    <row r="58" spans="1:8" x14ac:dyDescent="0.3">
      <c r="A58" s="1">
        <v>154</v>
      </c>
      <c r="B58" s="1" t="s">
        <v>14</v>
      </c>
      <c r="C58" s="1" t="s">
        <v>3904</v>
      </c>
      <c r="D58" s="1" t="s">
        <v>3905</v>
      </c>
      <c r="E58" s="1">
        <v>851.4</v>
      </c>
      <c r="F58" s="1" t="s">
        <v>8</v>
      </c>
      <c r="G58" s="1" t="s">
        <v>9</v>
      </c>
      <c r="H58" s="1" t="s">
        <v>10</v>
      </c>
    </row>
    <row r="59" spans="1:8" x14ac:dyDescent="0.3">
      <c r="A59" s="1">
        <v>154</v>
      </c>
      <c r="B59" s="1" t="s">
        <v>14</v>
      </c>
      <c r="C59" s="1" t="s">
        <v>3906</v>
      </c>
      <c r="D59" s="1" t="s">
        <v>3907</v>
      </c>
      <c r="E59" s="1">
        <v>2519.64</v>
      </c>
      <c r="F59" s="1" t="s">
        <v>11</v>
      </c>
      <c r="G59" s="1" t="s">
        <v>9</v>
      </c>
      <c r="H59" s="1" t="s">
        <v>10</v>
      </c>
    </row>
    <row r="60" spans="1:8" x14ac:dyDescent="0.3">
      <c r="A60" s="1">
        <v>154</v>
      </c>
      <c r="B60" s="1" t="s">
        <v>14</v>
      </c>
      <c r="C60" s="1" t="s">
        <v>3908</v>
      </c>
      <c r="D60" s="1" t="s">
        <v>3909</v>
      </c>
      <c r="E60" s="1">
        <v>603.20000000000005</v>
      </c>
      <c r="F60" s="1" t="s">
        <v>8</v>
      </c>
      <c r="G60" s="1" t="s">
        <v>9</v>
      </c>
      <c r="H60" s="1" t="s">
        <v>10</v>
      </c>
    </row>
    <row r="61" spans="1:8" x14ac:dyDescent="0.3">
      <c r="A61" s="1">
        <v>154</v>
      </c>
      <c r="B61" s="1" t="s">
        <v>14</v>
      </c>
      <c r="C61" s="1" t="s">
        <v>3910</v>
      </c>
      <c r="D61" s="1" t="s">
        <v>3911</v>
      </c>
      <c r="E61" s="1">
        <v>7673.3</v>
      </c>
      <c r="F61" s="1" t="s">
        <v>8</v>
      </c>
      <c r="G61" s="1" t="s">
        <v>9</v>
      </c>
      <c r="H61" s="1" t="s">
        <v>10</v>
      </c>
    </row>
    <row r="62" spans="1:8" x14ac:dyDescent="0.3">
      <c r="A62" s="1">
        <v>154</v>
      </c>
      <c r="B62" s="1" t="s">
        <v>14</v>
      </c>
      <c r="C62" s="1" t="s">
        <v>3912</v>
      </c>
      <c r="D62" s="1" t="s">
        <v>3913</v>
      </c>
      <c r="E62" s="1">
        <v>8073.64</v>
      </c>
      <c r="F62" s="1" t="s">
        <v>8</v>
      </c>
      <c r="G62" s="1" t="s">
        <v>9</v>
      </c>
      <c r="H62" s="1" t="s">
        <v>10</v>
      </c>
    </row>
    <row r="63" spans="1:8" x14ac:dyDescent="0.3">
      <c r="A63" s="1">
        <v>154</v>
      </c>
      <c r="B63" s="1" t="s">
        <v>14</v>
      </c>
      <c r="C63" s="1" t="s">
        <v>3914</v>
      </c>
      <c r="D63" s="1" t="s">
        <v>3915</v>
      </c>
      <c r="E63" s="1">
        <v>945</v>
      </c>
      <c r="F63" s="1" t="s">
        <v>8</v>
      </c>
      <c r="G63" s="1" t="s">
        <v>9</v>
      </c>
      <c r="H63" s="1" t="s">
        <v>10</v>
      </c>
    </row>
    <row r="64" spans="1:8" x14ac:dyDescent="0.3">
      <c r="A64" s="1">
        <v>154</v>
      </c>
      <c r="B64" s="1" t="s">
        <v>14</v>
      </c>
      <c r="C64" s="1" t="s">
        <v>3916</v>
      </c>
      <c r="D64" s="1" t="s">
        <v>3917</v>
      </c>
      <c r="E64" s="1">
        <v>1761.11</v>
      </c>
      <c r="F64" s="1" t="s">
        <v>8</v>
      </c>
      <c r="G64" s="1" t="s">
        <v>9</v>
      </c>
      <c r="H64" s="1" t="s">
        <v>10</v>
      </c>
    </row>
    <row r="65" spans="1:8" x14ac:dyDescent="0.3">
      <c r="A65" s="1">
        <v>154</v>
      </c>
      <c r="B65" s="1" t="s">
        <v>14</v>
      </c>
      <c r="C65" s="1" t="s">
        <v>3918</v>
      </c>
      <c r="D65" s="1" t="s">
        <v>3919</v>
      </c>
      <c r="E65" s="1">
        <v>635</v>
      </c>
      <c r="F65" s="1" t="s">
        <v>8</v>
      </c>
      <c r="G65" s="1" t="s">
        <v>9</v>
      </c>
      <c r="H65" s="1" t="s">
        <v>10</v>
      </c>
    </row>
    <row r="66" spans="1:8" x14ac:dyDescent="0.3">
      <c r="A66" s="1">
        <v>154</v>
      </c>
      <c r="B66" s="1" t="s">
        <v>14</v>
      </c>
      <c r="C66" s="1" t="s">
        <v>3920</v>
      </c>
      <c r="D66" s="1" t="s">
        <v>3921</v>
      </c>
      <c r="E66" s="1">
        <v>1797.2</v>
      </c>
      <c r="F66" s="1" t="s">
        <v>8</v>
      </c>
      <c r="G66" s="1" t="s">
        <v>9</v>
      </c>
      <c r="H66" s="1" t="s">
        <v>10</v>
      </c>
    </row>
    <row r="67" spans="1:8" x14ac:dyDescent="0.3">
      <c r="A67" s="1">
        <v>154</v>
      </c>
      <c r="B67" s="1" t="s">
        <v>14</v>
      </c>
      <c r="C67" s="1" t="s">
        <v>3922</v>
      </c>
      <c r="D67" s="1" t="s">
        <v>3923</v>
      </c>
      <c r="E67" s="1">
        <v>2304.8000000000002</v>
      </c>
      <c r="F67" s="1" t="s">
        <v>8</v>
      </c>
      <c r="G67" s="1" t="s">
        <v>9</v>
      </c>
      <c r="H67" s="1" t="s">
        <v>10</v>
      </c>
    </row>
    <row r="68" spans="1:8" x14ac:dyDescent="0.3">
      <c r="A68" s="1">
        <v>154</v>
      </c>
      <c r="B68" s="1" t="s">
        <v>14</v>
      </c>
      <c r="C68" s="1" t="s">
        <v>3924</v>
      </c>
      <c r="D68" s="1" t="s">
        <v>3925</v>
      </c>
      <c r="E68" s="1">
        <v>695.83</v>
      </c>
      <c r="F68" s="1" t="s">
        <v>8</v>
      </c>
      <c r="G68" s="1" t="s">
        <v>9</v>
      </c>
      <c r="H68" s="1" t="s">
        <v>10</v>
      </c>
    </row>
    <row r="69" spans="1:8" x14ac:dyDescent="0.3">
      <c r="A69" s="1">
        <v>154</v>
      </c>
      <c r="B69" s="1" t="s">
        <v>14</v>
      </c>
      <c r="C69" s="1" t="s">
        <v>3926</v>
      </c>
      <c r="D69" s="1" t="s">
        <v>3927</v>
      </c>
      <c r="E69" s="1">
        <v>85.12</v>
      </c>
      <c r="F69" s="1" t="s">
        <v>8</v>
      </c>
      <c r="G69" s="1" t="s">
        <v>9</v>
      </c>
      <c r="H69" s="1" t="s">
        <v>10</v>
      </c>
    </row>
    <row r="70" spans="1:8" x14ac:dyDescent="0.3">
      <c r="A70" s="1">
        <v>154</v>
      </c>
      <c r="B70" s="1" t="s">
        <v>14</v>
      </c>
      <c r="C70" s="1" t="s">
        <v>3928</v>
      </c>
      <c r="D70" s="1" t="s">
        <v>3929</v>
      </c>
      <c r="E70" s="1">
        <v>93.9</v>
      </c>
      <c r="F70" s="1" t="s">
        <v>8</v>
      </c>
      <c r="G70" s="1" t="s">
        <v>9</v>
      </c>
      <c r="H70" s="1" t="s">
        <v>10</v>
      </c>
    </row>
    <row r="71" spans="1:8" x14ac:dyDescent="0.3">
      <c r="A71" s="1">
        <v>154</v>
      </c>
      <c r="B71" s="1" t="s">
        <v>14</v>
      </c>
      <c r="C71" s="1" t="s">
        <v>3930</v>
      </c>
      <c r="D71" s="1" t="s">
        <v>3931</v>
      </c>
      <c r="E71" s="1">
        <v>286.56</v>
      </c>
      <c r="F71" s="1" t="s">
        <v>8</v>
      </c>
      <c r="G71" s="1" t="s">
        <v>9</v>
      </c>
      <c r="H71" s="1" t="s">
        <v>10</v>
      </c>
    </row>
    <row r="72" spans="1:8" x14ac:dyDescent="0.3">
      <c r="A72" s="1">
        <v>154</v>
      </c>
      <c r="B72" s="1" t="s">
        <v>14</v>
      </c>
      <c r="C72" s="1" t="s">
        <v>3932</v>
      </c>
      <c r="D72" s="1" t="s">
        <v>3933</v>
      </c>
      <c r="E72" s="1">
        <v>89.11</v>
      </c>
      <c r="F72" s="1" t="s">
        <v>8</v>
      </c>
      <c r="G72" s="1" t="s">
        <v>9</v>
      </c>
      <c r="H72" s="1" t="s">
        <v>10</v>
      </c>
    </row>
    <row r="73" spans="1:8" x14ac:dyDescent="0.3">
      <c r="A73" s="1">
        <v>154</v>
      </c>
      <c r="B73" s="1" t="s">
        <v>14</v>
      </c>
      <c r="C73" s="1" t="s">
        <v>3934</v>
      </c>
      <c r="D73" s="1" t="s">
        <v>3935</v>
      </c>
      <c r="E73" s="1">
        <v>1051.4100000000001</v>
      </c>
      <c r="F73" s="1" t="s">
        <v>8</v>
      </c>
      <c r="G73" s="1" t="s">
        <v>9</v>
      </c>
      <c r="H73" s="1" t="s">
        <v>10</v>
      </c>
    </row>
    <row r="74" spans="1:8" x14ac:dyDescent="0.3">
      <c r="A74" s="1">
        <v>154</v>
      </c>
      <c r="B74" s="1" t="s">
        <v>14</v>
      </c>
      <c r="C74" s="1" t="s">
        <v>3936</v>
      </c>
      <c r="D74" s="1" t="s">
        <v>3937</v>
      </c>
      <c r="E74" s="1">
        <v>2013.36</v>
      </c>
      <c r="F74" s="1" t="s">
        <v>8</v>
      </c>
      <c r="G74" s="1" t="s">
        <v>9</v>
      </c>
      <c r="H74" s="1" t="s">
        <v>10</v>
      </c>
    </row>
    <row r="75" spans="1:8" x14ac:dyDescent="0.3">
      <c r="A75" s="1">
        <v>154</v>
      </c>
      <c r="B75" s="1" t="s">
        <v>14</v>
      </c>
      <c r="C75" s="1" t="s">
        <v>3938</v>
      </c>
      <c r="D75" s="1" t="s">
        <v>3939</v>
      </c>
      <c r="E75" s="1">
        <v>1199.93</v>
      </c>
      <c r="F75" s="1" t="s">
        <v>8</v>
      </c>
      <c r="G75" s="1" t="s">
        <v>9</v>
      </c>
      <c r="H75" s="1" t="s">
        <v>10</v>
      </c>
    </row>
    <row r="76" spans="1:8" x14ac:dyDescent="0.3">
      <c r="A76" s="1">
        <v>154</v>
      </c>
      <c r="B76" s="1" t="s">
        <v>14</v>
      </c>
      <c r="C76" s="1" t="s">
        <v>3940</v>
      </c>
      <c r="D76" s="1" t="s">
        <v>3941</v>
      </c>
      <c r="E76" s="1">
        <v>1002.06</v>
      </c>
      <c r="F76" s="1" t="s">
        <v>8</v>
      </c>
      <c r="G76" s="1" t="s">
        <v>9</v>
      </c>
      <c r="H76" s="1" t="s">
        <v>10</v>
      </c>
    </row>
    <row r="77" spans="1:8" x14ac:dyDescent="0.3">
      <c r="A77" s="1">
        <v>154</v>
      </c>
      <c r="B77" s="1" t="s">
        <v>14</v>
      </c>
      <c r="C77" s="1" t="s">
        <v>3942</v>
      </c>
      <c r="D77" s="1" t="s">
        <v>3943</v>
      </c>
      <c r="E77" s="1">
        <v>4085.43</v>
      </c>
      <c r="F77" s="1" t="s">
        <v>8</v>
      </c>
      <c r="G77" s="1" t="s">
        <v>9</v>
      </c>
      <c r="H77" s="1" t="s">
        <v>10</v>
      </c>
    </row>
    <row r="78" spans="1:8" x14ac:dyDescent="0.3">
      <c r="A78" s="1">
        <v>154</v>
      </c>
      <c r="B78" s="1" t="s">
        <v>14</v>
      </c>
      <c r="C78" s="1" t="s">
        <v>3944</v>
      </c>
      <c r="D78" s="1" t="s">
        <v>3945</v>
      </c>
      <c r="E78" s="1">
        <v>9584.94</v>
      </c>
      <c r="F78" s="1" t="s">
        <v>8</v>
      </c>
      <c r="G78" s="1" t="s">
        <v>9</v>
      </c>
      <c r="H78" s="1" t="s">
        <v>10</v>
      </c>
    </row>
    <row r="79" spans="1:8" x14ac:dyDescent="0.3">
      <c r="A79" s="1">
        <v>154</v>
      </c>
      <c r="B79" s="1" t="s">
        <v>14</v>
      </c>
      <c r="C79" s="1" t="s">
        <v>3946</v>
      </c>
      <c r="D79" s="1" t="s">
        <v>3947</v>
      </c>
      <c r="E79" s="1">
        <v>3384.48</v>
      </c>
      <c r="F79" s="1" t="s">
        <v>8</v>
      </c>
      <c r="G79" s="1" t="s">
        <v>9</v>
      </c>
      <c r="H79" s="1" t="s">
        <v>10</v>
      </c>
    </row>
    <row r="80" spans="1:8" x14ac:dyDescent="0.3">
      <c r="A80" s="1">
        <v>154</v>
      </c>
      <c r="B80" s="1" t="s">
        <v>14</v>
      </c>
      <c r="C80" s="1" t="s">
        <v>3948</v>
      </c>
      <c r="D80" s="1" t="s">
        <v>3949</v>
      </c>
      <c r="E80" s="1">
        <v>657.95</v>
      </c>
      <c r="F80" s="1" t="s">
        <v>8</v>
      </c>
      <c r="G80" s="1" t="s">
        <v>9</v>
      </c>
      <c r="H80" s="1" t="s">
        <v>10</v>
      </c>
    </row>
    <row r="81" spans="1:8" x14ac:dyDescent="0.3">
      <c r="A81" s="1">
        <v>154</v>
      </c>
      <c r="B81" s="1" t="s">
        <v>14</v>
      </c>
      <c r="C81" s="1" t="s">
        <v>3950</v>
      </c>
      <c r="D81" s="1" t="s">
        <v>3951</v>
      </c>
      <c r="E81" s="1">
        <v>239.93</v>
      </c>
      <c r="F81" s="1" t="s">
        <v>11</v>
      </c>
      <c r="G81" s="1" t="s">
        <v>9</v>
      </c>
      <c r="H81" s="1" t="s">
        <v>10</v>
      </c>
    </row>
    <row r="82" spans="1:8" x14ac:dyDescent="0.3">
      <c r="A82" s="1">
        <v>154</v>
      </c>
      <c r="B82" s="1" t="s">
        <v>14</v>
      </c>
      <c r="C82" s="1" t="s">
        <v>3952</v>
      </c>
      <c r="D82" s="1" t="s">
        <v>3953</v>
      </c>
      <c r="E82" s="1">
        <v>239.93</v>
      </c>
      <c r="F82" s="1" t="s">
        <v>8</v>
      </c>
      <c r="G82" s="1" t="s">
        <v>9</v>
      </c>
      <c r="H82" s="1" t="s">
        <v>10</v>
      </c>
    </row>
    <row r="83" spans="1:8" x14ac:dyDescent="0.3">
      <c r="A83" s="1">
        <v>154</v>
      </c>
      <c r="B83" s="1" t="s">
        <v>14</v>
      </c>
      <c r="C83" s="1" t="s">
        <v>3954</v>
      </c>
      <c r="D83" s="1" t="s">
        <v>3955</v>
      </c>
      <c r="E83" s="1">
        <v>1692.72</v>
      </c>
      <c r="F83" s="1" t="s">
        <v>8</v>
      </c>
      <c r="G83" s="1" t="s">
        <v>9</v>
      </c>
      <c r="H83" s="1" t="s">
        <v>10</v>
      </c>
    </row>
    <row r="84" spans="1:8" x14ac:dyDescent="0.3">
      <c r="A84" s="1">
        <v>154</v>
      </c>
      <c r="B84" s="1" t="s">
        <v>14</v>
      </c>
      <c r="C84" s="1" t="s">
        <v>3956</v>
      </c>
      <c r="D84" s="1" t="s">
        <v>3957</v>
      </c>
      <c r="E84" s="1">
        <v>5195.04</v>
      </c>
      <c r="F84" s="1" t="s">
        <v>8</v>
      </c>
      <c r="G84" s="1" t="s">
        <v>9</v>
      </c>
      <c r="H84" s="1" t="s">
        <v>10</v>
      </c>
    </row>
    <row r="85" spans="1:8" x14ac:dyDescent="0.3">
      <c r="A85" s="1">
        <v>154</v>
      </c>
      <c r="B85" s="1" t="s">
        <v>14</v>
      </c>
      <c r="C85" s="1" t="s">
        <v>3958</v>
      </c>
      <c r="D85" s="1" t="s">
        <v>3959</v>
      </c>
      <c r="E85" s="1">
        <v>27347.1</v>
      </c>
      <c r="F85" s="1" t="s">
        <v>8</v>
      </c>
      <c r="G85" s="1" t="s">
        <v>9</v>
      </c>
      <c r="H85" s="1" t="s">
        <v>10</v>
      </c>
    </row>
    <row r="86" spans="1:8" x14ac:dyDescent="0.3">
      <c r="A86" s="1">
        <v>154</v>
      </c>
      <c r="B86" s="1" t="s">
        <v>14</v>
      </c>
      <c r="C86" s="1" t="s">
        <v>3960</v>
      </c>
      <c r="D86" s="1" t="s">
        <v>3961</v>
      </c>
      <c r="E86" s="1">
        <v>864.33</v>
      </c>
      <c r="F86" s="1" t="s">
        <v>8</v>
      </c>
      <c r="G86" s="1" t="s">
        <v>9</v>
      </c>
      <c r="H86" s="1" t="s">
        <v>10</v>
      </c>
    </row>
    <row r="87" spans="1:8" x14ac:dyDescent="0.3">
      <c r="A87" s="1">
        <v>154</v>
      </c>
      <c r="B87" s="1" t="s">
        <v>14</v>
      </c>
      <c r="C87" s="1" t="s">
        <v>3962</v>
      </c>
      <c r="D87" s="1" t="s">
        <v>3963</v>
      </c>
      <c r="E87" s="1">
        <v>3544.54</v>
      </c>
      <c r="F87" s="1" t="s">
        <v>8</v>
      </c>
      <c r="G87" s="1" t="s">
        <v>9</v>
      </c>
      <c r="H87" s="1" t="s">
        <v>10</v>
      </c>
    </row>
    <row r="88" spans="1:8" x14ac:dyDescent="0.3">
      <c r="A88" s="1">
        <v>154</v>
      </c>
      <c r="B88" s="1" t="s">
        <v>14</v>
      </c>
      <c r="C88" s="1" t="s">
        <v>3964</v>
      </c>
      <c r="D88" s="1" t="s">
        <v>3965</v>
      </c>
      <c r="E88" s="1">
        <v>2964</v>
      </c>
      <c r="F88" s="1" t="s">
        <v>8</v>
      </c>
      <c r="G88" s="1" t="s">
        <v>9</v>
      </c>
      <c r="H88" s="1" t="s">
        <v>10</v>
      </c>
    </row>
    <row r="89" spans="1:8" x14ac:dyDescent="0.3">
      <c r="A89" s="1">
        <v>154</v>
      </c>
      <c r="B89" s="1" t="s">
        <v>14</v>
      </c>
      <c r="C89" s="1" t="s">
        <v>3966</v>
      </c>
      <c r="D89" s="1" t="s">
        <v>3967</v>
      </c>
      <c r="E89" s="1">
        <v>1466.15</v>
      </c>
      <c r="F89" s="1" t="s">
        <v>8</v>
      </c>
      <c r="G89" s="1" t="s">
        <v>9</v>
      </c>
      <c r="H89" s="1" t="s">
        <v>10</v>
      </c>
    </row>
    <row r="90" spans="1:8" x14ac:dyDescent="0.3">
      <c r="A90" s="1">
        <v>154</v>
      </c>
      <c r="B90" s="1" t="s">
        <v>14</v>
      </c>
      <c r="C90" s="1" t="s">
        <v>3968</v>
      </c>
      <c r="D90" s="1" t="s">
        <v>3969</v>
      </c>
      <c r="E90" s="1">
        <v>1436.5</v>
      </c>
      <c r="F90" s="1" t="s">
        <v>8</v>
      </c>
      <c r="G90" s="1" t="s">
        <v>9</v>
      </c>
      <c r="H90" s="1" t="s">
        <v>10</v>
      </c>
    </row>
    <row r="91" spans="1:8" x14ac:dyDescent="0.3">
      <c r="A91" s="1">
        <v>154</v>
      </c>
      <c r="B91" s="1" t="s">
        <v>14</v>
      </c>
      <c r="C91" s="1" t="s">
        <v>3970</v>
      </c>
      <c r="D91" s="1" t="s">
        <v>3971</v>
      </c>
      <c r="E91" s="1">
        <v>1152.6400000000001</v>
      </c>
      <c r="F91" s="1" t="s">
        <v>8</v>
      </c>
      <c r="G91" s="1" t="s">
        <v>9</v>
      </c>
      <c r="H91" s="1" t="s">
        <v>10</v>
      </c>
    </row>
    <row r="92" spans="1:8" x14ac:dyDescent="0.3">
      <c r="A92" s="1">
        <v>154</v>
      </c>
      <c r="B92" s="1" t="s">
        <v>14</v>
      </c>
      <c r="C92" s="1" t="s">
        <v>3972</v>
      </c>
      <c r="D92" s="1" t="s">
        <v>3973</v>
      </c>
      <c r="E92" s="1">
        <v>1166.4000000000001</v>
      </c>
      <c r="F92" s="1" t="s">
        <v>8</v>
      </c>
      <c r="G92" s="1" t="s">
        <v>9</v>
      </c>
      <c r="H92" s="1" t="s">
        <v>10</v>
      </c>
    </row>
    <row r="93" spans="1:8" x14ac:dyDescent="0.3">
      <c r="A93" s="1">
        <v>154</v>
      </c>
      <c r="B93" s="1" t="s">
        <v>14</v>
      </c>
      <c r="C93" s="1" t="s">
        <v>3974</v>
      </c>
      <c r="D93" s="1" t="s">
        <v>3975</v>
      </c>
      <c r="E93" s="1">
        <v>4764.29</v>
      </c>
      <c r="F93" s="1" t="s">
        <v>8</v>
      </c>
      <c r="G93" s="1" t="s">
        <v>9</v>
      </c>
      <c r="H93" s="1" t="s">
        <v>10</v>
      </c>
    </row>
    <row r="94" spans="1:8" x14ac:dyDescent="0.3">
      <c r="A94" s="1">
        <v>154</v>
      </c>
      <c r="B94" s="1" t="s">
        <v>14</v>
      </c>
      <c r="C94" s="1" t="s">
        <v>3976</v>
      </c>
      <c r="D94" s="1" t="s">
        <v>3977</v>
      </c>
      <c r="E94" s="1">
        <v>1746.76</v>
      </c>
      <c r="F94" s="1" t="s">
        <v>8</v>
      </c>
      <c r="G94" s="1" t="s">
        <v>9</v>
      </c>
      <c r="H94" s="1" t="s">
        <v>10</v>
      </c>
    </row>
    <row r="95" spans="1:8" x14ac:dyDescent="0.3">
      <c r="A95" s="1">
        <v>154</v>
      </c>
      <c r="B95" s="1" t="s">
        <v>14</v>
      </c>
      <c r="C95" s="1" t="s">
        <v>3978</v>
      </c>
      <c r="D95" s="1" t="s">
        <v>3979</v>
      </c>
      <c r="E95" s="1">
        <v>1795.2</v>
      </c>
      <c r="F95" s="1" t="s">
        <v>8</v>
      </c>
      <c r="G95" s="1" t="s">
        <v>9</v>
      </c>
      <c r="H95" s="1" t="s">
        <v>10</v>
      </c>
    </row>
    <row r="96" spans="1:8" x14ac:dyDescent="0.3">
      <c r="A96" s="1">
        <v>154</v>
      </c>
      <c r="B96" s="1" t="s">
        <v>14</v>
      </c>
      <c r="C96" s="1" t="s">
        <v>3980</v>
      </c>
      <c r="D96" s="1" t="s">
        <v>3981</v>
      </c>
      <c r="E96" s="1">
        <v>2903.1</v>
      </c>
      <c r="F96" s="1" t="s">
        <v>8</v>
      </c>
      <c r="G96" s="1" t="s">
        <v>9</v>
      </c>
      <c r="H96" s="1" t="s">
        <v>10</v>
      </c>
    </row>
    <row r="97" spans="1:8" x14ac:dyDescent="0.3">
      <c r="A97" s="1">
        <v>154</v>
      </c>
      <c r="B97" s="1" t="s">
        <v>14</v>
      </c>
      <c r="C97" s="1" t="s">
        <v>3982</v>
      </c>
      <c r="D97" s="1" t="s">
        <v>3983</v>
      </c>
      <c r="E97" s="1">
        <v>2076</v>
      </c>
      <c r="F97" s="1" t="s">
        <v>8</v>
      </c>
      <c r="G97" s="1" t="s">
        <v>9</v>
      </c>
      <c r="H97" s="1" t="s">
        <v>10</v>
      </c>
    </row>
    <row r="98" spans="1:8" x14ac:dyDescent="0.3">
      <c r="A98" s="1">
        <v>154</v>
      </c>
      <c r="B98" s="1" t="s">
        <v>14</v>
      </c>
      <c r="C98" s="1" t="s">
        <v>3984</v>
      </c>
      <c r="D98" s="1" t="s">
        <v>3985</v>
      </c>
      <c r="E98" s="1">
        <v>1348.26</v>
      </c>
      <c r="F98" s="1" t="s">
        <v>8</v>
      </c>
      <c r="G98" s="1" t="s">
        <v>9</v>
      </c>
      <c r="H98" s="1" t="s">
        <v>10</v>
      </c>
    </row>
    <row r="99" spans="1:8" x14ac:dyDescent="0.3">
      <c r="A99" s="1">
        <v>154</v>
      </c>
      <c r="B99" s="1" t="s">
        <v>14</v>
      </c>
      <c r="C99" s="1" t="s">
        <v>3986</v>
      </c>
      <c r="D99" s="1" t="s">
        <v>3987</v>
      </c>
      <c r="E99" s="1">
        <v>2528.86</v>
      </c>
      <c r="F99" s="1" t="s">
        <v>8</v>
      </c>
      <c r="G99" s="1" t="s">
        <v>9</v>
      </c>
      <c r="H99" s="1" t="s">
        <v>10</v>
      </c>
    </row>
    <row r="100" spans="1:8" x14ac:dyDescent="0.3">
      <c r="A100" s="1">
        <v>154</v>
      </c>
      <c r="B100" s="1" t="s">
        <v>14</v>
      </c>
      <c r="C100" s="1" t="s">
        <v>3988</v>
      </c>
      <c r="D100" s="1" t="s">
        <v>3989</v>
      </c>
      <c r="E100" s="1">
        <v>1111.03</v>
      </c>
      <c r="F100" s="1" t="s">
        <v>8</v>
      </c>
      <c r="G100" s="1" t="s">
        <v>9</v>
      </c>
      <c r="H100" s="1" t="s">
        <v>10</v>
      </c>
    </row>
    <row r="101" spans="1:8" x14ac:dyDescent="0.3">
      <c r="A101" s="1">
        <v>154</v>
      </c>
      <c r="B101" s="1" t="s">
        <v>14</v>
      </c>
      <c r="C101" s="1" t="s">
        <v>3990</v>
      </c>
      <c r="D101" s="1" t="s">
        <v>3991</v>
      </c>
      <c r="E101" s="1">
        <v>3073</v>
      </c>
      <c r="F101" s="1" t="s">
        <v>8</v>
      </c>
      <c r="G101" s="1" t="s">
        <v>9</v>
      </c>
      <c r="H101" s="1" t="s">
        <v>10</v>
      </c>
    </row>
    <row r="102" spans="1:8" x14ac:dyDescent="0.3">
      <c r="A102" s="1">
        <v>154</v>
      </c>
      <c r="B102" s="1" t="s">
        <v>14</v>
      </c>
      <c r="C102" s="1" t="s">
        <v>3992</v>
      </c>
      <c r="D102" s="1" t="s">
        <v>3993</v>
      </c>
      <c r="E102" s="1">
        <v>3073</v>
      </c>
      <c r="F102" s="1" t="s">
        <v>8</v>
      </c>
      <c r="G102" s="1" t="s">
        <v>9</v>
      </c>
      <c r="H102" s="1" t="s">
        <v>10</v>
      </c>
    </row>
    <row r="103" spans="1:8" x14ac:dyDescent="0.3">
      <c r="A103" s="1">
        <v>154</v>
      </c>
      <c r="B103" s="1" t="s">
        <v>14</v>
      </c>
      <c r="C103" s="1" t="s">
        <v>3994</v>
      </c>
      <c r="D103" s="1" t="s">
        <v>3995</v>
      </c>
      <c r="E103" s="1">
        <v>3073</v>
      </c>
      <c r="F103" s="1" t="s">
        <v>8</v>
      </c>
      <c r="G103" s="1" t="s">
        <v>9</v>
      </c>
      <c r="H103" s="1" t="s">
        <v>10</v>
      </c>
    </row>
    <row r="104" spans="1:8" x14ac:dyDescent="0.3">
      <c r="A104" s="1">
        <v>154</v>
      </c>
      <c r="B104" s="1" t="s">
        <v>14</v>
      </c>
      <c r="C104" s="1" t="s">
        <v>3996</v>
      </c>
      <c r="D104" s="1" t="s">
        <v>3997</v>
      </c>
      <c r="E104" s="1">
        <v>1460.89</v>
      </c>
      <c r="F104" s="1" t="s">
        <v>8</v>
      </c>
      <c r="G104" s="1" t="s">
        <v>9</v>
      </c>
      <c r="H104" s="1" t="s">
        <v>10</v>
      </c>
    </row>
    <row r="105" spans="1:8" x14ac:dyDescent="0.3">
      <c r="A105" s="1">
        <v>154</v>
      </c>
      <c r="B105" s="1" t="s">
        <v>14</v>
      </c>
      <c r="C105" s="1" t="s">
        <v>3998</v>
      </c>
      <c r="D105" s="1" t="s">
        <v>3999</v>
      </c>
      <c r="E105" s="1">
        <v>3073</v>
      </c>
      <c r="F105" s="1" t="s">
        <v>8</v>
      </c>
      <c r="G105" s="1" t="s">
        <v>9</v>
      </c>
      <c r="H105" s="1" t="s">
        <v>10</v>
      </c>
    </row>
    <row r="106" spans="1:8" x14ac:dyDescent="0.3">
      <c r="A106" s="1">
        <v>154</v>
      </c>
      <c r="B106" s="1" t="s">
        <v>14</v>
      </c>
      <c r="C106" s="1" t="s">
        <v>4000</v>
      </c>
      <c r="D106" s="1" t="s">
        <v>4001</v>
      </c>
      <c r="E106" s="1">
        <v>1449.52</v>
      </c>
      <c r="F106" s="1" t="s">
        <v>8</v>
      </c>
      <c r="G106" s="1" t="s">
        <v>9</v>
      </c>
      <c r="H106" s="1" t="s">
        <v>10</v>
      </c>
    </row>
    <row r="107" spans="1:8" x14ac:dyDescent="0.3">
      <c r="A107" s="1">
        <v>154</v>
      </c>
      <c r="B107" s="1" t="s">
        <v>14</v>
      </c>
      <c r="C107" s="1" t="s">
        <v>4002</v>
      </c>
      <c r="D107" s="1" t="s">
        <v>4003</v>
      </c>
      <c r="E107" s="1">
        <v>6584.44</v>
      </c>
      <c r="F107" s="1" t="s">
        <v>8</v>
      </c>
      <c r="G107" s="1" t="s">
        <v>9</v>
      </c>
      <c r="H107" s="1" t="s">
        <v>10</v>
      </c>
    </row>
    <row r="108" spans="1:8" x14ac:dyDescent="0.3">
      <c r="A108" s="1">
        <v>154</v>
      </c>
      <c r="B108" s="1" t="s">
        <v>14</v>
      </c>
      <c r="C108" s="1" t="s">
        <v>4004</v>
      </c>
      <c r="D108" s="1" t="s">
        <v>4005</v>
      </c>
      <c r="E108" s="1">
        <v>1887.01</v>
      </c>
      <c r="F108" s="1" t="s">
        <v>8</v>
      </c>
      <c r="G108" s="1" t="s">
        <v>9</v>
      </c>
      <c r="H108" s="1" t="s">
        <v>10</v>
      </c>
    </row>
    <row r="109" spans="1:8" x14ac:dyDescent="0.3">
      <c r="A109" s="1">
        <v>154</v>
      </c>
      <c r="B109" s="1" t="s">
        <v>14</v>
      </c>
      <c r="C109" s="1" t="s">
        <v>4006</v>
      </c>
      <c r="D109" s="1" t="s">
        <v>4007</v>
      </c>
      <c r="E109" s="1">
        <v>75</v>
      </c>
      <c r="F109" s="1" t="s">
        <v>8</v>
      </c>
      <c r="G109" s="1" t="s">
        <v>9</v>
      </c>
      <c r="H109" s="1" t="s">
        <v>10</v>
      </c>
    </row>
    <row r="110" spans="1:8" x14ac:dyDescent="0.3">
      <c r="A110" s="1">
        <v>154</v>
      </c>
      <c r="B110" s="1" t="s">
        <v>14</v>
      </c>
      <c r="C110" s="1" t="s">
        <v>4008</v>
      </c>
      <c r="D110" s="1" t="s">
        <v>4009</v>
      </c>
      <c r="E110" s="1">
        <v>460.26</v>
      </c>
      <c r="F110" s="1" t="s">
        <v>8</v>
      </c>
      <c r="G110" s="1" t="s">
        <v>9</v>
      </c>
      <c r="H110" s="1" t="s">
        <v>10</v>
      </c>
    </row>
    <row r="111" spans="1:8" x14ac:dyDescent="0.3">
      <c r="A111" s="1">
        <v>154</v>
      </c>
      <c r="B111" s="1" t="s">
        <v>14</v>
      </c>
      <c r="C111" s="1" t="s">
        <v>2068</v>
      </c>
      <c r="D111" s="1" t="s">
        <v>4010</v>
      </c>
      <c r="E111" s="1">
        <v>514.54</v>
      </c>
      <c r="F111" s="1" t="s">
        <v>8</v>
      </c>
      <c r="G111" s="1" t="s">
        <v>9</v>
      </c>
      <c r="H111" s="1" t="s">
        <v>10</v>
      </c>
    </row>
    <row r="112" spans="1:8" x14ac:dyDescent="0.3">
      <c r="A112" s="1">
        <v>154</v>
      </c>
      <c r="B112" s="1" t="s">
        <v>14</v>
      </c>
      <c r="C112" s="1" t="s">
        <v>4011</v>
      </c>
      <c r="D112" s="1" t="s">
        <v>4012</v>
      </c>
      <c r="E112" s="1">
        <v>344.47</v>
      </c>
      <c r="F112" s="1" t="s">
        <v>8</v>
      </c>
      <c r="G112" s="1" t="s">
        <v>9</v>
      </c>
      <c r="H112" s="1" t="s">
        <v>10</v>
      </c>
    </row>
    <row r="113" spans="1:8" x14ac:dyDescent="0.3">
      <c r="A113" s="1">
        <v>154</v>
      </c>
      <c r="B113" s="1" t="s">
        <v>14</v>
      </c>
      <c r="C113" s="1" t="s">
        <v>4013</v>
      </c>
      <c r="D113" s="1" t="s">
        <v>4014</v>
      </c>
      <c r="E113" s="1">
        <v>624.75</v>
      </c>
      <c r="F113" s="1" t="s">
        <v>8</v>
      </c>
      <c r="G113" s="1" t="s">
        <v>9</v>
      </c>
      <c r="H113" s="1" t="s">
        <v>10</v>
      </c>
    </row>
    <row r="114" spans="1:8" x14ac:dyDescent="0.3">
      <c r="A114" s="1">
        <v>154</v>
      </c>
      <c r="B114" s="1" t="s">
        <v>14</v>
      </c>
      <c r="C114" s="1" t="s">
        <v>4015</v>
      </c>
      <c r="D114" s="1" t="s">
        <v>4016</v>
      </c>
      <c r="E114" s="1">
        <v>203.3</v>
      </c>
      <c r="F114" s="1" t="s">
        <v>8</v>
      </c>
      <c r="G114" s="1" t="s">
        <v>9</v>
      </c>
      <c r="H114" s="1" t="s">
        <v>10</v>
      </c>
    </row>
    <row r="115" spans="1:8" x14ac:dyDescent="0.3">
      <c r="A115" s="1">
        <v>154</v>
      </c>
      <c r="B115" s="1" t="s">
        <v>14</v>
      </c>
      <c r="C115" s="1" t="s">
        <v>4017</v>
      </c>
      <c r="D115" s="1" t="s">
        <v>4018</v>
      </c>
      <c r="E115" s="1">
        <v>3300</v>
      </c>
      <c r="F115" s="1" t="s">
        <v>8</v>
      </c>
      <c r="G115" s="1" t="s">
        <v>9</v>
      </c>
      <c r="H115" s="1" t="s">
        <v>10</v>
      </c>
    </row>
    <row r="116" spans="1:8" x14ac:dyDescent="0.3">
      <c r="A116" s="1">
        <v>154</v>
      </c>
      <c r="B116" s="1" t="s">
        <v>14</v>
      </c>
      <c r="C116" s="1" t="s">
        <v>4019</v>
      </c>
      <c r="D116" s="1" t="s">
        <v>4020</v>
      </c>
      <c r="E116" s="1">
        <v>116.21</v>
      </c>
      <c r="F116" s="1" t="s">
        <v>8</v>
      </c>
      <c r="G116" s="1" t="s">
        <v>9</v>
      </c>
      <c r="H116" s="1" t="s">
        <v>10</v>
      </c>
    </row>
    <row r="117" spans="1:8" x14ac:dyDescent="0.3">
      <c r="A117" s="1">
        <v>154</v>
      </c>
      <c r="B117" s="1" t="s">
        <v>14</v>
      </c>
      <c r="C117" s="1" t="s">
        <v>4021</v>
      </c>
      <c r="D117" s="1" t="s">
        <v>4022</v>
      </c>
      <c r="E117" s="1">
        <v>69.69</v>
      </c>
      <c r="F117" s="1" t="s">
        <v>8</v>
      </c>
      <c r="G117" s="1" t="s">
        <v>9</v>
      </c>
      <c r="H117" s="1" t="s">
        <v>10</v>
      </c>
    </row>
    <row r="118" spans="1:8" x14ac:dyDescent="0.3">
      <c r="A118" s="1">
        <v>154</v>
      </c>
      <c r="B118" s="1" t="s">
        <v>14</v>
      </c>
      <c r="C118" s="1" t="s">
        <v>4023</v>
      </c>
      <c r="D118" s="1" t="s">
        <v>4024</v>
      </c>
      <c r="E118" s="1">
        <v>285.67</v>
      </c>
      <c r="F118" s="1" t="s">
        <v>8</v>
      </c>
      <c r="G118" s="1" t="s">
        <v>9</v>
      </c>
      <c r="H118" s="1" t="s">
        <v>10</v>
      </c>
    </row>
    <row r="119" spans="1:8" x14ac:dyDescent="0.3">
      <c r="A119" s="1">
        <v>154</v>
      </c>
      <c r="B119" s="1" t="s">
        <v>14</v>
      </c>
      <c r="C119" s="1" t="s">
        <v>4025</v>
      </c>
      <c r="D119" s="1" t="s">
        <v>4026</v>
      </c>
      <c r="E119" s="1">
        <v>91.64</v>
      </c>
      <c r="F119" s="1" t="s">
        <v>8</v>
      </c>
      <c r="G119" s="1" t="s">
        <v>9</v>
      </c>
      <c r="H119" s="1" t="s">
        <v>10</v>
      </c>
    </row>
    <row r="120" spans="1:8" x14ac:dyDescent="0.3">
      <c r="A120" s="1">
        <v>154</v>
      </c>
      <c r="B120" s="1" t="s">
        <v>14</v>
      </c>
      <c r="C120" s="1" t="s">
        <v>4027</v>
      </c>
      <c r="D120" s="1" t="s">
        <v>4028</v>
      </c>
      <c r="E120" s="1">
        <v>7816.04</v>
      </c>
      <c r="F120" s="1" t="s">
        <v>8</v>
      </c>
      <c r="G120" s="1" t="s">
        <v>9</v>
      </c>
      <c r="H120" s="1" t="s">
        <v>10</v>
      </c>
    </row>
    <row r="121" spans="1:8" x14ac:dyDescent="0.3">
      <c r="A121" s="1">
        <v>154</v>
      </c>
      <c r="B121" s="1" t="s">
        <v>14</v>
      </c>
      <c r="C121" s="1" t="s">
        <v>4029</v>
      </c>
      <c r="D121" s="1" t="s">
        <v>4030</v>
      </c>
      <c r="E121" s="1">
        <v>1340.6</v>
      </c>
      <c r="F121" s="1" t="s">
        <v>8</v>
      </c>
      <c r="G121" s="1" t="s">
        <v>9</v>
      </c>
      <c r="H121" s="1" t="s">
        <v>10</v>
      </c>
    </row>
    <row r="122" spans="1:8" x14ac:dyDescent="0.3">
      <c r="A122" s="1">
        <v>154</v>
      </c>
      <c r="B122" s="1" t="s">
        <v>14</v>
      </c>
      <c r="C122" s="1" t="s">
        <v>4027</v>
      </c>
      <c r="D122" s="1" t="s">
        <v>4028</v>
      </c>
      <c r="E122" s="1">
        <v>7816.04</v>
      </c>
      <c r="F122" s="1" t="s">
        <v>8</v>
      </c>
      <c r="G122" s="1" t="s">
        <v>9</v>
      </c>
      <c r="H122" s="1" t="s">
        <v>10</v>
      </c>
    </row>
    <row r="123" spans="1:8" x14ac:dyDescent="0.3">
      <c r="A123" s="1">
        <v>154</v>
      </c>
      <c r="B123" s="1" t="s">
        <v>14</v>
      </c>
      <c r="C123" s="1" t="s">
        <v>4031</v>
      </c>
      <c r="D123" s="1" t="s">
        <v>4032</v>
      </c>
      <c r="E123" s="1">
        <v>3879.96</v>
      </c>
      <c r="F123" s="1" t="s">
        <v>8</v>
      </c>
      <c r="G123" s="1" t="s">
        <v>9</v>
      </c>
      <c r="H123" s="1" t="s">
        <v>10</v>
      </c>
    </row>
    <row r="124" spans="1:8" x14ac:dyDescent="0.3">
      <c r="A124" s="1">
        <v>154</v>
      </c>
      <c r="B124" s="1" t="s">
        <v>14</v>
      </c>
      <c r="C124" s="1" t="s">
        <v>4033</v>
      </c>
      <c r="D124" s="1" t="s">
        <v>4034</v>
      </c>
      <c r="E124" s="1">
        <v>2161.6799999999998</v>
      </c>
      <c r="F124" s="1" t="s">
        <v>8</v>
      </c>
      <c r="G124" s="1" t="s">
        <v>9</v>
      </c>
      <c r="H124" s="1" t="s">
        <v>10</v>
      </c>
    </row>
    <row r="125" spans="1:8" x14ac:dyDescent="0.3">
      <c r="A125" s="1">
        <v>154</v>
      </c>
      <c r="B125" s="1" t="s">
        <v>14</v>
      </c>
      <c r="C125" s="1" t="s">
        <v>4035</v>
      </c>
      <c r="D125" s="1" t="s">
        <v>4036</v>
      </c>
      <c r="E125" s="1">
        <v>117</v>
      </c>
      <c r="F125" s="1" t="s">
        <v>8</v>
      </c>
      <c r="G125" s="1" t="s">
        <v>9</v>
      </c>
      <c r="H125" s="1" t="s">
        <v>10</v>
      </c>
    </row>
    <row r="126" spans="1:8" x14ac:dyDescent="0.3">
      <c r="A126" s="1">
        <v>154</v>
      </c>
      <c r="B126" s="1" t="s">
        <v>14</v>
      </c>
      <c r="C126" s="1" t="s">
        <v>4037</v>
      </c>
      <c r="D126" s="1" t="s">
        <v>4038</v>
      </c>
      <c r="E126" s="1">
        <v>2746.82</v>
      </c>
      <c r="F126" s="1" t="s">
        <v>8</v>
      </c>
      <c r="G126" s="1" t="s">
        <v>9</v>
      </c>
      <c r="H126" s="1" t="s">
        <v>10</v>
      </c>
    </row>
    <row r="127" spans="1:8" x14ac:dyDescent="0.3">
      <c r="A127" s="1">
        <v>154</v>
      </c>
      <c r="B127" s="1" t="s">
        <v>14</v>
      </c>
      <c r="C127" s="1" t="s">
        <v>4039</v>
      </c>
      <c r="D127" s="1" t="s">
        <v>4040</v>
      </c>
      <c r="E127" s="1">
        <v>5410</v>
      </c>
      <c r="F127" s="1" t="s">
        <v>8</v>
      </c>
      <c r="G127" s="1" t="s">
        <v>9</v>
      </c>
      <c r="H127" s="1" t="s">
        <v>10</v>
      </c>
    </row>
    <row r="128" spans="1:8" x14ac:dyDescent="0.3">
      <c r="A128" s="1">
        <v>154</v>
      </c>
      <c r="B128" s="1" t="s">
        <v>14</v>
      </c>
      <c r="C128" s="1" t="s">
        <v>4041</v>
      </c>
      <c r="D128" s="1" t="s">
        <v>4042</v>
      </c>
      <c r="E128" s="1">
        <v>1002.8</v>
      </c>
      <c r="F128" s="1" t="s">
        <v>8</v>
      </c>
      <c r="G128" s="1" t="s">
        <v>9</v>
      </c>
      <c r="H128" s="1" t="s">
        <v>10</v>
      </c>
    </row>
    <row r="129" spans="1:8" x14ac:dyDescent="0.3">
      <c r="A129" s="1">
        <v>154</v>
      </c>
      <c r="B129" s="1" t="s">
        <v>14</v>
      </c>
      <c r="C129" s="1" t="s">
        <v>4043</v>
      </c>
      <c r="D129" s="1" t="s">
        <v>4044</v>
      </c>
      <c r="E129" s="1">
        <v>2336.0300000000002</v>
      </c>
      <c r="F129" s="1" t="s">
        <v>8</v>
      </c>
      <c r="G129" s="1" t="s">
        <v>9</v>
      </c>
      <c r="H129" s="1" t="s">
        <v>10</v>
      </c>
    </row>
    <row r="130" spans="1:8" x14ac:dyDescent="0.3">
      <c r="A130" s="1">
        <v>154</v>
      </c>
      <c r="B130" s="1" t="s">
        <v>14</v>
      </c>
      <c r="C130" s="1" t="s">
        <v>4045</v>
      </c>
      <c r="D130" s="1" t="s">
        <v>4046</v>
      </c>
      <c r="E130" s="1">
        <v>2519.64</v>
      </c>
      <c r="F130" s="1" t="s">
        <v>8</v>
      </c>
      <c r="G130" s="1" t="s">
        <v>9</v>
      </c>
      <c r="H130" s="1" t="s">
        <v>10</v>
      </c>
    </row>
    <row r="131" spans="1:8" x14ac:dyDescent="0.3">
      <c r="A131" s="1">
        <v>154</v>
      </c>
      <c r="B131" s="1" t="s">
        <v>14</v>
      </c>
      <c r="C131" s="1" t="s">
        <v>4047</v>
      </c>
      <c r="D131" s="1" t="s">
        <v>4048</v>
      </c>
      <c r="E131" s="1">
        <v>261.81</v>
      </c>
      <c r="F131" s="1" t="s">
        <v>8</v>
      </c>
      <c r="G131" s="1" t="s">
        <v>9</v>
      </c>
      <c r="H131" s="1" t="s">
        <v>10</v>
      </c>
    </row>
    <row r="132" spans="1:8" x14ac:dyDescent="0.3">
      <c r="A132" s="1">
        <v>154</v>
      </c>
      <c r="B132" s="1" t="s">
        <v>14</v>
      </c>
      <c r="C132" s="1" t="s">
        <v>4049</v>
      </c>
      <c r="D132" s="1" t="s">
        <v>4050</v>
      </c>
      <c r="E132" s="1">
        <v>1100</v>
      </c>
      <c r="F132" s="1" t="s">
        <v>8</v>
      </c>
      <c r="G132" s="1" t="s">
        <v>9</v>
      </c>
      <c r="H132" s="1" t="s">
        <v>10</v>
      </c>
    </row>
    <row r="133" spans="1:8" x14ac:dyDescent="0.3">
      <c r="A133" s="1">
        <v>154</v>
      </c>
      <c r="B133" s="1" t="s">
        <v>14</v>
      </c>
      <c r="C133" s="1" t="s">
        <v>4051</v>
      </c>
      <c r="D133" s="1" t="s">
        <v>4052</v>
      </c>
      <c r="E133" s="1">
        <v>914</v>
      </c>
      <c r="F133" s="1" t="s">
        <v>8</v>
      </c>
      <c r="G133" s="1" t="s">
        <v>9</v>
      </c>
      <c r="H133" s="1" t="s">
        <v>10</v>
      </c>
    </row>
    <row r="134" spans="1:8" x14ac:dyDescent="0.3">
      <c r="A134" s="1">
        <v>154</v>
      </c>
      <c r="B134" s="1" t="s">
        <v>14</v>
      </c>
      <c r="C134" s="1" t="s">
        <v>4053</v>
      </c>
      <c r="D134" s="1" t="s">
        <v>4054</v>
      </c>
      <c r="E134" s="1">
        <v>148.5</v>
      </c>
      <c r="F134" s="1" t="s">
        <v>8</v>
      </c>
      <c r="G134" s="1" t="s">
        <v>9</v>
      </c>
      <c r="H134" s="1" t="s">
        <v>10</v>
      </c>
    </row>
    <row r="135" spans="1:8" x14ac:dyDescent="0.3">
      <c r="A135" s="1">
        <v>154</v>
      </c>
      <c r="B135" s="1" t="s">
        <v>14</v>
      </c>
      <c r="C135" s="1" t="s">
        <v>4055</v>
      </c>
      <c r="D135" s="1" t="s">
        <v>4056</v>
      </c>
      <c r="E135" s="1">
        <v>1690.1</v>
      </c>
      <c r="F135" s="1" t="s">
        <v>8</v>
      </c>
      <c r="G135" s="1" t="s">
        <v>9</v>
      </c>
      <c r="H135" s="1" t="s">
        <v>10</v>
      </c>
    </row>
    <row r="136" spans="1:8" x14ac:dyDescent="0.3">
      <c r="A136" s="1">
        <v>154</v>
      </c>
      <c r="B136" s="1" t="s">
        <v>14</v>
      </c>
      <c r="C136" s="1" t="s">
        <v>4057</v>
      </c>
      <c r="D136" s="1" t="s">
        <v>4058</v>
      </c>
      <c r="E136" s="1">
        <v>312.62</v>
      </c>
      <c r="F136" s="1" t="s">
        <v>8</v>
      </c>
      <c r="G136" s="1" t="s">
        <v>9</v>
      </c>
      <c r="H136" s="1" t="s">
        <v>10</v>
      </c>
    </row>
    <row r="137" spans="1:8" x14ac:dyDescent="0.3">
      <c r="A137" s="1">
        <v>154</v>
      </c>
      <c r="B137" s="1" t="s">
        <v>14</v>
      </c>
      <c r="C137" s="1" t="s">
        <v>4059</v>
      </c>
      <c r="D137" s="1" t="s">
        <v>4060</v>
      </c>
      <c r="E137" s="1">
        <v>3713</v>
      </c>
      <c r="F137" s="1" t="s">
        <v>8</v>
      </c>
      <c r="G137" s="1" t="s">
        <v>9</v>
      </c>
      <c r="H137" s="1" t="s">
        <v>10</v>
      </c>
    </row>
    <row r="138" spans="1:8" x14ac:dyDescent="0.3">
      <c r="A138" s="1">
        <v>154</v>
      </c>
      <c r="B138" s="1" t="s">
        <v>14</v>
      </c>
      <c r="C138" s="1" t="s">
        <v>4061</v>
      </c>
      <c r="D138" s="1" t="s">
        <v>4062</v>
      </c>
      <c r="E138" s="1">
        <v>472.19</v>
      </c>
      <c r="F138" s="1" t="s">
        <v>8</v>
      </c>
      <c r="G138" s="1" t="s">
        <v>9</v>
      </c>
      <c r="H138" s="1" t="s">
        <v>10</v>
      </c>
    </row>
    <row r="139" spans="1:8" x14ac:dyDescent="0.3">
      <c r="A139" s="1">
        <v>154</v>
      </c>
      <c r="B139" s="1" t="s">
        <v>14</v>
      </c>
      <c r="C139" s="1" t="s">
        <v>4063</v>
      </c>
      <c r="D139" s="1" t="s">
        <v>4064</v>
      </c>
      <c r="E139" s="1">
        <v>479.81</v>
      </c>
      <c r="F139" s="1" t="s">
        <v>8</v>
      </c>
      <c r="G139" s="1" t="s">
        <v>9</v>
      </c>
      <c r="H139" s="1" t="s">
        <v>10</v>
      </c>
    </row>
    <row r="140" spans="1:8" x14ac:dyDescent="0.3">
      <c r="A140" s="1">
        <v>154</v>
      </c>
      <c r="B140" s="1" t="s">
        <v>14</v>
      </c>
      <c r="C140" s="1" t="s">
        <v>4065</v>
      </c>
      <c r="D140" s="1" t="s">
        <v>4066</v>
      </c>
      <c r="E140" s="1">
        <v>5897.5</v>
      </c>
      <c r="F140" s="1" t="s">
        <v>8</v>
      </c>
      <c r="G140" s="1" t="s">
        <v>9</v>
      </c>
      <c r="H140" s="1" t="s">
        <v>10</v>
      </c>
    </row>
    <row r="141" spans="1:8" x14ac:dyDescent="0.3">
      <c r="A141" s="1">
        <v>154</v>
      </c>
      <c r="B141" s="1" t="s">
        <v>14</v>
      </c>
      <c r="C141" s="1" t="s">
        <v>4067</v>
      </c>
      <c r="D141" s="1" t="s">
        <v>4068</v>
      </c>
      <c r="E141" s="1">
        <v>441.01</v>
      </c>
      <c r="F141" s="1" t="s">
        <v>8</v>
      </c>
      <c r="G141" s="1" t="s">
        <v>9</v>
      </c>
      <c r="H141" s="1" t="s">
        <v>10</v>
      </c>
    </row>
    <row r="142" spans="1:8" x14ac:dyDescent="0.3">
      <c r="A142" s="1">
        <v>154</v>
      </c>
      <c r="B142" s="1" t="s">
        <v>14</v>
      </c>
      <c r="C142" s="1" t="s">
        <v>4069</v>
      </c>
      <c r="D142" s="1" t="s">
        <v>4070</v>
      </c>
      <c r="E142" s="1">
        <v>2786.1</v>
      </c>
      <c r="F142" s="1" t="s">
        <v>8</v>
      </c>
      <c r="G142" s="1" t="s">
        <v>9</v>
      </c>
      <c r="H142" s="1" t="s">
        <v>10</v>
      </c>
    </row>
    <row r="143" spans="1:8" x14ac:dyDescent="0.3">
      <c r="A143" s="1">
        <v>154</v>
      </c>
      <c r="B143" s="1" t="s">
        <v>14</v>
      </c>
      <c r="C143" s="1" t="s">
        <v>4071</v>
      </c>
      <c r="D143" s="1" t="s">
        <v>4072</v>
      </c>
      <c r="E143" s="1">
        <v>267.48</v>
      </c>
      <c r="F143" s="1" t="s">
        <v>8</v>
      </c>
      <c r="G143" s="1" t="s">
        <v>9</v>
      </c>
      <c r="H143" s="1" t="s">
        <v>10</v>
      </c>
    </row>
    <row r="144" spans="1:8" x14ac:dyDescent="0.3">
      <c r="A144" s="1">
        <v>154</v>
      </c>
      <c r="B144" s="1" t="s">
        <v>14</v>
      </c>
      <c r="C144" s="1" t="s">
        <v>4073</v>
      </c>
      <c r="D144" s="1" t="s">
        <v>4074</v>
      </c>
      <c r="E144" s="1">
        <v>541.5</v>
      </c>
      <c r="F144" s="1" t="s">
        <v>8</v>
      </c>
      <c r="G144" s="1" t="s">
        <v>9</v>
      </c>
      <c r="H144" s="1" t="s">
        <v>10</v>
      </c>
    </row>
    <row r="145" spans="1:8" x14ac:dyDescent="0.3">
      <c r="A145" s="1">
        <v>154</v>
      </c>
      <c r="B145" s="1" t="s">
        <v>14</v>
      </c>
      <c r="C145" s="1" t="s">
        <v>4075</v>
      </c>
      <c r="D145" s="1" t="s">
        <v>4076</v>
      </c>
      <c r="E145" s="1">
        <v>2192.4</v>
      </c>
      <c r="F145" s="1" t="s">
        <v>8</v>
      </c>
      <c r="G145" s="1" t="s">
        <v>9</v>
      </c>
      <c r="H145" s="1" t="s">
        <v>10</v>
      </c>
    </row>
    <row r="146" spans="1:8" x14ac:dyDescent="0.3">
      <c r="A146" s="1">
        <v>154</v>
      </c>
      <c r="B146" s="1" t="s">
        <v>14</v>
      </c>
      <c r="C146" s="1" t="s">
        <v>4077</v>
      </c>
      <c r="D146" s="1" t="s">
        <v>4078</v>
      </c>
      <c r="E146" s="1">
        <v>198</v>
      </c>
      <c r="F146" s="1" t="s">
        <v>8</v>
      </c>
      <c r="G146" s="1" t="s">
        <v>9</v>
      </c>
      <c r="H146" s="1" t="s">
        <v>10</v>
      </c>
    </row>
    <row r="147" spans="1:8" x14ac:dyDescent="0.3">
      <c r="A147" s="1">
        <v>154</v>
      </c>
      <c r="B147" s="1" t="s">
        <v>14</v>
      </c>
      <c r="C147" s="1" t="s">
        <v>4079</v>
      </c>
      <c r="D147" s="1" t="s">
        <v>4080</v>
      </c>
      <c r="E147" s="1">
        <v>1025.0999999999999</v>
      </c>
      <c r="F147" s="1" t="s">
        <v>8</v>
      </c>
      <c r="G147" s="1" t="s">
        <v>9</v>
      </c>
      <c r="H147" s="1" t="s">
        <v>10</v>
      </c>
    </row>
    <row r="148" spans="1:8" x14ac:dyDescent="0.3">
      <c r="A148" s="1">
        <v>154</v>
      </c>
      <c r="B148" s="1" t="s">
        <v>14</v>
      </c>
      <c r="C148" s="1" t="s">
        <v>4081</v>
      </c>
      <c r="D148" s="1" t="s">
        <v>4082</v>
      </c>
      <c r="E148" s="1">
        <v>855.94</v>
      </c>
      <c r="F148" s="1" t="s">
        <v>8</v>
      </c>
      <c r="G148" s="1" t="s">
        <v>9</v>
      </c>
      <c r="H148" s="1" t="s">
        <v>10</v>
      </c>
    </row>
    <row r="149" spans="1:8" x14ac:dyDescent="0.3">
      <c r="A149" s="1">
        <v>154</v>
      </c>
      <c r="B149" s="1" t="s">
        <v>14</v>
      </c>
      <c r="C149" s="1" t="s">
        <v>4083</v>
      </c>
      <c r="D149" s="1" t="s">
        <v>4084</v>
      </c>
      <c r="E149" s="1">
        <v>781.3</v>
      </c>
      <c r="F149" s="1" t="s">
        <v>8</v>
      </c>
      <c r="G149" s="1" t="s">
        <v>9</v>
      </c>
      <c r="H149" s="1" t="s">
        <v>10</v>
      </c>
    </row>
    <row r="150" spans="1:8" x14ac:dyDescent="0.3">
      <c r="A150" s="1">
        <v>154</v>
      </c>
      <c r="B150" s="1" t="s">
        <v>14</v>
      </c>
      <c r="C150" s="1" t="s">
        <v>4085</v>
      </c>
      <c r="D150" s="1" t="s">
        <v>4086</v>
      </c>
      <c r="E150" s="1">
        <v>2431.52</v>
      </c>
      <c r="F150" s="1" t="s">
        <v>8</v>
      </c>
      <c r="G150" s="1" t="s">
        <v>9</v>
      </c>
      <c r="H150" s="1" t="s">
        <v>10</v>
      </c>
    </row>
    <row r="151" spans="1:8" x14ac:dyDescent="0.3">
      <c r="A151" s="1">
        <v>154</v>
      </c>
      <c r="B151" s="1" t="s">
        <v>14</v>
      </c>
      <c r="C151" s="1" t="s">
        <v>4087</v>
      </c>
      <c r="D151" s="1" t="s">
        <v>4088</v>
      </c>
      <c r="E151" s="1">
        <v>2481.67</v>
      </c>
      <c r="F151" s="1" t="s">
        <v>8</v>
      </c>
      <c r="G151" s="1" t="s">
        <v>9</v>
      </c>
      <c r="H151" s="1" t="s">
        <v>10</v>
      </c>
    </row>
    <row r="152" spans="1:8" x14ac:dyDescent="0.3">
      <c r="A152" s="1">
        <v>154</v>
      </c>
      <c r="B152" s="1" t="s">
        <v>14</v>
      </c>
      <c r="C152" s="1" t="s">
        <v>4089</v>
      </c>
      <c r="D152" s="1" t="s">
        <v>4090</v>
      </c>
      <c r="E152" s="1">
        <v>7774.21</v>
      </c>
      <c r="F152" s="1" t="s">
        <v>8</v>
      </c>
      <c r="G152" s="1" t="s">
        <v>9</v>
      </c>
      <c r="H152" s="1" t="s">
        <v>10</v>
      </c>
    </row>
    <row r="153" spans="1:8" x14ac:dyDescent="0.3">
      <c r="A153" s="1">
        <v>154</v>
      </c>
      <c r="B153" s="1" t="s">
        <v>14</v>
      </c>
      <c r="C153" s="1" t="s">
        <v>4091</v>
      </c>
      <c r="D153" s="1" t="s">
        <v>4092</v>
      </c>
      <c r="E153" s="1">
        <v>392.27</v>
      </c>
      <c r="F153" s="1" t="s">
        <v>8</v>
      </c>
      <c r="G153" s="1" t="s">
        <v>9</v>
      </c>
      <c r="H153" s="1" t="s">
        <v>10</v>
      </c>
    </row>
    <row r="154" spans="1:8" x14ac:dyDescent="0.3">
      <c r="A154" s="1">
        <v>154</v>
      </c>
      <c r="B154" s="1" t="s">
        <v>14</v>
      </c>
      <c r="C154" s="1" t="s">
        <v>3878</v>
      </c>
      <c r="D154" s="1" t="s">
        <v>4093</v>
      </c>
      <c r="E154" s="1">
        <v>4581.7</v>
      </c>
      <c r="F154" s="1" t="s">
        <v>8</v>
      </c>
      <c r="G154" s="1" t="s">
        <v>9</v>
      </c>
      <c r="H154" s="1" t="s">
        <v>10</v>
      </c>
    </row>
    <row r="155" spans="1:8" x14ac:dyDescent="0.3">
      <c r="A155" s="1">
        <v>154</v>
      </c>
      <c r="B155" s="1" t="s">
        <v>14</v>
      </c>
      <c r="C155" s="1" t="s">
        <v>4094</v>
      </c>
      <c r="D155" s="1" t="s">
        <v>4095</v>
      </c>
      <c r="E155" s="1">
        <v>1681</v>
      </c>
      <c r="F155" s="1" t="s">
        <v>8</v>
      </c>
      <c r="G155" s="1" t="s">
        <v>9</v>
      </c>
      <c r="H155" s="1" t="s">
        <v>10</v>
      </c>
    </row>
    <row r="156" spans="1:8" x14ac:dyDescent="0.3">
      <c r="A156" s="1">
        <v>154</v>
      </c>
      <c r="B156" s="1" t="s">
        <v>14</v>
      </c>
      <c r="C156" s="1" t="s">
        <v>4096</v>
      </c>
      <c r="D156" s="1" t="s">
        <v>4097</v>
      </c>
      <c r="E156" s="1">
        <v>345.82</v>
      </c>
      <c r="F156" s="1" t="s">
        <v>8</v>
      </c>
      <c r="G156" s="1" t="s">
        <v>9</v>
      </c>
      <c r="H156" s="1" t="s">
        <v>10</v>
      </c>
    </row>
    <row r="157" spans="1:8" x14ac:dyDescent="0.3">
      <c r="A157" s="1">
        <v>154</v>
      </c>
      <c r="B157" s="1" t="s">
        <v>14</v>
      </c>
      <c r="C157" s="1" t="s">
        <v>4098</v>
      </c>
      <c r="D157" s="1" t="s">
        <v>4099</v>
      </c>
      <c r="E157" s="1">
        <v>269.83999999999997</v>
      </c>
      <c r="F157" s="1" t="s">
        <v>8</v>
      </c>
      <c r="G157" s="1" t="s">
        <v>9</v>
      </c>
      <c r="H157" s="1" t="s">
        <v>10</v>
      </c>
    </row>
    <row r="158" spans="1:8" x14ac:dyDescent="0.3">
      <c r="A158" s="1">
        <v>154</v>
      </c>
      <c r="B158" s="1" t="s">
        <v>14</v>
      </c>
      <c r="C158" s="1" t="s">
        <v>4100</v>
      </c>
      <c r="D158" s="1" t="s">
        <v>4101</v>
      </c>
      <c r="E158" s="1">
        <v>4120.53</v>
      </c>
      <c r="F158" s="1" t="s">
        <v>8</v>
      </c>
      <c r="G158" s="1" t="s">
        <v>9</v>
      </c>
      <c r="H158" s="1" t="s">
        <v>10</v>
      </c>
    </row>
    <row r="159" spans="1:8" x14ac:dyDescent="0.3">
      <c r="A159" s="1">
        <v>154</v>
      </c>
      <c r="B159" s="1" t="s">
        <v>14</v>
      </c>
      <c r="C159" s="1" t="s">
        <v>4102</v>
      </c>
      <c r="D159" s="1" t="s">
        <v>4103</v>
      </c>
      <c r="E159" s="1">
        <v>839.8</v>
      </c>
      <c r="F159" s="1" t="s">
        <v>8</v>
      </c>
      <c r="G159" s="1" t="s">
        <v>9</v>
      </c>
      <c r="H159" s="1" t="s">
        <v>10</v>
      </c>
    </row>
    <row r="160" spans="1:8" x14ac:dyDescent="0.3">
      <c r="A160" s="1">
        <v>154</v>
      </c>
      <c r="B160" s="1" t="s">
        <v>14</v>
      </c>
      <c r="C160" s="1" t="s">
        <v>4104</v>
      </c>
      <c r="D160" s="1" t="s">
        <v>4105</v>
      </c>
      <c r="E160" s="1">
        <v>666</v>
      </c>
      <c r="F160" s="1" t="s">
        <v>8</v>
      </c>
      <c r="G160" s="1" t="s">
        <v>9</v>
      </c>
      <c r="H160" s="1" t="s">
        <v>10</v>
      </c>
    </row>
    <row r="161" spans="1:8" x14ac:dyDescent="0.3">
      <c r="A161" s="1">
        <v>154</v>
      </c>
      <c r="B161" s="1" t="s">
        <v>14</v>
      </c>
      <c r="C161" s="1" t="s">
        <v>4106</v>
      </c>
      <c r="D161" s="1" t="s">
        <v>4107</v>
      </c>
      <c r="E161" s="1">
        <v>1481.38</v>
      </c>
      <c r="F161" s="1" t="s">
        <v>8</v>
      </c>
      <c r="G161" s="1" t="s">
        <v>9</v>
      </c>
      <c r="H161" s="1" t="s">
        <v>10</v>
      </c>
    </row>
    <row r="162" spans="1:8" x14ac:dyDescent="0.3">
      <c r="A162" s="1">
        <v>154</v>
      </c>
      <c r="B162" s="1" t="s">
        <v>14</v>
      </c>
      <c r="C162" s="1" t="s">
        <v>4108</v>
      </c>
      <c r="D162" s="1" t="s">
        <v>4109</v>
      </c>
      <c r="E162" s="1">
        <v>752.51</v>
      </c>
      <c r="F162" s="1" t="s">
        <v>8</v>
      </c>
      <c r="G162" s="1" t="s">
        <v>9</v>
      </c>
      <c r="H162" s="1" t="s">
        <v>10</v>
      </c>
    </row>
    <row r="163" spans="1:8" x14ac:dyDescent="0.3">
      <c r="A163" s="1">
        <v>154</v>
      </c>
      <c r="B163" s="1" t="s">
        <v>14</v>
      </c>
      <c r="C163" s="1" t="s">
        <v>4110</v>
      </c>
      <c r="D163" s="1" t="s">
        <v>4111</v>
      </c>
      <c r="E163" s="1">
        <v>2740.62</v>
      </c>
      <c r="F163" s="1" t="s">
        <v>8</v>
      </c>
      <c r="G163" s="1" t="s">
        <v>9</v>
      </c>
      <c r="H163" s="1" t="s">
        <v>10</v>
      </c>
    </row>
    <row r="164" spans="1:8" x14ac:dyDescent="0.3">
      <c r="A164" s="1">
        <v>154</v>
      </c>
      <c r="B164" s="1" t="s">
        <v>14</v>
      </c>
      <c r="C164" s="1" t="s">
        <v>4112</v>
      </c>
      <c r="D164" s="1" t="s">
        <v>4113</v>
      </c>
      <c r="E164" s="1">
        <v>71.86</v>
      </c>
      <c r="F164" s="1" t="s">
        <v>8</v>
      </c>
      <c r="G164" s="1" t="s">
        <v>9</v>
      </c>
      <c r="H164" s="1" t="s">
        <v>10</v>
      </c>
    </row>
    <row r="165" spans="1:8" x14ac:dyDescent="0.3">
      <c r="A165" s="1">
        <v>154</v>
      </c>
      <c r="B165" s="1" t="s">
        <v>14</v>
      </c>
      <c r="C165" s="1" t="s">
        <v>4114</v>
      </c>
      <c r="D165" s="1" t="s">
        <v>4115</v>
      </c>
      <c r="E165" s="1">
        <v>305.86</v>
      </c>
      <c r="F165" s="1" t="s">
        <v>8</v>
      </c>
      <c r="G165" s="1" t="s">
        <v>9</v>
      </c>
      <c r="H165" s="1" t="s">
        <v>10</v>
      </c>
    </row>
    <row r="166" spans="1:8" x14ac:dyDescent="0.3">
      <c r="A166" s="1">
        <v>154</v>
      </c>
      <c r="B166" s="1" t="s">
        <v>14</v>
      </c>
      <c r="C166" s="1" t="s">
        <v>4116</v>
      </c>
      <c r="D166" s="1" t="s">
        <v>4117</v>
      </c>
      <c r="E166" s="1">
        <v>384</v>
      </c>
      <c r="F166" s="1" t="s">
        <v>8</v>
      </c>
      <c r="G166" s="1" t="s">
        <v>9</v>
      </c>
      <c r="H166" s="1" t="s">
        <v>10</v>
      </c>
    </row>
    <row r="167" spans="1:8" x14ac:dyDescent="0.3">
      <c r="A167" s="1">
        <v>154</v>
      </c>
      <c r="B167" s="1" t="s">
        <v>14</v>
      </c>
      <c r="C167" s="1" t="s">
        <v>4118</v>
      </c>
      <c r="D167" s="1" t="s">
        <v>4119</v>
      </c>
      <c r="E167" s="1">
        <v>62.11</v>
      </c>
      <c r="F167" s="1" t="s">
        <v>8</v>
      </c>
      <c r="G167" s="1" t="s">
        <v>9</v>
      </c>
      <c r="H167" s="1" t="s">
        <v>10</v>
      </c>
    </row>
    <row r="168" spans="1:8" x14ac:dyDescent="0.3">
      <c r="A168" s="1">
        <v>154</v>
      </c>
      <c r="B168" s="1" t="s">
        <v>14</v>
      </c>
      <c r="C168" s="1" t="s">
        <v>4120</v>
      </c>
      <c r="D168" s="1" t="s">
        <v>4121</v>
      </c>
      <c r="E168" s="1">
        <v>503.68</v>
      </c>
      <c r="F168" s="1" t="s">
        <v>8</v>
      </c>
      <c r="G168" s="1" t="s">
        <v>9</v>
      </c>
      <c r="H168" s="1" t="s">
        <v>10</v>
      </c>
    </row>
    <row r="169" spans="1:8" x14ac:dyDescent="0.3">
      <c r="A169" s="1">
        <v>154</v>
      </c>
      <c r="B169" s="1" t="s">
        <v>14</v>
      </c>
      <c r="C169" s="1" t="s">
        <v>4122</v>
      </c>
      <c r="D169" s="1" t="s">
        <v>4123</v>
      </c>
      <c r="E169" s="1">
        <v>3988.19</v>
      </c>
      <c r="F169" s="1" t="s">
        <v>8</v>
      </c>
      <c r="G169" s="1" t="s">
        <v>9</v>
      </c>
      <c r="H169" s="1" t="s">
        <v>10</v>
      </c>
    </row>
    <row r="170" spans="1:8" x14ac:dyDescent="0.3">
      <c r="A170" s="1">
        <v>154</v>
      </c>
      <c r="B170" s="1" t="s">
        <v>14</v>
      </c>
      <c r="C170" s="1" t="s">
        <v>4124</v>
      </c>
      <c r="D170" s="1" t="s">
        <v>4125</v>
      </c>
      <c r="E170" s="1">
        <v>4055.31</v>
      </c>
      <c r="F170" s="1" t="s">
        <v>8</v>
      </c>
      <c r="G170" s="1" t="s">
        <v>9</v>
      </c>
      <c r="H170" s="1" t="s">
        <v>10</v>
      </c>
    </row>
    <row r="171" spans="1:8" x14ac:dyDescent="0.3">
      <c r="A171" s="1">
        <v>154</v>
      </c>
      <c r="B171" s="1" t="s">
        <v>14</v>
      </c>
      <c r="C171" s="1" t="s">
        <v>4126</v>
      </c>
      <c r="D171" s="1" t="s">
        <v>4127</v>
      </c>
      <c r="E171" s="1">
        <v>2761.18</v>
      </c>
      <c r="F171" s="1" t="s">
        <v>8</v>
      </c>
      <c r="G171" s="1" t="s">
        <v>9</v>
      </c>
      <c r="H171" s="1" t="s">
        <v>10</v>
      </c>
    </row>
    <row r="172" spans="1:8" x14ac:dyDescent="0.3">
      <c r="A172" s="1">
        <v>154</v>
      </c>
      <c r="B172" s="1" t="s">
        <v>14</v>
      </c>
      <c r="C172" s="1" t="s">
        <v>4128</v>
      </c>
      <c r="D172" s="1" t="s">
        <v>4129</v>
      </c>
      <c r="E172" s="1">
        <v>2560.6</v>
      </c>
      <c r="F172" s="1" t="s">
        <v>8</v>
      </c>
      <c r="G172" s="1" t="s">
        <v>9</v>
      </c>
      <c r="H172" s="1" t="s">
        <v>10</v>
      </c>
    </row>
    <row r="173" spans="1:8" x14ac:dyDescent="0.3">
      <c r="A173" s="1">
        <v>154</v>
      </c>
      <c r="B173" s="1" t="s">
        <v>14</v>
      </c>
      <c r="C173" s="1" t="s">
        <v>4130</v>
      </c>
      <c r="D173" s="1" t="s">
        <v>4131</v>
      </c>
      <c r="E173" s="1">
        <v>2395.64</v>
      </c>
      <c r="F173" s="1" t="s">
        <v>8</v>
      </c>
      <c r="G173" s="1" t="s">
        <v>9</v>
      </c>
      <c r="H173" s="1" t="s">
        <v>10</v>
      </c>
    </row>
    <row r="174" spans="1:8" x14ac:dyDescent="0.3">
      <c r="A174" s="1">
        <v>154</v>
      </c>
      <c r="B174" s="1" t="s">
        <v>14</v>
      </c>
      <c r="C174" s="1" t="s">
        <v>4132</v>
      </c>
      <c r="D174" s="1" t="s">
        <v>4133</v>
      </c>
      <c r="E174" s="1">
        <v>7716.8</v>
      </c>
      <c r="F174" s="1" t="s">
        <v>8</v>
      </c>
      <c r="G174" s="1" t="s">
        <v>9</v>
      </c>
      <c r="H174" s="1" t="s">
        <v>10</v>
      </c>
    </row>
    <row r="175" spans="1:8" x14ac:dyDescent="0.3">
      <c r="A175" s="1">
        <v>154</v>
      </c>
      <c r="B175" s="1" t="s">
        <v>14</v>
      </c>
      <c r="C175" s="1" t="s">
        <v>4134</v>
      </c>
      <c r="D175" s="1" t="s">
        <v>4135</v>
      </c>
      <c r="E175" s="1">
        <v>1266.9100000000001</v>
      </c>
      <c r="F175" s="1" t="s">
        <v>8</v>
      </c>
      <c r="G175" s="1" t="s">
        <v>9</v>
      </c>
      <c r="H175" s="1" t="s">
        <v>10</v>
      </c>
    </row>
    <row r="176" spans="1:8" x14ac:dyDescent="0.3">
      <c r="A176" s="1">
        <v>154</v>
      </c>
      <c r="B176" s="1" t="s">
        <v>14</v>
      </c>
      <c r="C176" s="1" t="s">
        <v>4136</v>
      </c>
      <c r="D176" s="1" t="s">
        <v>4137</v>
      </c>
      <c r="E176" s="1">
        <v>2177.4699999999998</v>
      </c>
      <c r="F176" s="1" t="s">
        <v>8</v>
      </c>
      <c r="G176" s="1" t="s">
        <v>9</v>
      </c>
      <c r="H176" s="1" t="s">
        <v>10</v>
      </c>
    </row>
    <row r="177" spans="1:8" x14ac:dyDescent="0.3">
      <c r="A177" s="1">
        <v>154</v>
      </c>
      <c r="B177" s="1" t="s">
        <v>14</v>
      </c>
      <c r="C177" s="1" t="s">
        <v>4138</v>
      </c>
      <c r="D177" s="1" t="s">
        <v>4139</v>
      </c>
      <c r="E177" s="1">
        <v>6805.96</v>
      </c>
      <c r="F177" s="1" t="s">
        <v>8</v>
      </c>
      <c r="G177" s="1" t="s">
        <v>9</v>
      </c>
      <c r="H177" s="1" t="s">
        <v>10</v>
      </c>
    </row>
    <row r="178" spans="1:8" x14ac:dyDescent="0.3">
      <c r="A178" s="1">
        <v>154</v>
      </c>
      <c r="B178" s="1" t="s">
        <v>14</v>
      </c>
      <c r="C178" s="1" t="s">
        <v>4140</v>
      </c>
      <c r="D178" s="1" t="s">
        <v>4141</v>
      </c>
      <c r="E178" s="1">
        <v>6830.96</v>
      </c>
      <c r="F178" s="1" t="s">
        <v>8</v>
      </c>
      <c r="G178" s="1" t="s">
        <v>9</v>
      </c>
      <c r="H178" s="1" t="s">
        <v>10</v>
      </c>
    </row>
    <row r="179" spans="1:8" x14ac:dyDescent="0.3">
      <c r="A179" s="1">
        <v>154</v>
      </c>
      <c r="B179" s="1" t="s">
        <v>14</v>
      </c>
      <c r="C179" s="1" t="s">
        <v>4142</v>
      </c>
      <c r="D179" s="1" t="s">
        <v>4143</v>
      </c>
      <c r="E179" s="1">
        <v>117</v>
      </c>
      <c r="F179" s="1" t="s">
        <v>8</v>
      </c>
      <c r="G179" s="1" t="s">
        <v>9</v>
      </c>
      <c r="H179" s="1" t="s">
        <v>10</v>
      </c>
    </row>
    <row r="180" spans="1:8" x14ac:dyDescent="0.3">
      <c r="A180" s="1">
        <v>154</v>
      </c>
      <c r="B180" s="1" t="s">
        <v>14</v>
      </c>
      <c r="C180" s="1" t="s">
        <v>4144</v>
      </c>
      <c r="D180" s="1" t="s">
        <v>4145</v>
      </c>
      <c r="E180" s="1">
        <v>5145.79</v>
      </c>
      <c r="F180" s="1" t="s">
        <v>8</v>
      </c>
      <c r="G180" s="1" t="s">
        <v>9</v>
      </c>
      <c r="H180" s="1" t="s">
        <v>10</v>
      </c>
    </row>
    <row r="181" spans="1:8" x14ac:dyDescent="0.3">
      <c r="A181" s="1">
        <v>154</v>
      </c>
      <c r="B181" s="1" t="s">
        <v>14</v>
      </c>
      <c r="C181" s="1" t="s">
        <v>4146</v>
      </c>
      <c r="D181" s="1" t="s">
        <v>4147</v>
      </c>
      <c r="E181" s="1">
        <v>9173.5400000000009</v>
      </c>
      <c r="F181" s="1" t="s">
        <v>8</v>
      </c>
      <c r="G181" s="1" t="s">
        <v>9</v>
      </c>
      <c r="H181" s="1" t="s">
        <v>10</v>
      </c>
    </row>
    <row r="182" spans="1:8" x14ac:dyDescent="0.3">
      <c r="A182" s="1">
        <v>154</v>
      </c>
      <c r="B182" s="1" t="s">
        <v>14</v>
      </c>
      <c r="C182" s="1" t="s">
        <v>4148</v>
      </c>
      <c r="D182" s="1" t="s">
        <v>4149</v>
      </c>
      <c r="E182" s="1">
        <v>7878.5</v>
      </c>
      <c r="F182" s="1" t="s">
        <v>8</v>
      </c>
      <c r="G182" s="1" t="s">
        <v>9</v>
      </c>
      <c r="H182" s="1" t="s">
        <v>10</v>
      </c>
    </row>
    <row r="183" spans="1:8" x14ac:dyDescent="0.3">
      <c r="A183" s="1">
        <v>154</v>
      </c>
      <c r="B183" s="1" t="s">
        <v>14</v>
      </c>
      <c r="C183" s="1" t="s">
        <v>4150</v>
      </c>
      <c r="D183" s="1" t="s">
        <v>4151</v>
      </c>
      <c r="E183" s="1">
        <v>2436.7800000000002</v>
      </c>
      <c r="F183" s="1" t="s">
        <v>8</v>
      </c>
      <c r="G183" s="1" t="s">
        <v>9</v>
      </c>
      <c r="H183" s="1" t="s">
        <v>10</v>
      </c>
    </row>
    <row r="184" spans="1:8" x14ac:dyDescent="0.3">
      <c r="A184" s="1">
        <v>154</v>
      </c>
      <c r="B184" s="1" t="s">
        <v>14</v>
      </c>
      <c r="C184" s="1" t="s">
        <v>4152</v>
      </c>
      <c r="D184" s="1" t="s">
        <v>4153</v>
      </c>
      <c r="E184" s="1">
        <v>1270</v>
      </c>
      <c r="F184" s="1" t="s">
        <v>8</v>
      </c>
      <c r="G184" s="1" t="s">
        <v>9</v>
      </c>
      <c r="H184" s="1" t="s">
        <v>10</v>
      </c>
    </row>
    <row r="185" spans="1:8" x14ac:dyDescent="0.3">
      <c r="A185" s="1">
        <v>154</v>
      </c>
      <c r="B185" s="1" t="s">
        <v>14</v>
      </c>
      <c r="C185" s="1" t="s">
        <v>4154</v>
      </c>
      <c r="D185" s="1" t="s">
        <v>4155</v>
      </c>
      <c r="E185" s="1">
        <v>667.92</v>
      </c>
      <c r="F185" s="1" t="s">
        <v>8</v>
      </c>
      <c r="G185" s="1" t="s">
        <v>9</v>
      </c>
      <c r="H185" s="1" t="s">
        <v>10</v>
      </c>
    </row>
    <row r="186" spans="1:8" x14ac:dyDescent="0.3">
      <c r="A186" s="1">
        <v>154</v>
      </c>
      <c r="B186" s="1" t="s">
        <v>14</v>
      </c>
      <c r="C186" s="1" t="s">
        <v>4156</v>
      </c>
      <c r="D186" s="1" t="s">
        <v>4157</v>
      </c>
      <c r="E186" s="1">
        <v>429.73</v>
      </c>
      <c r="F186" s="1" t="s">
        <v>8</v>
      </c>
      <c r="G186" s="1" t="s">
        <v>9</v>
      </c>
      <c r="H186" s="1" t="s">
        <v>10</v>
      </c>
    </row>
    <row r="187" spans="1:8" x14ac:dyDescent="0.3">
      <c r="A187" s="1">
        <v>154</v>
      </c>
      <c r="B187" s="1" t="s">
        <v>14</v>
      </c>
      <c r="C187" s="1" t="s">
        <v>4158</v>
      </c>
      <c r="D187" s="1" t="s">
        <v>4159</v>
      </c>
      <c r="E187" s="1">
        <v>4905</v>
      </c>
      <c r="F187" s="1" t="s">
        <v>8</v>
      </c>
      <c r="G187" s="1" t="s">
        <v>9</v>
      </c>
      <c r="H187" s="1" t="s">
        <v>10</v>
      </c>
    </row>
    <row r="188" spans="1:8" x14ac:dyDescent="0.3">
      <c r="A188" s="1">
        <v>154</v>
      </c>
      <c r="B188" s="1" t="s">
        <v>14</v>
      </c>
      <c r="C188" s="1" t="s">
        <v>4160</v>
      </c>
      <c r="D188" s="1" t="s">
        <v>4161</v>
      </c>
      <c r="E188" s="1">
        <v>814.8</v>
      </c>
      <c r="F188" s="1" t="s">
        <v>8</v>
      </c>
      <c r="G188" s="1" t="s">
        <v>9</v>
      </c>
      <c r="H188" s="1" t="s">
        <v>10</v>
      </c>
    </row>
    <row r="189" spans="1:8" x14ac:dyDescent="0.3">
      <c r="A189" s="1">
        <v>154</v>
      </c>
      <c r="B189" s="1" t="s">
        <v>14</v>
      </c>
      <c r="C189" s="1" t="s">
        <v>4162</v>
      </c>
      <c r="D189" s="1" t="s">
        <v>4163</v>
      </c>
      <c r="E189" s="1">
        <v>120.09</v>
      </c>
      <c r="F189" s="1" t="s">
        <v>8</v>
      </c>
      <c r="G189" s="1" t="s">
        <v>9</v>
      </c>
      <c r="H189" s="1" t="s">
        <v>10</v>
      </c>
    </row>
    <row r="190" spans="1:8" x14ac:dyDescent="0.3">
      <c r="A190" s="1">
        <v>154</v>
      </c>
      <c r="B190" s="1" t="s">
        <v>14</v>
      </c>
      <c r="C190" s="1" t="s">
        <v>4164</v>
      </c>
      <c r="D190" s="1" t="s">
        <v>4165</v>
      </c>
      <c r="E190" s="1">
        <v>7.2</v>
      </c>
      <c r="F190" s="1" t="s">
        <v>8</v>
      </c>
      <c r="G190" s="1" t="s">
        <v>13</v>
      </c>
      <c r="H190" s="1" t="s">
        <v>10</v>
      </c>
    </row>
    <row r="191" spans="1:8" x14ac:dyDescent="0.3">
      <c r="A191" s="1">
        <v>154</v>
      </c>
      <c r="B191" s="1" t="s">
        <v>14</v>
      </c>
      <c r="C191" s="1" t="s">
        <v>4166</v>
      </c>
      <c r="D191" s="1" t="s">
        <v>4167</v>
      </c>
      <c r="E191" s="1">
        <v>7.2</v>
      </c>
      <c r="F191" s="1" t="s">
        <v>8</v>
      </c>
      <c r="G191" s="1" t="s">
        <v>13</v>
      </c>
      <c r="H191" s="1" t="s">
        <v>10</v>
      </c>
    </row>
    <row r="192" spans="1:8" x14ac:dyDescent="0.3">
      <c r="A192" s="1">
        <v>154</v>
      </c>
      <c r="B192" s="1" t="s">
        <v>14</v>
      </c>
      <c r="C192" s="1" t="s">
        <v>4168</v>
      </c>
      <c r="D192" s="1" t="s">
        <v>4169</v>
      </c>
      <c r="E192" s="1">
        <v>233.84</v>
      </c>
      <c r="F192" s="1" t="s">
        <v>8</v>
      </c>
      <c r="G192" s="1" t="s">
        <v>9</v>
      </c>
      <c r="H192" s="1" t="s">
        <v>10</v>
      </c>
    </row>
    <row r="193" spans="1:8" x14ac:dyDescent="0.3">
      <c r="A193" s="1">
        <v>154</v>
      </c>
      <c r="B193" s="1" t="s">
        <v>14</v>
      </c>
      <c r="C193" s="1" t="s">
        <v>4170</v>
      </c>
      <c r="D193" s="1" t="s">
        <v>4171</v>
      </c>
      <c r="E193" s="1">
        <v>5969.91</v>
      </c>
      <c r="F193" s="1" t="s">
        <v>8</v>
      </c>
      <c r="G193" s="1" t="s">
        <v>9</v>
      </c>
      <c r="H193" s="1" t="s">
        <v>10</v>
      </c>
    </row>
    <row r="194" spans="1:8" x14ac:dyDescent="0.3">
      <c r="A194" s="1">
        <v>154</v>
      </c>
      <c r="B194" s="1" t="s">
        <v>14</v>
      </c>
      <c r="C194" s="1" t="s">
        <v>4172</v>
      </c>
      <c r="D194" s="1" t="s">
        <v>4173</v>
      </c>
      <c r="E194" s="1">
        <v>869.3</v>
      </c>
      <c r="F194" s="1" t="s">
        <v>8</v>
      </c>
      <c r="G194" s="1" t="s">
        <v>9</v>
      </c>
      <c r="H194" s="1" t="s">
        <v>10</v>
      </c>
    </row>
    <row r="195" spans="1:8" x14ac:dyDescent="0.3">
      <c r="A195" s="1">
        <v>154</v>
      </c>
      <c r="B195" s="1" t="s">
        <v>14</v>
      </c>
      <c r="C195" s="1" t="s">
        <v>4174</v>
      </c>
      <c r="D195" s="1" t="s">
        <v>4175</v>
      </c>
      <c r="E195" s="1">
        <v>1587.68</v>
      </c>
      <c r="F195" s="1" t="s">
        <v>8</v>
      </c>
      <c r="G195" s="1" t="s">
        <v>9</v>
      </c>
      <c r="H195" s="1" t="s">
        <v>10</v>
      </c>
    </row>
    <row r="196" spans="1:8" x14ac:dyDescent="0.3">
      <c r="A196" s="1">
        <v>154</v>
      </c>
      <c r="B196" s="1" t="s">
        <v>14</v>
      </c>
      <c r="C196" s="1" t="s">
        <v>4176</v>
      </c>
      <c r="D196" s="1" t="s">
        <v>4177</v>
      </c>
      <c r="E196" s="1">
        <v>714.91</v>
      </c>
      <c r="F196" s="1" t="s">
        <v>8</v>
      </c>
      <c r="G196" s="1" t="s">
        <v>9</v>
      </c>
      <c r="H196" s="1" t="s">
        <v>10</v>
      </c>
    </row>
    <row r="197" spans="1:8" x14ac:dyDescent="0.3">
      <c r="A197" s="1">
        <v>154</v>
      </c>
      <c r="B197" s="1" t="s">
        <v>14</v>
      </c>
      <c r="C197" s="1" t="s">
        <v>4178</v>
      </c>
      <c r="D197" s="1" t="s">
        <v>4179</v>
      </c>
      <c r="E197" s="1">
        <v>3178.92</v>
      </c>
      <c r="F197" s="1" t="s">
        <v>8</v>
      </c>
      <c r="G197" s="1" t="s">
        <v>9</v>
      </c>
      <c r="H197" s="1" t="s">
        <v>10</v>
      </c>
    </row>
    <row r="198" spans="1:8" x14ac:dyDescent="0.3">
      <c r="A198" s="1">
        <v>154</v>
      </c>
      <c r="B198" s="1" t="s">
        <v>14</v>
      </c>
      <c r="C198" s="1" t="s">
        <v>4180</v>
      </c>
      <c r="D198" s="1" t="s">
        <v>4181</v>
      </c>
      <c r="E198" s="1">
        <v>22561.43</v>
      </c>
      <c r="F198" s="1" t="s">
        <v>8</v>
      </c>
      <c r="G198" s="1" t="s">
        <v>9</v>
      </c>
      <c r="H198" s="1" t="s">
        <v>10</v>
      </c>
    </row>
    <row r="199" spans="1:8" x14ac:dyDescent="0.3">
      <c r="A199" s="1">
        <v>154</v>
      </c>
      <c r="B199" s="1" t="s">
        <v>14</v>
      </c>
      <c r="C199" s="1" t="s">
        <v>4182</v>
      </c>
      <c r="D199" s="1" t="s">
        <v>4183</v>
      </c>
      <c r="E199" s="1">
        <v>795.53</v>
      </c>
      <c r="F199" s="1" t="s">
        <v>8</v>
      </c>
      <c r="G199" s="1" t="s">
        <v>9</v>
      </c>
      <c r="H199" s="1" t="s">
        <v>10</v>
      </c>
    </row>
    <row r="200" spans="1:8" x14ac:dyDescent="0.3">
      <c r="A200" s="1">
        <v>154</v>
      </c>
      <c r="B200" s="1" t="s">
        <v>14</v>
      </c>
      <c r="C200" s="1" t="s">
        <v>4184</v>
      </c>
      <c r="D200" s="1" t="s">
        <v>4185</v>
      </c>
      <c r="E200" s="1">
        <v>1784.43</v>
      </c>
      <c r="F200" s="1" t="s">
        <v>8</v>
      </c>
      <c r="G200" s="1" t="s">
        <v>9</v>
      </c>
      <c r="H200" s="1" t="s">
        <v>10</v>
      </c>
    </row>
    <row r="201" spans="1:8" x14ac:dyDescent="0.3">
      <c r="A201" s="1">
        <v>154</v>
      </c>
      <c r="B201" s="1" t="s">
        <v>14</v>
      </c>
      <c r="C201" s="1" t="s">
        <v>4186</v>
      </c>
      <c r="D201" s="1" t="s">
        <v>4187</v>
      </c>
      <c r="E201" s="1">
        <v>1658.97</v>
      </c>
      <c r="F201" s="1" t="s">
        <v>8</v>
      </c>
      <c r="G201" s="1" t="s">
        <v>9</v>
      </c>
      <c r="H201" s="1" t="s">
        <v>10</v>
      </c>
    </row>
    <row r="202" spans="1:8" x14ac:dyDescent="0.3">
      <c r="A202" s="1">
        <v>154</v>
      </c>
      <c r="B202" s="1" t="s">
        <v>14</v>
      </c>
      <c r="C202" s="1" t="s">
        <v>4188</v>
      </c>
      <c r="D202" s="1" t="s">
        <v>4189</v>
      </c>
      <c r="E202" s="1">
        <v>90.17</v>
      </c>
      <c r="F202" s="1" t="s">
        <v>8</v>
      </c>
      <c r="G202" s="1" t="s">
        <v>9</v>
      </c>
      <c r="H202" s="1" t="s">
        <v>10</v>
      </c>
    </row>
    <row r="203" spans="1:8" x14ac:dyDescent="0.3">
      <c r="A203" s="1">
        <v>154</v>
      </c>
      <c r="B203" s="1" t="s">
        <v>14</v>
      </c>
      <c r="C203" s="1" t="s">
        <v>4190</v>
      </c>
      <c r="D203" s="1" t="s">
        <v>4191</v>
      </c>
      <c r="E203" s="1">
        <v>1464.49</v>
      </c>
      <c r="F203" s="1" t="s">
        <v>8</v>
      </c>
      <c r="G203" s="1" t="s">
        <v>9</v>
      </c>
      <c r="H203" s="1" t="s">
        <v>10</v>
      </c>
    </row>
    <row r="204" spans="1:8" x14ac:dyDescent="0.3">
      <c r="A204" s="1">
        <v>154</v>
      </c>
      <c r="B204" s="1" t="s">
        <v>14</v>
      </c>
      <c r="C204" s="1" t="s">
        <v>4192</v>
      </c>
      <c r="D204" s="1" t="s">
        <v>4193</v>
      </c>
      <c r="E204" s="1">
        <v>3179.28</v>
      </c>
      <c r="F204" s="1" t="s">
        <v>8</v>
      </c>
      <c r="G204" s="1" t="s">
        <v>9</v>
      </c>
      <c r="H204" s="1" t="s">
        <v>10</v>
      </c>
    </row>
    <row r="205" spans="1:8" x14ac:dyDescent="0.3">
      <c r="A205" s="1">
        <v>154</v>
      </c>
      <c r="B205" s="1" t="s">
        <v>14</v>
      </c>
      <c r="C205" s="1" t="s">
        <v>4194</v>
      </c>
      <c r="D205" s="1" t="s">
        <v>4195</v>
      </c>
      <c r="E205" s="1">
        <v>15208.25</v>
      </c>
      <c r="F205" s="1" t="s">
        <v>8</v>
      </c>
      <c r="G205" s="1" t="s">
        <v>9</v>
      </c>
      <c r="H205" s="1" t="s">
        <v>10</v>
      </c>
    </row>
    <row r="206" spans="1:8" x14ac:dyDescent="0.3">
      <c r="A206" s="1">
        <v>154</v>
      </c>
      <c r="B206" s="1" t="s">
        <v>14</v>
      </c>
      <c r="C206" s="1" t="s">
        <v>4196</v>
      </c>
      <c r="D206" s="1" t="s">
        <v>4197</v>
      </c>
      <c r="E206" s="1">
        <v>646.04</v>
      </c>
      <c r="F206" s="1" t="s">
        <v>8</v>
      </c>
      <c r="G206" s="1" t="s">
        <v>9</v>
      </c>
      <c r="H206" s="1" t="s">
        <v>10</v>
      </c>
    </row>
    <row r="207" spans="1:8" x14ac:dyDescent="0.3">
      <c r="A207" s="1">
        <v>154</v>
      </c>
      <c r="B207" s="1" t="s">
        <v>14</v>
      </c>
      <c r="C207" s="1" t="s">
        <v>4198</v>
      </c>
      <c r="D207" s="1" t="s">
        <v>4199</v>
      </c>
      <c r="E207" s="1">
        <v>3500</v>
      </c>
      <c r="F207" s="1" t="s">
        <v>8</v>
      </c>
      <c r="G207" s="1" t="s">
        <v>9</v>
      </c>
      <c r="H207" s="1" t="s">
        <v>10</v>
      </c>
    </row>
    <row r="208" spans="1:8" x14ac:dyDescent="0.3">
      <c r="A208" s="1">
        <v>154</v>
      </c>
      <c r="B208" s="1" t="s">
        <v>14</v>
      </c>
      <c r="C208" s="1" t="s">
        <v>4200</v>
      </c>
      <c r="D208" s="1" t="s">
        <v>4201</v>
      </c>
      <c r="E208" s="1">
        <v>759.81</v>
      </c>
      <c r="F208" s="1" t="s">
        <v>8</v>
      </c>
      <c r="G208" s="1" t="s">
        <v>9</v>
      </c>
      <c r="H208" s="1" t="s">
        <v>10</v>
      </c>
    </row>
    <row r="209" spans="1:8" x14ac:dyDescent="0.3">
      <c r="A209" s="1">
        <v>154</v>
      </c>
      <c r="B209" s="1" t="s">
        <v>14</v>
      </c>
      <c r="C209" s="1" t="s">
        <v>4202</v>
      </c>
      <c r="D209" s="1" t="s">
        <v>4203</v>
      </c>
      <c r="E209" s="1">
        <v>4640.8999999999996</v>
      </c>
      <c r="F209" s="1" t="s">
        <v>8</v>
      </c>
      <c r="G209" s="1" t="s">
        <v>9</v>
      </c>
      <c r="H209" s="1" t="s">
        <v>10</v>
      </c>
    </row>
    <row r="210" spans="1:8" x14ac:dyDescent="0.3">
      <c r="A210" s="1">
        <v>154</v>
      </c>
      <c r="B210" s="1" t="s">
        <v>14</v>
      </c>
      <c r="C210" s="1" t="s">
        <v>4204</v>
      </c>
      <c r="D210" s="1" t="s">
        <v>4205</v>
      </c>
      <c r="E210" s="1">
        <v>60.4</v>
      </c>
      <c r="F210" s="1" t="s">
        <v>8</v>
      </c>
      <c r="G210" s="1" t="s">
        <v>9</v>
      </c>
      <c r="H210" s="1" t="s">
        <v>10</v>
      </c>
    </row>
    <row r="211" spans="1:8" x14ac:dyDescent="0.3">
      <c r="A211" s="1">
        <v>154</v>
      </c>
      <c r="B211" s="1" t="s">
        <v>14</v>
      </c>
      <c r="C211" s="1" t="s">
        <v>4206</v>
      </c>
      <c r="D211" s="1" t="s">
        <v>4207</v>
      </c>
      <c r="E211" s="1">
        <v>164.88</v>
      </c>
      <c r="F211" s="1" t="s">
        <v>8</v>
      </c>
      <c r="G211" s="1" t="s">
        <v>9</v>
      </c>
      <c r="H211" s="1" t="s">
        <v>10</v>
      </c>
    </row>
    <row r="212" spans="1:8" x14ac:dyDescent="0.3">
      <c r="A212" s="1">
        <v>154</v>
      </c>
      <c r="B212" s="1" t="s">
        <v>14</v>
      </c>
      <c r="C212" s="1" t="s">
        <v>4208</v>
      </c>
      <c r="D212" s="1" t="s">
        <v>4209</v>
      </c>
      <c r="E212" s="1">
        <v>1420.2</v>
      </c>
      <c r="F212" s="1" t="s">
        <v>8</v>
      </c>
      <c r="G212" s="1" t="s">
        <v>9</v>
      </c>
      <c r="H212" s="1" t="s">
        <v>10</v>
      </c>
    </row>
    <row r="213" spans="1:8" x14ac:dyDescent="0.3">
      <c r="A213" s="1">
        <v>154</v>
      </c>
      <c r="B213" s="1" t="s">
        <v>14</v>
      </c>
      <c r="C213" s="1" t="s">
        <v>4210</v>
      </c>
      <c r="D213" s="1" t="s">
        <v>4211</v>
      </c>
      <c r="E213" s="1">
        <v>1866</v>
      </c>
      <c r="F213" s="1" t="s">
        <v>8</v>
      </c>
      <c r="G213" s="1" t="s">
        <v>9</v>
      </c>
      <c r="H213" s="1" t="s">
        <v>10</v>
      </c>
    </row>
    <row r="214" spans="1:8" x14ac:dyDescent="0.3">
      <c r="A214" s="1">
        <v>154</v>
      </c>
      <c r="B214" s="1" t="s">
        <v>14</v>
      </c>
      <c r="C214" s="1" t="s">
        <v>4212</v>
      </c>
      <c r="D214" s="1" t="s">
        <v>4213</v>
      </c>
      <c r="E214" s="1">
        <v>59.36</v>
      </c>
      <c r="F214" s="1" t="s">
        <v>8</v>
      </c>
      <c r="G214" s="1" t="s">
        <v>9</v>
      </c>
      <c r="H214" s="1" t="s">
        <v>10</v>
      </c>
    </row>
    <row r="215" spans="1:8" x14ac:dyDescent="0.3">
      <c r="A215" s="1">
        <v>154</v>
      </c>
      <c r="B215" s="1" t="s">
        <v>14</v>
      </c>
      <c r="C215" s="1" t="s">
        <v>4214</v>
      </c>
      <c r="D215" s="1" t="s">
        <v>4215</v>
      </c>
      <c r="E215" s="1">
        <v>2176.98</v>
      </c>
      <c r="F215" s="1" t="s">
        <v>8</v>
      </c>
      <c r="G215" s="1" t="s">
        <v>9</v>
      </c>
      <c r="H215" s="1" t="s">
        <v>10</v>
      </c>
    </row>
    <row r="216" spans="1:8" x14ac:dyDescent="0.3">
      <c r="A216" s="1">
        <v>154</v>
      </c>
      <c r="B216" s="1" t="s">
        <v>14</v>
      </c>
      <c r="C216" s="1" t="s">
        <v>4216</v>
      </c>
      <c r="D216" s="1" t="s">
        <v>4217</v>
      </c>
      <c r="E216" s="1">
        <v>936</v>
      </c>
      <c r="F216" s="1" t="s">
        <v>8</v>
      </c>
      <c r="G216" s="1" t="s">
        <v>9</v>
      </c>
      <c r="H216" s="1" t="s">
        <v>10</v>
      </c>
    </row>
    <row r="217" spans="1:8" x14ac:dyDescent="0.3">
      <c r="A217" s="1">
        <v>154</v>
      </c>
      <c r="B217" s="1" t="s">
        <v>14</v>
      </c>
      <c r="C217" s="1" t="s">
        <v>4218</v>
      </c>
      <c r="D217" s="1" t="s">
        <v>4219</v>
      </c>
      <c r="E217" s="1">
        <v>2087.27</v>
      </c>
      <c r="F217" s="1" t="s">
        <v>8</v>
      </c>
      <c r="G217" s="1" t="s">
        <v>9</v>
      </c>
      <c r="H217" s="1" t="s">
        <v>10</v>
      </c>
    </row>
    <row r="218" spans="1:8" x14ac:dyDescent="0.3">
      <c r="A218" s="1">
        <v>154</v>
      </c>
      <c r="B218" s="1" t="s">
        <v>14</v>
      </c>
      <c r="C218" s="1" t="s">
        <v>4220</v>
      </c>
      <c r="D218" s="1" t="s">
        <v>4221</v>
      </c>
      <c r="E218" s="1">
        <v>2616.66</v>
      </c>
      <c r="F218" s="1" t="s">
        <v>8</v>
      </c>
      <c r="G218" s="1" t="s">
        <v>9</v>
      </c>
      <c r="H218" s="1" t="s">
        <v>10</v>
      </c>
    </row>
    <row r="219" spans="1:8" x14ac:dyDescent="0.3">
      <c r="A219" s="1">
        <v>154</v>
      </c>
      <c r="B219" s="1" t="s">
        <v>14</v>
      </c>
      <c r="C219" s="1" t="s">
        <v>4222</v>
      </c>
      <c r="D219" s="1" t="s">
        <v>4223</v>
      </c>
      <c r="E219" s="1">
        <v>4650.6099999999997</v>
      </c>
      <c r="F219" s="1" t="s">
        <v>8</v>
      </c>
      <c r="G219" s="1" t="s">
        <v>9</v>
      </c>
      <c r="H219" s="1" t="s">
        <v>10</v>
      </c>
    </row>
    <row r="220" spans="1:8" x14ac:dyDescent="0.3">
      <c r="A220" s="1">
        <v>154</v>
      </c>
      <c r="B220" s="1" t="s">
        <v>14</v>
      </c>
      <c r="C220" s="1" t="s">
        <v>4224</v>
      </c>
      <c r="D220" s="1" t="s">
        <v>4225</v>
      </c>
      <c r="E220" s="1">
        <v>617.41999999999996</v>
      </c>
      <c r="F220" s="1" t="s">
        <v>8</v>
      </c>
      <c r="G220" s="1" t="s">
        <v>9</v>
      </c>
      <c r="H220" s="1" t="s">
        <v>10</v>
      </c>
    </row>
    <row r="221" spans="1:8" x14ac:dyDescent="0.3">
      <c r="A221" s="1">
        <v>154</v>
      </c>
      <c r="B221" s="1" t="s">
        <v>14</v>
      </c>
      <c r="C221" s="1" t="s">
        <v>4226</v>
      </c>
      <c r="D221" s="1" t="s">
        <v>4227</v>
      </c>
      <c r="E221" s="1">
        <v>1867.2</v>
      </c>
      <c r="F221" s="1" t="s">
        <v>8</v>
      </c>
      <c r="G221" s="1" t="s">
        <v>9</v>
      </c>
      <c r="H221" s="1" t="s">
        <v>10</v>
      </c>
    </row>
    <row r="222" spans="1:8" x14ac:dyDescent="0.3">
      <c r="A222" s="1">
        <v>154</v>
      </c>
      <c r="B222" s="1" t="s">
        <v>14</v>
      </c>
      <c r="C222" s="1" t="s">
        <v>4228</v>
      </c>
      <c r="D222" s="1" t="s">
        <v>4229</v>
      </c>
      <c r="E222" s="1">
        <v>1435.15</v>
      </c>
      <c r="F222" s="1" t="s">
        <v>8</v>
      </c>
      <c r="G222" s="1" t="s">
        <v>9</v>
      </c>
      <c r="H222" s="1" t="s">
        <v>10</v>
      </c>
    </row>
    <row r="223" spans="1:8" x14ac:dyDescent="0.3">
      <c r="A223" s="1">
        <v>154</v>
      </c>
      <c r="B223" s="1" t="s">
        <v>14</v>
      </c>
      <c r="C223" s="1" t="s">
        <v>4230</v>
      </c>
      <c r="D223" s="1" t="s">
        <v>4231</v>
      </c>
      <c r="E223" s="1">
        <v>1253.8800000000001</v>
      </c>
      <c r="F223" s="1" t="s">
        <v>8</v>
      </c>
      <c r="G223" s="1" t="s">
        <v>9</v>
      </c>
      <c r="H223" s="1" t="s">
        <v>10</v>
      </c>
    </row>
    <row r="224" spans="1:8" x14ac:dyDescent="0.3">
      <c r="A224" s="1">
        <v>154</v>
      </c>
      <c r="B224" s="1" t="s">
        <v>14</v>
      </c>
      <c r="C224" s="1" t="s">
        <v>4232</v>
      </c>
      <c r="D224" s="1" t="s">
        <v>4233</v>
      </c>
      <c r="E224" s="1">
        <v>1159.92</v>
      </c>
      <c r="F224" s="1" t="s">
        <v>8</v>
      </c>
      <c r="G224" s="1" t="s">
        <v>9</v>
      </c>
      <c r="H224" s="1" t="s">
        <v>10</v>
      </c>
    </row>
    <row r="225" spans="1:8" x14ac:dyDescent="0.3">
      <c r="A225" s="1">
        <v>154</v>
      </c>
      <c r="B225" s="1" t="s">
        <v>14</v>
      </c>
      <c r="C225" s="1" t="s">
        <v>4234</v>
      </c>
      <c r="D225" s="1" t="s">
        <v>4235</v>
      </c>
      <c r="E225" s="1">
        <v>2980.79</v>
      </c>
      <c r="F225" s="1" t="s">
        <v>8</v>
      </c>
      <c r="G225" s="1" t="s">
        <v>9</v>
      </c>
      <c r="H225" s="1" t="s">
        <v>10</v>
      </c>
    </row>
    <row r="226" spans="1:8" x14ac:dyDescent="0.3">
      <c r="A226" s="1">
        <v>154</v>
      </c>
      <c r="B226" s="1" t="s">
        <v>14</v>
      </c>
      <c r="C226" s="1" t="s">
        <v>4236</v>
      </c>
      <c r="D226" s="1" t="s">
        <v>4237</v>
      </c>
      <c r="E226" s="1">
        <v>1902.01</v>
      </c>
      <c r="F226" s="1" t="s">
        <v>8</v>
      </c>
      <c r="G226" s="1" t="s">
        <v>9</v>
      </c>
      <c r="H226" s="1" t="s">
        <v>10</v>
      </c>
    </row>
    <row r="227" spans="1:8" x14ac:dyDescent="0.3">
      <c r="A227" s="1">
        <v>154</v>
      </c>
      <c r="B227" s="1" t="s">
        <v>14</v>
      </c>
      <c r="C227" s="1" t="s">
        <v>4238</v>
      </c>
      <c r="D227" s="1" t="s">
        <v>4239</v>
      </c>
      <c r="E227" s="1">
        <v>4451.63</v>
      </c>
      <c r="F227" s="1" t="s">
        <v>8</v>
      </c>
      <c r="G227" s="1" t="s">
        <v>9</v>
      </c>
      <c r="H227" s="1" t="s">
        <v>10</v>
      </c>
    </row>
    <row r="228" spans="1:8" x14ac:dyDescent="0.3">
      <c r="A228" s="1">
        <v>154</v>
      </c>
      <c r="B228" s="1" t="s">
        <v>14</v>
      </c>
      <c r="C228" s="1" t="s">
        <v>4240</v>
      </c>
      <c r="D228" s="1" t="s">
        <v>4241</v>
      </c>
      <c r="E228" s="1">
        <v>3621.22</v>
      </c>
      <c r="F228" s="1" t="s">
        <v>8</v>
      </c>
      <c r="G228" s="1" t="s">
        <v>9</v>
      </c>
      <c r="H228" s="1" t="s">
        <v>10</v>
      </c>
    </row>
    <row r="229" spans="1:8" x14ac:dyDescent="0.3">
      <c r="A229" s="1">
        <v>154</v>
      </c>
      <c r="B229" s="1" t="s">
        <v>14</v>
      </c>
      <c r="C229" s="1" t="s">
        <v>4242</v>
      </c>
      <c r="D229" s="1" t="s">
        <v>4243</v>
      </c>
      <c r="E229" s="1">
        <v>2014.22</v>
      </c>
      <c r="F229" s="1" t="s">
        <v>8</v>
      </c>
      <c r="G229" s="1" t="s">
        <v>9</v>
      </c>
      <c r="H229" s="1" t="s">
        <v>10</v>
      </c>
    </row>
    <row r="230" spans="1:8" x14ac:dyDescent="0.3">
      <c r="A230" s="1">
        <v>154</v>
      </c>
      <c r="B230" s="1" t="s">
        <v>14</v>
      </c>
      <c r="C230" s="1" t="s">
        <v>4244</v>
      </c>
      <c r="D230" s="1" t="s">
        <v>4245</v>
      </c>
      <c r="E230" s="1">
        <v>1718.5</v>
      </c>
      <c r="F230" s="1" t="s">
        <v>8</v>
      </c>
      <c r="G230" s="1" t="s">
        <v>9</v>
      </c>
      <c r="H230" s="1" t="s">
        <v>10</v>
      </c>
    </row>
    <row r="231" spans="1:8" x14ac:dyDescent="0.3">
      <c r="A231" s="1">
        <v>154</v>
      </c>
      <c r="B231" s="1" t="s">
        <v>14</v>
      </c>
      <c r="C231" s="1" t="s">
        <v>4246</v>
      </c>
      <c r="D231" s="1" t="s">
        <v>4247</v>
      </c>
      <c r="E231" s="1">
        <v>3177.87</v>
      </c>
      <c r="F231" s="1" t="s">
        <v>8</v>
      </c>
      <c r="G231" s="1" t="s">
        <v>9</v>
      </c>
      <c r="H231" s="1" t="s">
        <v>10</v>
      </c>
    </row>
    <row r="232" spans="1:8" x14ac:dyDescent="0.3">
      <c r="A232" s="1">
        <v>154</v>
      </c>
      <c r="B232" s="1" t="s">
        <v>14</v>
      </c>
      <c r="C232" s="1" t="s">
        <v>4248</v>
      </c>
      <c r="D232" s="1" t="s">
        <v>4249</v>
      </c>
      <c r="E232" s="1">
        <v>1344.32</v>
      </c>
      <c r="F232" s="1" t="s">
        <v>8</v>
      </c>
      <c r="G232" s="1" t="s">
        <v>9</v>
      </c>
      <c r="H232" s="1" t="s">
        <v>10</v>
      </c>
    </row>
    <row r="233" spans="1:8" x14ac:dyDescent="0.3">
      <c r="A233" s="1">
        <v>154</v>
      </c>
      <c r="B233" s="1" t="s">
        <v>14</v>
      </c>
      <c r="C233" s="1" t="s">
        <v>4250</v>
      </c>
      <c r="D233" s="1" t="s">
        <v>4251</v>
      </c>
      <c r="E233" s="1">
        <v>4433.4799999999996</v>
      </c>
      <c r="F233" s="1" t="s">
        <v>8</v>
      </c>
      <c r="G233" s="1" t="s">
        <v>9</v>
      </c>
      <c r="H233" s="1" t="s">
        <v>10</v>
      </c>
    </row>
    <row r="234" spans="1:8" x14ac:dyDescent="0.3">
      <c r="A234" s="1">
        <v>154</v>
      </c>
      <c r="B234" s="1" t="s">
        <v>14</v>
      </c>
      <c r="C234" s="1" t="s">
        <v>4252</v>
      </c>
      <c r="D234" s="1" t="s">
        <v>4253</v>
      </c>
      <c r="E234" s="1">
        <v>31.83</v>
      </c>
      <c r="F234" s="1" t="s">
        <v>8</v>
      </c>
      <c r="G234" s="1" t="s">
        <v>9</v>
      </c>
      <c r="H234" s="1" t="s">
        <v>10</v>
      </c>
    </row>
    <row r="235" spans="1:8" x14ac:dyDescent="0.3">
      <c r="A235" s="1">
        <v>154</v>
      </c>
      <c r="B235" s="1" t="s">
        <v>14</v>
      </c>
      <c r="C235" s="1" t="s">
        <v>4254</v>
      </c>
      <c r="D235" s="1" t="s">
        <v>4255</v>
      </c>
      <c r="E235" s="1">
        <v>300</v>
      </c>
      <c r="F235" s="1" t="s">
        <v>8</v>
      </c>
      <c r="G235" s="1" t="s">
        <v>9</v>
      </c>
      <c r="H235" s="1" t="s">
        <v>10</v>
      </c>
    </row>
    <row r="236" spans="1:8" x14ac:dyDescent="0.3">
      <c r="A236" s="1">
        <v>154</v>
      </c>
      <c r="B236" s="1" t="s">
        <v>14</v>
      </c>
      <c r="C236" s="1" t="s">
        <v>4256</v>
      </c>
      <c r="D236" s="1" t="s">
        <v>4257</v>
      </c>
      <c r="E236" s="1">
        <v>968.5</v>
      </c>
      <c r="F236" s="1" t="s">
        <v>8</v>
      </c>
      <c r="G236" s="1" t="s">
        <v>9</v>
      </c>
      <c r="H236" s="1" t="s">
        <v>10</v>
      </c>
    </row>
    <row r="237" spans="1:8" x14ac:dyDescent="0.3">
      <c r="A237" s="1">
        <v>154</v>
      </c>
      <c r="B237" s="1" t="s">
        <v>14</v>
      </c>
      <c r="C237" s="1" t="s">
        <v>4258</v>
      </c>
      <c r="D237" s="1" t="s">
        <v>4259</v>
      </c>
      <c r="E237" s="1">
        <v>386.12</v>
      </c>
      <c r="F237" s="1" t="s">
        <v>8</v>
      </c>
      <c r="G237" s="1" t="s">
        <v>9</v>
      </c>
      <c r="H237" s="1" t="s">
        <v>10</v>
      </c>
    </row>
    <row r="238" spans="1:8" x14ac:dyDescent="0.3">
      <c r="A238" s="1">
        <v>154</v>
      </c>
      <c r="B238" s="1" t="s">
        <v>14</v>
      </c>
      <c r="C238" s="1" t="s">
        <v>4260</v>
      </c>
      <c r="D238" s="1" t="s">
        <v>4261</v>
      </c>
      <c r="E238" s="1">
        <v>1154.8</v>
      </c>
      <c r="F238" s="1" t="s">
        <v>8</v>
      </c>
      <c r="G238" s="1" t="s">
        <v>9</v>
      </c>
      <c r="H238" s="1" t="s">
        <v>10</v>
      </c>
    </row>
    <row r="239" spans="1:8" x14ac:dyDescent="0.3">
      <c r="A239" s="1">
        <v>154</v>
      </c>
      <c r="B239" s="1" t="s">
        <v>14</v>
      </c>
      <c r="C239" s="1" t="s">
        <v>4262</v>
      </c>
      <c r="D239" s="1" t="s">
        <v>4263</v>
      </c>
      <c r="E239" s="1">
        <v>24.8</v>
      </c>
      <c r="F239" s="1" t="s">
        <v>8</v>
      </c>
      <c r="G239" s="1" t="s">
        <v>9</v>
      </c>
      <c r="H239" s="1" t="s">
        <v>10</v>
      </c>
    </row>
    <row r="240" spans="1:8" x14ac:dyDescent="0.3">
      <c r="A240" s="1">
        <v>154</v>
      </c>
      <c r="B240" s="1" t="s">
        <v>14</v>
      </c>
      <c r="C240" s="1" t="s">
        <v>4264</v>
      </c>
      <c r="D240" s="1" t="s">
        <v>4265</v>
      </c>
      <c r="E240" s="1">
        <v>9511.3700000000008</v>
      </c>
      <c r="F240" s="1" t="s">
        <v>8</v>
      </c>
      <c r="G240" s="1" t="s">
        <v>9</v>
      </c>
      <c r="H240" s="1" t="s">
        <v>10</v>
      </c>
    </row>
    <row r="241" spans="1:8" x14ac:dyDescent="0.3">
      <c r="A241" s="1">
        <v>154</v>
      </c>
      <c r="B241" s="1" t="s">
        <v>14</v>
      </c>
      <c r="C241" s="1" t="s">
        <v>4266</v>
      </c>
      <c r="D241" s="1" t="s">
        <v>4267</v>
      </c>
      <c r="E241" s="1">
        <v>1210.9000000000001</v>
      </c>
      <c r="F241" s="1" t="s">
        <v>8</v>
      </c>
      <c r="G241" s="1" t="s">
        <v>9</v>
      </c>
      <c r="H241" s="1" t="s">
        <v>10</v>
      </c>
    </row>
    <row r="242" spans="1:8" x14ac:dyDescent="0.3">
      <c r="A242" s="1">
        <v>154</v>
      </c>
      <c r="B242" s="1" t="s">
        <v>14</v>
      </c>
      <c r="C242" s="1" t="s">
        <v>4268</v>
      </c>
      <c r="D242" s="1" t="s">
        <v>4269</v>
      </c>
      <c r="E242" s="1">
        <v>5928.8</v>
      </c>
      <c r="F242" s="1" t="s">
        <v>8</v>
      </c>
      <c r="G242" s="1" t="s">
        <v>9</v>
      </c>
      <c r="H242" s="1" t="s">
        <v>10</v>
      </c>
    </row>
    <row r="243" spans="1:8" x14ac:dyDescent="0.3">
      <c r="A243" s="1">
        <v>154</v>
      </c>
      <c r="B243" s="1" t="s">
        <v>14</v>
      </c>
      <c r="C243" s="1" t="s">
        <v>4270</v>
      </c>
      <c r="D243" s="1" t="s">
        <v>4271</v>
      </c>
      <c r="E243" s="1">
        <v>847.59</v>
      </c>
      <c r="F243" s="1" t="s">
        <v>8</v>
      </c>
      <c r="G243" s="1" t="s">
        <v>9</v>
      </c>
      <c r="H243" s="1" t="s">
        <v>10</v>
      </c>
    </row>
    <row r="244" spans="1:8" x14ac:dyDescent="0.3">
      <c r="A244" s="1">
        <v>154</v>
      </c>
      <c r="B244" s="1" t="s">
        <v>14</v>
      </c>
      <c r="C244" s="1" t="s">
        <v>4272</v>
      </c>
      <c r="D244" s="1" t="s">
        <v>4273</v>
      </c>
      <c r="E244" s="1">
        <v>3182</v>
      </c>
      <c r="F244" s="1" t="s">
        <v>8</v>
      </c>
      <c r="G244" s="1" t="s">
        <v>9</v>
      </c>
      <c r="H244" s="1" t="s">
        <v>10</v>
      </c>
    </row>
    <row r="245" spans="1:8" x14ac:dyDescent="0.3">
      <c r="A245" s="1">
        <v>154</v>
      </c>
      <c r="B245" s="1" t="s">
        <v>14</v>
      </c>
      <c r="C245" s="1" t="s">
        <v>4274</v>
      </c>
      <c r="D245" s="1" t="s">
        <v>4275</v>
      </c>
      <c r="E245" s="1">
        <v>245.8</v>
      </c>
      <c r="F245" s="1" t="s">
        <v>8</v>
      </c>
      <c r="G245" s="1" t="s">
        <v>9</v>
      </c>
      <c r="H245" s="1" t="s">
        <v>10</v>
      </c>
    </row>
    <row r="246" spans="1:8" x14ac:dyDescent="0.3">
      <c r="A246" s="1">
        <v>154</v>
      </c>
      <c r="B246" s="1" t="s">
        <v>14</v>
      </c>
      <c r="C246" s="1" t="s">
        <v>4276</v>
      </c>
      <c r="D246" s="1" t="s">
        <v>4277</v>
      </c>
      <c r="E246" s="1">
        <v>3742.06</v>
      </c>
      <c r="F246" s="1" t="s">
        <v>8</v>
      </c>
      <c r="G246" s="1" t="s">
        <v>9</v>
      </c>
      <c r="H246" s="1" t="s">
        <v>10</v>
      </c>
    </row>
    <row r="247" spans="1:8" x14ac:dyDescent="0.3">
      <c r="A247" s="1">
        <v>154</v>
      </c>
      <c r="B247" s="1" t="s">
        <v>14</v>
      </c>
      <c r="C247" s="1" t="s">
        <v>4278</v>
      </c>
      <c r="D247" s="1" t="s">
        <v>4279</v>
      </c>
      <c r="E247" s="1">
        <v>372.5</v>
      </c>
      <c r="F247" s="1" t="s">
        <v>8</v>
      </c>
      <c r="G247" s="1" t="s">
        <v>9</v>
      </c>
      <c r="H247" s="1" t="s">
        <v>10</v>
      </c>
    </row>
    <row r="248" spans="1:8" x14ac:dyDescent="0.3">
      <c r="A248" s="1">
        <v>154</v>
      </c>
      <c r="B248" s="1" t="s">
        <v>14</v>
      </c>
      <c r="C248" s="1" t="s">
        <v>4280</v>
      </c>
      <c r="D248" s="1" t="s">
        <v>4281</v>
      </c>
      <c r="E248" s="1">
        <v>2451</v>
      </c>
      <c r="F248" s="1" t="s">
        <v>8</v>
      </c>
      <c r="G248" s="1" t="s">
        <v>9</v>
      </c>
      <c r="H248" s="1" t="s">
        <v>10</v>
      </c>
    </row>
    <row r="249" spans="1:8" x14ac:dyDescent="0.3">
      <c r="A249" s="1">
        <v>154</v>
      </c>
      <c r="B249" s="1" t="s">
        <v>14</v>
      </c>
      <c r="C249" s="1" t="s">
        <v>4282</v>
      </c>
      <c r="D249" s="1" t="s">
        <v>4283</v>
      </c>
      <c r="E249" s="1">
        <v>3588.63</v>
      </c>
      <c r="F249" s="1" t="s">
        <v>8</v>
      </c>
      <c r="G249" s="1" t="s">
        <v>9</v>
      </c>
      <c r="H249" s="1" t="s">
        <v>10</v>
      </c>
    </row>
    <row r="250" spans="1:8" x14ac:dyDescent="0.3">
      <c r="A250" s="1">
        <v>154</v>
      </c>
      <c r="B250" s="1" t="s">
        <v>14</v>
      </c>
      <c r="C250" s="1" t="s">
        <v>4284</v>
      </c>
      <c r="D250" s="1" t="s">
        <v>4285</v>
      </c>
      <c r="E250" s="1">
        <v>15567.49</v>
      </c>
      <c r="F250" s="1" t="s">
        <v>8</v>
      </c>
      <c r="G250" s="1" t="s">
        <v>9</v>
      </c>
      <c r="H250" s="1" t="s">
        <v>10</v>
      </c>
    </row>
    <row r="251" spans="1:8" x14ac:dyDescent="0.3">
      <c r="A251" s="1">
        <v>154</v>
      </c>
      <c r="B251" s="1" t="s">
        <v>14</v>
      </c>
      <c r="C251" s="1" t="s">
        <v>4286</v>
      </c>
      <c r="D251" s="1" t="s">
        <v>4287</v>
      </c>
      <c r="E251" s="1">
        <v>2527.02</v>
      </c>
      <c r="F251" s="1" t="s">
        <v>8</v>
      </c>
      <c r="G251" s="1" t="s">
        <v>9</v>
      </c>
      <c r="H251" s="1" t="s">
        <v>10</v>
      </c>
    </row>
    <row r="252" spans="1:8" x14ac:dyDescent="0.3">
      <c r="A252" s="1">
        <v>154</v>
      </c>
      <c r="B252" s="1" t="s">
        <v>14</v>
      </c>
      <c r="C252" s="1" t="s">
        <v>4288</v>
      </c>
      <c r="D252" s="1" t="s">
        <v>4289</v>
      </c>
      <c r="E252" s="1">
        <v>4367.04</v>
      </c>
      <c r="F252" s="1" t="s">
        <v>8</v>
      </c>
      <c r="G252" s="1" t="s">
        <v>9</v>
      </c>
      <c r="H252" s="1" t="s">
        <v>10</v>
      </c>
    </row>
    <row r="253" spans="1:8" x14ac:dyDescent="0.3">
      <c r="A253" s="1">
        <v>154</v>
      </c>
      <c r="B253" s="1" t="s">
        <v>14</v>
      </c>
      <c r="C253" s="1" t="s">
        <v>4290</v>
      </c>
      <c r="D253" s="1" t="s">
        <v>4291</v>
      </c>
      <c r="E253" s="1">
        <v>3272.8</v>
      </c>
      <c r="F253" s="1" t="s">
        <v>8</v>
      </c>
      <c r="G253" s="1" t="s">
        <v>9</v>
      </c>
      <c r="H253" s="1" t="s">
        <v>10</v>
      </c>
    </row>
    <row r="254" spans="1:8" x14ac:dyDescent="0.3">
      <c r="A254" s="1">
        <v>154</v>
      </c>
      <c r="B254" s="1" t="s">
        <v>14</v>
      </c>
      <c r="C254" s="1" t="s">
        <v>4292</v>
      </c>
      <c r="D254" s="1" t="s">
        <v>4293</v>
      </c>
      <c r="E254" s="1">
        <v>4201.7299999999996</v>
      </c>
      <c r="F254" s="1" t="s">
        <v>8</v>
      </c>
      <c r="G254" s="1" t="s">
        <v>9</v>
      </c>
      <c r="H254" s="1" t="s">
        <v>10</v>
      </c>
    </row>
    <row r="255" spans="1:8" x14ac:dyDescent="0.3">
      <c r="A255" s="1">
        <v>154</v>
      </c>
      <c r="B255" s="1" t="s">
        <v>14</v>
      </c>
      <c r="C255" s="1" t="s">
        <v>4294</v>
      </c>
      <c r="D255" s="1" t="s">
        <v>4295</v>
      </c>
      <c r="E255" s="1">
        <v>3872.39</v>
      </c>
      <c r="F255" s="1" t="s">
        <v>8</v>
      </c>
      <c r="G255" s="1" t="s">
        <v>9</v>
      </c>
      <c r="H255" s="1" t="s">
        <v>10</v>
      </c>
    </row>
    <row r="256" spans="1:8" x14ac:dyDescent="0.3">
      <c r="A256" s="1">
        <v>154</v>
      </c>
      <c r="B256" s="1" t="s">
        <v>14</v>
      </c>
      <c r="C256" s="1" t="s">
        <v>4296</v>
      </c>
      <c r="D256" s="1" t="s">
        <v>4297</v>
      </c>
      <c r="E256" s="1">
        <v>3057.41</v>
      </c>
      <c r="F256" s="1" t="s">
        <v>8</v>
      </c>
      <c r="G256" s="1" t="s">
        <v>9</v>
      </c>
      <c r="H256" s="1" t="s">
        <v>10</v>
      </c>
    </row>
    <row r="257" spans="1:8" x14ac:dyDescent="0.3">
      <c r="A257" s="1">
        <v>154</v>
      </c>
      <c r="B257" s="1" t="s">
        <v>14</v>
      </c>
      <c r="C257" s="1" t="s">
        <v>4298</v>
      </c>
      <c r="D257" s="1" t="s">
        <v>4299</v>
      </c>
      <c r="E257" s="1">
        <v>3586.86</v>
      </c>
      <c r="F257" s="1" t="s">
        <v>8</v>
      </c>
      <c r="G257" s="1" t="s">
        <v>9</v>
      </c>
      <c r="H257" s="1" t="s">
        <v>10</v>
      </c>
    </row>
    <row r="258" spans="1:8" x14ac:dyDescent="0.3">
      <c r="A258" s="1">
        <v>154</v>
      </c>
      <c r="B258" s="1" t="s">
        <v>14</v>
      </c>
      <c r="C258" s="1" t="s">
        <v>4300</v>
      </c>
      <c r="D258" s="1" t="s">
        <v>4301</v>
      </c>
      <c r="E258" s="1">
        <v>2236.6</v>
      </c>
      <c r="F258" s="1" t="s">
        <v>8</v>
      </c>
      <c r="G258" s="1" t="s">
        <v>9</v>
      </c>
      <c r="H258" s="1" t="s">
        <v>10</v>
      </c>
    </row>
    <row r="259" spans="1:8" x14ac:dyDescent="0.3">
      <c r="A259" s="1">
        <v>154</v>
      </c>
      <c r="B259" s="1" t="s">
        <v>14</v>
      </c>
      <c r="C259" s="1" t="s">
        <v>4302</v>
      </c>
      <c r="D259" s="1" t="s">
        <v>4303</v>
      </c>
      <c r="E259" s="1">
        <v>4189.78</v>
      </c>
      <c r="F259" s="1" t="s">
        <v>8</v>
      </c>
      <c r="G259" s="1" t="s">
        <v>9</v>
      </c>
      <c r="H259" s="1" t="s">
        <v>10</v>
      </c>
    </row>
    <row r="260" spans="1:8" x14ac:dyDescent="0.3">
      <c r="A260" s="1">
        <v>154</v>
      </c>
      <c r="B260" s="1" t="s">
        <v>14</v>
      </c>
      <c r="C260" s="1" t="s">
        <v>4304</v>
      </c>
      <c r="D260" s="1" t="s">
        <v>4305</v>
      </c>
      <c r="E260" s="1">
        <v>27.83</v>
      </c>
      <c r="F260" s="1" t="s">
        <v>8</v>
      </c>
      <c r="G260" s="1" t="s">
        <v>9</v>
      </c>
      <c r="H260" s="1" t="s">
        <v>10</v>
      </c>
    </row>
    <row r="261" spans="1:8" x14ac:dyDescent="0.3">
      <c r="A261" s="1">
        <v>154</v>
      </c>
      <c r="B261" s="1" t="s">
        <v>14</v>
      </c>
      <c r="C261" s="1" t="s">
        <v>4306</v>
      </c>
      <c r="D261" s="1" t="s">
        <v>4307</v>
      </c>
      <c r="E261" s="1">
        <v>1306.3</v>
      </c>
      <c r="F261" s="1" t="s">
        <v>8</v>
      </c>
      <c r="G261" s="1" t="s">
        <v>9</v>
      </c>
      <c r="H261" s="1" t="s">
        <v>10</v>
      </c>
    </row>
    <row r="262" spans="1:8" x14ac:dyDescent="0.3">
      <c r="A262" s="1">
        <v>154</v>
      </c>
      <c r="B262" s="1" t="s">
        <v>14</v>
      </c>
      <c r="C262" s="1" t="s">
        <v>4308</v>
      </c>
      <c r="D262" s="1" t="s">
        <v>4309</v>
      </c>
      <c r="E262" s="1">
        <v>156</v>
      </c>
      <c r="F262" s="1" t="s">
        <v>8</v>
      </c>
      <c r="G262" s="1" t="s">
        <v>9</v>
      </c>
      <c r="H262" s="1" t="s">
        <v>10</v>
      </c>
    </row>
    <row r="263" spans="1:8" x14ac:dyDescent="0.3">
      <c r="A263" s="1">
        <v>154</v>
      </c>
      <c r="B263" s="1" t="s">
        <v>14</v>
      </c>
      <c r="C263" s="1" t="s">
        <v>4310</v>
      </c>
      <c r="D263" s="1" t="s">
        <v>4311</v>
      </c>
      <c r="E263" s="1">
        <v>1504.8</v>
      </c>
      <c r="F263" s="1" t="s">
        <v>8</v>
      </c>
      <c r="G263" s="1" t="s">
        <v>9</v>
      </c>
      <c r="H263" s="1" t="s">
        <v>10</v>
      </c>
    </row>
    <row r="264" spans="1:8" x14ac:dyDescent="0.3">
      <c r="A264" s="1">
        <v>154</v>
      </c>
      <c r="B264" s="1" t="s">
        <v>14</v>
      </c>
      <c r="C264" s="1" t="s">
        <v>4312</v>
      </c>
      <c r="D264" s="1" t="s">
        <v>4313</v>
      </c>
      <c r="E264" s="1">
        <v>1843.6</v>
      </c>
      <c r="F264" s="1" t="s">
        <v>8</v>
      </c>
      <c r="G264" s="1" t="s">
        <v>9</v>
      </c>
      <c r="H264" s="1" t="s">
        <v>10</v>
      </c>
    </row>
    <row r="265" spans="1:8" x14ac:dyDescent="0.3">
      <c r="A265" s="1">
        <v>154</v>
      </c>
      <c r="B265" s="1" t="s">
        <v>14</v>
      </c>
      <c r="C265" s="1" t="s">
        <v>4314</v>
      </c>
      <c r="D265" s="1" t="s">
        <v>4315</v>
      </c>
      <c r="E265" s="1">
        <v>14.9</v>
      </c>
      <c r="F265" s="1" t="s">
        <v>8</v>
      </c>
      <c r="G265" s="1" t="s">
        <v>9</v>
      </c>
      <c r="H265" s="1" t="s">
        <v>10</v>
      </c>
    </row>
    <row r="266" spans="1:8" x14ac:dyDescent="0.3">
      <c r="A266" s="1">
        <v>154</v>
      </c>
      <c r="B266" s="1" t="s">
        <v>14</v>
      </c>
      <c r="C266" s="1" t="s">
        <v>1484</v>
      </c>
      <c r="D266" s="1" t="s">
        <v>4316</v>
      </c>
      <c r="E266" s="1">
        <v>376.92</v>
      </c>
      <c r="F266" s="1" t="s">
        <v>8</v>
      </c>
      <c r="G266" s="1" t="s">
        <v>9</v>
      </c>
      <c r="H266" s="1" t="s">
        <v>10</v>
      </c>
    </row>
    <row r="267" spans="1:8" x14ac:dyDescent="0.3">
      <c r="A267" s="1">
        <v>154</v>
      </c>
      <c r="B267" s="1" t="s">
        <v>14</v>
      </c>
      <c r="C267" s="1" t="s">
        <v>4317</v>
      </c>
      <c r="D267" s="1" t="s">
        <v>4318</v>
      </c>
      <c r="E267" s="1">
        <v>60</v>
      </c>
      <c r="F267" s="1" t="s">
        <v>8</v>
      </c>
      <c r="G267" s="1" t="s">
        <v>9</v>
      </c>
      <c r="H267" s="1" t="s">
        <v>10</v>
      </c>
    </row>
    <row r="268" spans="1:8" x14ac:dyDescent="0.3">
      <c r="A268" s="1">
        <v>154</v>
      </c>
      <c r="B268" s="1" t="s">
        <v>14</v>
      </c>
      <c r="C268" s="1" t="s">
        <v>4319</v>
      </c>
      <c r="D268" s="1" t="s">
        <v>4320</v>
      </c>
      <c r="E268" s="1">
        <v>3447.45</v>
      </c>
      <c r="F268" s="1" t="s">
        <v>8</v>
      </c>
      <c r="G268" s="1" t="s">
        <v>9</v>
      </c>
      <c r="H268" s="1" t="s">
        <v>10</v>
      </c>
    </row>
    <row r="269" spans="1:8" x14ac:dyDescent="0.3">
      <c r="A269" s="1">
        <v>154</v>
      </c>
      <c r="B269" s="1" t="s">
        <v>14</v>
      </c>
      <c r="C269" s="1" t="s">
        <v>4321</v>
      </c>
      <c r="D269" s="1" t="s">
        <v>4322</v>
      </c>
      <c r="E269" s="1">
        <v>1560</v>
      </c>
      <c r="F269" s="1" t="s">
        <v>8</v>
      </c>
      <c r="G269" s="1" t="s">
        <v>9</v>
      </c>
      <c r="H269" s="1" t="s">
        <v>10</v>
      </c>
    </row>
    <row r="270" spans="1:8" x14ac:dyDescent="0.3">
      <c r="A270" s="1">
        <v>154</v>
      </c>
      <c r="B270" s="1" t="s">
        <v>14</v>
      </c>
      <c r="C270" s="1" t="s">
        <v>4323</v>
      </c>
      <c r="D270" s="1" t="s">
        <v>4324</v>
      </c>
      <c r="E270" s="1">
        <v>1668.66</v>
      </c>
      <c r="F270" s="1" t="s">
        <v>8</v>
      </c>
      <c r="G270" s="1" t="s">
        <v>9</v>
      </c>
      <c r="H270" s="1" t="s">
        <v>10</v>
      </c>
    </row>
    <row r="271" spans="1:8" x14ac:dyDescent="0.3">
      <c r="A271" s="1">
        <v>154</v>
      </c>
      <c r="B271" s="1" t="s">
        <v>14</v>
      </c>
      <c r="C271" s="1" t="s">
        <v>4325</v>
      </c>
      <c r="D271" s="1" t="s">
        <v>4326</v>
      </c>
      <c r="E271" s="1">
        <v>277.62</v>
      </c>
      <c r="F271" s="1" t="s">
        <v>8</v>
      </c>
      <c r="G271" s="1" t="s">
        <v>9</v>
      </c>
      <c r="H271" s="1" t="s">
        <v>10</v>
      </c>
    </row>
    <row r="272" spans="1:8" x14ac:dyDescent="0.3">
      <c r="A272" s="1">
        <v>154</v>
      </c>
      <c r="B272" s="1" t="s">
        <v>14</v>
      </c>
      <c r="C272" s="1" t="s">
        <v>4327</v>
      </c>
      <c r="D272" s="1" t="s">
        <v>4328</v>
      </c>
      <c r="E272" s="1">
        <v>2010.2</v>
      </c>
      <c r="F272" s="1" t="s">
        <v>8</v>
      </c>
      <c r="G272" s="1" t="s">
        <v>9</v>
      </c>
      <c r="H272" s="1" t="s">
        <v>10</v>
      </c>
    </row>
    <row r="273" spans="1:8" x14ac:dyDescent="0.3">
      <c r="A273" s="1">
        <v>154</v>
      </c>
      <c r="B273" s="1" t="s">
        <v>14</v>
      </c>
      <c r="C273" s="1" t="s">
        <v>4329</v>
      </c>
      <c r="D273" s="1" t="s">
        <v>4330</v>
      </c>
      <c r="E273" s="1">
        <v>2700</v>
      </c>
      <c r="F273" s="1" t="s">
        <v>8</v>
      </c>
      <c r="G273" s="1" t="s">
        <v>9</v>
      </c>
      <c r="H273" s="1" t="s">
        <v>10</v>
      </c>
    </row>
    <row r="274" spans="1:8" x14ac:dyDescent="0.3">
      <c r="A274" s="1">
        <v>154</v>
      </c>
      <c r="B274" s="1" t="s">
        <v>14</v>
      </c>
      <c r="C274" s="1" t="s">
        <v>1605</v>
      </c>
      <c r="D274" s="1" t="s">
        <v>4331</v>
      </c>
      <c r="E274" s="1">
        <v>446</v>
      </c>
      <c r="F274" s="1" t="s">
        <v>8</v>
      </c>
      <c r="G274" s="1" t="s">
        <v>9</v>
      </c>
      <c r="H274" s="1" t="s">
        <v>10</v>
      </c>
    </row>
    <row r="275" spans="1:8" x14ac:dyDescent="0.3">
      <c r="A275" s="1">
        <v>154</v>
      </c>
      <c r="B275" s="1" t="s">
        <v>14</v>
      </c>
      <c r="C275" s="1" t="s">
        <v>4332</v>
      </c>
      <c r="D275" s="1" t="s">
        <v>4333</v>
      </c>
      <c r="E275" s="1">
        <v>126.58</v>
      </c>
      <c r="F275" s="1" t="s">
        <v>8</v>
      </c>
      <c r="G275" s="1" t="s">
        <v>9</v>
      </c>
      <c r="H275" s="1" t="s">
        <v>10</v>
      </c>
    </row>
    <row r="276" spans="1:8" x14ac:dyDescent="0.3">
      <c r="A276" s="1">
        <v>154</v>
      </c>
      <c r="B276" s="1" t="s">
        <v>14</v>
      </c>
      <c r="C276" s="1" t="s">
        <v>4334</v>
      </c>
      <c r="D276" s="1" t="s">
        <v>4335</v>
      </c>
      <c r="E276" s="1">
        <v>871.3</v>
      </c>
      <c r="F276" s="1" t="s">
        <v>8</v>
      </c>
      <c r="G276" s="1" t="s">
        <v>9</v>
      </c>
      <c r="H276" s="1" t="s">
        <v>10</v>
      </c>
    </row>
    <row r="277" spans="1:8" x14ac:dyDescent="0.3">
      <c r="A277" s="1">
        <v>154</v>
      </c>
      <c r="B277" s="1" t="s">
        <v>14</v>
      </c>
      <c r="C277" s="1" t="s">
        <v>4336</v>
      </c>
      <c r="D277" s="1" t="s">
        <v>4337</v>
      </c>
      <c r="E277" s="1">
        <v>279.57</v>
      </c>
      <c r="F277" s="1" t="s">
        <v>8</v>
      </c>
      <c r="G277" s="1" t="s">
        <v>9</v>
      </c>
      <c r="H277" s="1" t="s">
        <v>10</v>
      </c>
    </row>
    <row r="278" spans="1:8" x14ac:dyDescent="0.3">
      <c r="A278" s="1">
        <v>154</v>
      </c>
      <c r="B278" s="1" t="s">
        <v>14</v>
      </c>
      <c r="C278" s="1" t="s">
        <v>4338</v>
      </c>
      <c r="D278" s="1" t="s">
        <v>4339</v>
      </c>
      <c r="E278" s="1">
        <v>1641.2</v>
      </c>
      <c r="F278" s="1" t="s">
        <v>8</v>
      </c>
      <c r="G278" s="1" t="s">
        <v>9</v>
      </c>
      <c r="H278" s="1" t="s">
        <v>10</v>
      </c>
    </row>
    <row r="279" spans="1:8" x14ac:dyDescent="0.3">
      <c r="A279" s="1">
        <v>154</v>
      </c>
      <c r="B279" s="1" t="s">
        <v>14</v>
      </c>
      <c r="C279" s="1" t="s">
        <v>4340</v>
      </c>
      <c r="D279" s="1" t="s">
        <v>4341</v>
      </c>
      <c r="E279" s="1">
        <v>1233.8800000000001</v>
      </c>
      <c r="F279" s="1" t="s">
        <v>8</v>
      </c>
      <c r="G279" s="1" t="s">
        <v>9</v>
      </c>
      <c r="H279" s="1" t="s">
        <v>10</v>
      </c>
    </row>
    <row r="280" spans="1:8" x14ac:dyDescent="0.3">
      <c r="A280" s="1">
        <v>154</v>
      </c>
      <c r="B280" s="1" t="s">
        <v>14</v>
      </c>
      <c r="C280" s="1" t="s">
        <v>4342</v>
      </c>
      <c r="D280" s="1" t="s">
        <v>4343</v>
      </c>
      <c r="E280" s="1">
        <v>24842.36</v>
      </c>
      <c r="F280" s="1" t="s">
        <v>8</v>
      </c>
      <c r="G280" s="1" t="s">
        <v>9</v>
      </c>
      <c r="H280" s="1" t="s">
        <v>10</v>
      </c>
    </row>
    <row r="281" spans="1:8" x14ac:dyDescent="0.3">
      <c r="A281" s="1">
        <v>154</v>
      </c>
      <c r="B281" s="1" t="s">
        <v>14</v>
      </c>
      <c r="C281" s="1" t="s">
        <v>4344</v>
      </c>
      <c r="D281" s="1" t="s">
        <v>4345</v>
      </c>
      <c r="E281" s="1">
        <v>184</v>
      </c>
      <c r="F281" s="1" t="s">
        <v>8</v>
      </c>
      <c r="G281" s="1" t="s">
        <v>9</v>
      </c>
      <c r="H281" s="1" t="s">
        <v>10</v>
      </c>
    </row>
    <row r="282" spans="1:8" x14ac:dyDescent="0.3">
      <c r="A282" s="1">
        <v>154</v>
      </c>
      <c r="B282" s="1" t="s">
        <v>14</v>
      </c>
      <c r="C282" s="1" t="s">
        <v>4346</v>
      </c>
      <c r="D282" s="1" t="s">
        <v>4347</v>
      </c>
      <c r="E282" s="1">
        <v>495</v>
      </c>
      <c r="F282" s="1" t="s">
        <v>8</v>
      </c>
      <c r="G282" s="1" t="s">
        <v>9</v>
      </c>
      <c r="H282" s="1" t="s">
        <v>10</v>
      </c>
    </row>
    <row r="283" spans="1:8" x14ac:dyDescent="0.3">
      <c r="A283" s="1">
        <v>154</v>
      </c>
      <c r="B283" s="1" t="s">
        <v>14</v>
      </c>
      <c r="C283" s="1" t="s">
        <v>4348</v>
      </c>
      <c r="D283" s="1" t="s">
        <v>4349</v>
      </c>
      <c r="E283" s="1">
        <v>4956.8999999999996</v>
      </c>
      <c r="F283" s="1" t="s">
        <v>8</v>
      </c>
      <c r="G283" s="1" t="s">
        <v>9</v>
      </c>
      <c r="H283" s="1" t="s">
        <v>10</v>
      </c>
    </row>
    <row r="284" spans="1:8" x14ac:dyDescent="0.3">
      <c r="A284" s="1">
        <v>154</v>
      </c>
      <c r="B284" s="1" t="s">
        <v>14</v>
      </c>
      <c r="C284" s="1" t="s">
        <v>4350</v>
      </c>
      <c r="D284" s="1" t="s">
        <v>4351</v>
      </c>
      <c r="E284" s="1">
        <v>1146</v>
      </c>
      <c r="F284" s="1" t="s">
        <v>8</v>
      </c>
      <c r="G284" s="1" t="s">
        <v>9</v>
      </c>
      <c r="H284" s="1" t="s">
        <v>10</v>
      </c>
    </row>
    <row r="285" spans="1:8" x14ac:dyDescent="0.3">
      <c r="A285" s="1">
        <v>154</v>
      </c>
      <c r="B285" s="1" t="s">
        <v>14</v>
      </c>
      <c r="C285" s="1" t="s">
        <v>4352</v>
      </c>
      <c r="D285" s="1" t="s">
        <v>4353</v>
      </c>
      <c r="E285" s="1">
        <v>480</v>
      </c>
      <c r="F285" s="1" t="s">
        <v>8</v>
      </c>
      <c r="G285" s="1" t="s">
        <v>9</v>
      </c>
      <c r="H285" s="1" t="s">
        <v>10</v>
      </c>
    </row>
    <row r="286" spans="1:8" x14ac:dyDescent="0.3">
      <c r="A286" s="1">
        <v>154</v>
      </c>
      <c r="B286" s="1" t="s">
        <v>14</v>
      </c>
      <c r="C286" s="1" t="s">
        <v>4354</v>
      </c>
      <c r="D286" s="1" t="s">
        <v>4355</v>
      </c>
      <c r="E286" s="1">
        <v>3557.25</v>
      </c>
      <c r="F286" s="1" t="s">
        <v>8</v>
      </c>
      <c r="G286" s="1" t="s">
        <v>9</v>
      </c>
      <c r="H286" s="1" t="s">
        <v>10</v>
      </c>
    </row>
    <row r="287" spans="1:8" x14ac:dyDescent="0.3">
      <c r="A287" s="1">
        <v>154</v>
      </c>
      <c r="B287" s="1" t="s">
        <v>14</v>
      </c>
      <c r="C287" s="1" t="s">
        <v>4356</v>
      </c>
      <c r="D287" s="1" t="s">
        <v>4357</v>
      </c>
      <c r="E287" s="1">
        <v>53.58</v>
      </c>
      <c r="F287" s="1" t="s">
        <v>8</v>
      </c>
      <c r="G287" s="1" t="s">
        <v>9</v>
      </c>
      <c r="H287" s="1" t="s">
        <v>10</v>
      </c>
    </row>
    <row r="288" spans="1:8" x14ac:dyDescent="0.3">
      <c r="A288" s="1">
        <v>154</v>
      </c>
      <c r="B288" s="1" t="s">
        <v>14</v>
      </c>
      <c r="C288" s="1" t="s">
        <v>4358</v>
      </c>
      <c r="D288" s="1" t="s">
        <v>4359</v>
      </c>
      <c r="E288" s="1">
        <v>304.33999999999997</v>
      </c>
      <c r="F288" s="1" t="s">
        <v>8</v>
      </c>
      <c r="G288" s="1" t="s">
        <v>9</v>
      </c>
      <c r="H288" s="1" t="s">
        <v>10</v>
      </c>
    </row>
    <row r="289" spans="1:8" x14ac:dyDescent="0.3">
      <c r="A289" s="1">
        <v>154</v>
      </c>
      <c r="B289" s="1" t="s">
        <v>14</v>
      </c>
      <c r="C289" s="1" t="s">
        <v>4360</v>
      </c>
      <c r="D289" s="1" t="s">
        <v>4361</v>
      </c>
      <c r="E289" s="1">
        <v>950</v>
      </c>
      <c r="F289" s="1" t="s">
        <v>8</v>
      </c>
      <c r="G289" s="1" t="s">
        <v>9</v>
      </c>
      <c r="H289" s="1" t="s">
        <v>10</v>
      </c>
    </row>
    <row r="290" spans="1:8" x14ac:dyDescent="0.3">
      <c r="A290" s="1">
        <v>154</v>
      </c>
      <c r="B290" s="1" t="s">
        <v>14</v>
      </c>
      <c r="C290" s="1" t="s">
        <v>4362</v>
      </c>
      <c r="D290" s="1" t="s">
        <v>4363</v>
      </c>
      <c r="E290" s="1">
        <v>1336.5</v>
      </c>
      <c r="F290" s="1" t="s">
        <v>8</v>
      </c>
      <c r="G290" s="1" t="s">
        <v>9</v>
      </c>
      <c r="H290" s="1" t="s">
        <v>10</v>
      </c>
    </row>
    <row r="291" spans="1:8" x14ac:dyDescent="0.3">
      <c r="A291" s="1">
        <v>154</v>
      </c>
      <c r="B291" s="1" t="s">
        <v>14</v>
      </c>
      <c r="C291" s="1" t="s">
        <v>4364</v>
      </c>
      <c r="D291" s="1" t="s">
        <v>4365</v>
      </c>
      <c r="E291" s="1">
        <v>21425.200000000001</v>
      </c>
      <c r="F291" s="1" t="s">
        <v>8</v>
      </c>
      <c r="G291" s="1" t="s">
        <v>9</v>
      </c>
      <c r="H291" s="1" t="s">
        <v>10</v>
      </c>
    </row>
    <row r="292" spans="1:8" x14ac:dyDescent="0.3">
      <c r="A292" s="1">
        <v>154</v>
      </c>
      <c r="B292" s="1" t="s">
        <v>14</v>
      </c>
      <c r="C292" s="1" t="s">
        <v>4366</v>
      </c>
      <c r="D292" s="1" t="s">
        <v>4367</v>
      </c>
      <c r="E292" s="1">
        <v>2060.31</v>
      </c>
      <c r="F292" s="1" t="s">
        <v>8</v>
      </c>
      <c r="G292" s="1" t="s">
        <v>9</v>
      </c>
      <c r="H292" s="1" t="s">
        <v>10</v>
      </c>
    </row>
    <row r="293" spans="1:8" x14ac:dyDescent="0.3">
      <c r="A293" s="1">
        <v>154</v>
      </c>
      <c r="B293" s="1" t="s">
        <v>14</v>
      </c>
      <c r="C293" s="1" t="s">
        <v>4368</v>
      </c>
      <c r="D293" s="1" t="s">
        <v>4369</v>
      </c>
      <c r="E293" s="1">
        <v>6877.63</v>
      </c>
      <c r="F293" s="1" t="s">
        <v>8</v>
      </c>
      <c r="G293" s="1" t="s">
        <v>9</v>
      </c>
      <c r="H293" s="1" t="s">
        <v>10</v>
      </c>
    </row>
    <row r="294" spans="1:8" x14ac:dyDescent="0.3">
      <c r="A294" s="1">
        <v>154</v>
      </c>
      <c r="B294" s="1" t="s">
        <v>14</v>
      </c>
      <c r="C294" s="1" t="s">
        <v>4370</v>
      </c>
      <c r="D294" s="1" t="s">
        <v>4371</v>
      </c>
      <c r="E294" s="1">
        <v>654.04999999999995</v>
      </c>
      <c r="F294" s="1" t="s">
        <v>8</v>
      </c>
      <c r="G294" s="1" t="s">
        <v>9</v>
      </c>
      <c r="H294" s="1" t="s">
        <v>10</v>
      </c>
    </row>
    <row r="295" spans="1:8" x14ac:dyDescent="0.3">
      <c r="A295" s="1">
        <v>154</v>
      </c>
      <c r="B295" s="1" t="s">
        <v>14</v>
      </c>
      <c r="C295" s="1" t="s">
        <v>4372</v>
      </c>
      <c r="D295" s="1" t="s">
        <v>4373</v>
      </c>
      <c r="E295" s="1">
        <v>852.66</v>
      </c>
      <c r="F295" s="1" t="s">
        <v>8</v>
      </c>
      <c r="G295" s="1" t="s">
        <v>9</v>
      </c>
      <c r="H295" s="1" t="s">
        <v>10</v>
      </c>
    </row>
    <row r="296" spans="1:8" x14ac:dyDescent="0.3">
      <c r="A296" s="1">
        <v>154</v>
      </c>
      <c r="B296" s="1" t="s">
        <v>14</v>
      </c>
      <c r="C296" s="1" t="s">
        <v>4374</v>
      </c>
      <c r="D296" s="1" t="s">
        <v>4375</v>
      </c>
      <c r="E296" s="1">
        <v>7.75</v>
      </c>
      <c r="F296" s="1" t="s">
        <v>8</v>
      </c>
      <c r="G296" s="1" t="s">
        <v>9</v>
      </c>
      <c r="H296" s="1" t="s">
        <v>10</v>
      </c>
    </row>
    <row r="297" spans="1:8" x14ac:dyDescent="0.3">
      <c r="A297" s="1">
        <v>154</v>
      </c>
      <c r="B297" s="1" t="s">
        <v>14</v>
      </c>
      <c r="C297" s="1" t="s">
        <v>4376</v>
      </c>
      <c r="D297" s="1" t="s">
        <v>4377</v>
      </c>
      <c r="E297" s="1">
        <v>2062.7199999999998</v>
      </c>
      <c r="F297" s="1" t="s">
        <v>8</v>
      </c>
      <c r="G297" s="1" t="s">
        <v>9</v>
      </c>
      <c r="H297" s="1" t="s">
        <v>10</v>
      </c>
    </row>
    <row r="298" spans="1:8" x14ac:dyDescent="0.3">
      <c r="A298" s="1">
        <v>154</v>
      </c>
      <c r="B298" s="1" t="s">
        <v>14</v>
      </c>
      <c r="C298" s="1" t="s">
        <v>4378</v>
      </c>
      <c r="D298" s="1" t="s">
        <v>4379</v>
      </c>
      <c r="E298" s="1">
        <v>3270</v>
      </c>
      <c r="F298" s="1" t="s">
        <v>8</v>
      </c>
      <c r="G298" s="1" t="s">
        <v>9</v>
      </c>
      <c r="H298" s="1" t="s">
        <v>10</v>
      </c>
    </row>
    <row r="299" spans="1:8" x14ac:dyDescent="0.3">
      <c r="A299" s="1">
        <v>154</v>
      </c>
      <c r="B299" s="1" t="s">
        <v>14</v>
      </c>
      <c r="C299" s="1" t="s">
        <v>4380</v>
      </c>
      <c r="D299" s="1" t="s">
        <v>4381</v>
      </c>
      <c r="E299" s="1">
        <v>481.85</v>
      </c>
      <c r="F299" s="1" t="s">
        <v>8</v>
      </c>
      <c r="G299" s="1" t="s">
        <v>9</v>
      </c>
      <c r="H299" s="1" t="s">
        <v>10</v>
      </c>
    </row>
    <row r="300" spans="1:8" x14ac:dyDescent="0.3">
      <c r="A300" s="1">
        <v>154</v>
      </c>
      <c r="B300" s="1" t="s">
        <v>14</v>
      </c>
      <c r="C300" s="1" t="s">
        <v>4382</v>
      </c>
      <c r="D300" s="1" t="s">
        <v>4383</v>
      </c>
      <c r="E300" s="1">
        <v>1058.4000000000001</v>
      </c>
      <c r="F300" s="1" t="s">
        <v>8</v>
      </c>
      <c r="G300" s="1" t="s">
        <v>9</v>
      </c>
      <c r="H300" s="1" t="s">
        <v>10</v>
      </c>
    </row>
    <row r="301" spans="1:8" x14ac:dyDescent="0.3">
      <c r="A301" s="1">
        <v>154</v>
      </c>
      <c r="B301" s="1" t="s">
        <v>14</v>
      </c>
      <c r="C301" s="1" t="s">
        <v>4384</v>
      </c>
      <c r="D301" s="1" t="s">
        <v>4385</v>
      </c>
      <c r="E301" s="1">
        <v>2285.9499999999998</v>
      </c>
      <c r="F301" s="1" t="s">
        <v>8</v>
      </c>
      <c r="G301" s="1" t="s">
        <v>9</v>
      </c>
      <c r="H301" s="1" t="s">
        <v>10</v>
      </c>
    </row>
    <row r="302" spans="1:8" x14ac:dyDescent="0.3">
      <c r="A302" s="1">
        <v>154</v>
      </c>
      <c r="B302" s="1" t="s">
        <v>14</v>
      </c>
      <c r="C302" s="1" t="s">
        <v>4386</v>
      </c>
      <c r="D302" s="1" t="s">
        <v>4387</v>
      </c>
      <c r="E302" s="1">
        <v>773.5</v>
      </c>
      <c r="F302" s="1" t="s">
        <v>8</v>
      </c>
      <c r="G302" s="1" t="s">
        <v>9</v>
      </c>
      <c r="H302" s="1" t="s">
        <v>10</v>
      </c>
    </row>
    <row r="303" spans="1:8" x14ac:dyDescent="0.3">
      <c r="A303" s="1">
        <v>154</v>
      </c>
      <c r="B303" s="1" t="s">
        <v>14</v>
      </c>
      <c r="C303" s="1" t="s">
        <v>4388</v>
      </c>
      <c r="D303" s="1" t="s">
        <v>4389</v>
      </c>
      <c r="E303" s="1">
        <v>345.33</v>
      </c>
      <c r="F303" s="1" t="s">
        <v>8</v>
      </c>
      <c r="G303" s="1" t="s">
        <v>9</v>
      </c>
      <c r="H303" s="1" t="s">
        <v>10</v>
      </c>
    </row>
    <row r="304" spans="1:8" x14ac:dyDescent="0.3">
      <c r="A304" s="1">
        <v>154</v>
      </c>
      <c r="B304" s="1" t="s">
        <v>14</v>
      </c>
      <c r="C304" s="1" t="s">
        <v>4390</v>
      </c>
      <c r="D304" s="1" t="s">
        <v>4391</v>
      </c>
      <c r="E304" s="1">
        <v>723.61</v>
      </c>
      <c r="F304" s="1" t="s">
        <v>8</v>
      </c>
      <c r="G304" s="1" t="s">
        <v>9</v>
      </c>
      <c r="H304" s="1" t="s">
        <v>10</v>
      </c>
    </row>
    <row r="305" spans="1:8" x14ac:dyDescent="0.3">
      <c r="A305" s="1">
        <v>154</v>
      </c>
      <c r="B305" s="1" t="s">
        <v>14</v>
      </c>
      <c r="C305" s="1" t="s">
        <v>4392</v>
      </c>
      <c r="D305" s="1" t="s">
        <v>4393</v>
      </c>
      <c r="E305" s="1">
        <v>100</v>
      </c>
      <c r="F305" s="1" t="s">
        <v>8</v>
      </c>
      <c r="G305" s="1" t="s">
        <v>9</v>
      </c>
      <c r="H305" s="1" t="s">
        <v>10</v>
      </c>
    </row>
    <row r="306" spans="1:8" x14ac:dyDescent="0.3">
      <c r="A306" s="1">
        <v>154</v>
      </c>
      <c r="B306" s="1" t="s">
        <v>14</v>
      </c>
      <c r="C306" s="1" t="s">
        <v>4394</v>
      </c>
      <c r="D306" s="1" t="s">
        <v>4395</v>
      </c>
      <c r="E306" s="1">
        <v>5628.57</v>
      </c>
      <c r="F306" s="1" t="s">
        <v>8</v>
      </c>
      <c r="G306" s="1" t="s">
        <v>9</v>
      </c>
      <c r="H306" s="1" t="s">
        <v>10</v>
      </c>
    </row>
    <row r="307" spans="1:8" x14ac:dyDescent="0.3">
      <c r="A307" s="1">
        <v>154</v>
      </c>
      <c r="B307" s="1" t="s">
        <v>14</v>
      </c>
      <c r="C307" s="1" t="s">
        <v>4396</v>
      </c>
      <c r="D307" s="1" t="s">
        <v>4397</v>
      </c>
      <c r="E307" s="1">
        <v>8151.64</v>
      </c>
      <c r="F307" s="1" t="s">
        <v>8</v>
      </c>
      <c r="G307" s="1" t="s">
        <v>9</v>
      </c>
      <c r="H307" s="1" t="s">
        <v>10</v>
      </c>
    </row>
    <row r="308" spans="1:8" x14ac:dyDescent="0.3">
      <c r="A308" s="1">
        <v>154</v>
      </c>
      <c r="B308" s="1" t="s">
        <v>14</v>
      </c>
      <c r="C308" s="1" t="s">
        <v>4398</v>
      </c>
      <c r="D308" s="1" t="s">
        <v>4399</v>
      </c>
      <c r="E308" s="1">
        <v>538.55999999999995</v>
      </c>
      <c r="F308" s="1" t="s">
        <v>8</v>
      </c>
      <c r="G308" s="1" t="s">
        <v>9</v>
      </c>
      <c r="H308" s="1" t="s">
        <v>10</v>
      </c>
    </row>
    <row r="309" spans="1:8" x14ac:dyDescent="0.3">
      <c r="A309" s="1">
        <v>154</v>
      </c>
      <c r="B309" s="1" t="s">
        <v>14</v>
      </c>
      <c r="C309" s="1" t="s">
        <v>4400</v>
      </c>
      <c r="D309" s="1" t="s">
        <v>4401</v>
      </c>
      <c r="E309" s="1">
        <v>8391.64</v>
      </c>
      <c r="F309" s="1" t="s">
        <v>11</v>
      </c>
      <c r="G309" s="1" t="s">
        <v>9</v>
      </c>
      <c r="H309" s="1" t="s">
        <v>10</v>
      </c>
    </row>
    <row r="310" spans="1:8" x14ac:dyDescent="0.3">
      <c r="A310" s="1">
        <v>154</v>
      </c>
      <c r="B310" s="1" t="s">
        <v>14</v>
      </c>
      <c r="C310" s="1" t="s">
        <v>4402</v>
      </c>
      <c r="D310" s="1" t="s">
        <v>4403</v>
      </c>
      <c r="E310" s="1">
        <v>3467.03</v>
      </c>
      <c r="F310" s="1" t="s">
        <v>8</v>
      </c>
      <c r="G310" s="1" t="s">
        <v>9</v>
      </c>
      <c r="H310" s="1" t="s">
        <v>10</v>
      </c>
    </row>
    <row r="311" spans="1:8" x14ac:dyDescent="0.3">
      <c r="A311" s="1">
        <v>154</v>
      </c>
      <c r="B311" s="1" t="s">
        <v>14</v>
      </c>
      <c r="C311" s="1" t="s">
        <v>4404</v>
      </c>
      <c r="D311" s="1" t="s">
        <v>4405</v>
      </c>
      <c r="E311" s="1">
        <v>1705.22</v>
      </c>
      <c r="F311" s="1" t="s">
        <v>8</v>
      </c>
      <c r="G311" s="1" t="s">
        <v>9</v>
      </c>
      <c r="H311" s="1" t="s">
        <v>10</v>
      </c>
    </row>
    <row r="312" spans="1:8" x14ac:dyDescent="0.3">
      <c r="A312" s="1">
        <v>154</v>
      </c>
      <c r="B312" s="1" t="s">
        <v>14</v>
      </c>
      <c r="C312" s="1" t="s">
        <v>4406</v>
      </c>
      <c r="D312" s="1" t="s">
        <v>4407</v>
      </c>
      <c r="E312" s="1">
        <v>117</v>
      </c>
      <c r="F312" s="1" t="s">
        <v>8</v>
      </c>
      <c r="G312" s="1" t="s">
        <v>9</v>
      </c>
      <c r="H312" s="1" t="s">
        <v>10</v>
      </c>
    </row>
    <row r="313" spans="1:8" x14ac:dyDescent="0.3">
      <c r="A313" s="1">
        <v>154</v>
      </c>
      <c r="B313" s="1" t="s">
        <v>14</v>
      </c>
      <c r="C313" s="1" t="s">
        <v>4408</v>
      </c>
      <c r="D313" s="1" t="s">
        <v>4409</v>
      </c>
      <c r="E313" s="1">
        <v>1282.3800000000001</v>
      </c>
      <c r="F313" s="1" t="s">
        <v>8</v>
      </c>
      <c r="G313" s="1" t="s">
        <v>9</v>
      </c>
      <c r="H313" s="1" t="s">
        <v>10</v>
      </c>
    </row>
    <row r="314" spans="1:8" x14ac:dyDescent="0.3">
      <c r="A314" s="1">
        <v>154</v>
      </c>
      <c r="B314" s="1" t="s">
        <v>14</v>
      </c>
      <c r="C314" s="1" t="s">
        <v>4410</v>
      </c>
      <c r="D314" s="1" t="s">
        <v>4411</v>
      </c>
      <c r="E314" s="1">
        <v>923.4</v>
      </c>
      <c r="F314" s="1" t="s">
        <v>8</v>
      </c>
      <c r="G314" s="1" t="s">
        <v>9</v>
      </c>
      <c r="H314" s="1" t="s">
        <v>10</v>
      </c>
    </row>
    <row r="315" spans="1:8" x14ac:dyDescent="0.3">
      <c r="A315" s="1">
        <v>154</v>
      </c>
      <c r="B315" s="1" t="s">
        <v>14</v>
      </c>
      <c r="C315" s="1" t="s">
        <v>4412</v>
      </c>
      <c r="D315" s="1" t="s">
        <v>4413</v>
      </c>
      <c r="E315" s="1">
        <v>322.70999999999998</v>
      </c>
      <c r="F315" s="1" t="s">
        <v>8</v>
      </c>
      <c r="G315" s="1" t="s">
        <v>9</v>
      </c>
      <c r="H315" s="1" t="s">
        <v>10</v>
      </c>
    </row>
    <row r="316" spans="1:8" x14ac:dyDescent="0.3">
      <c r="A316" s="1">
        <v>154</v>
      </c>
      <c r="B316" s="1" t="s">
        <v>14</v>
      </c>
      <c r="C316" s="1" t="s">
        <v>4414</v>
      </c>
      <c r="D316" s="1" t="s">
        <v>4415</v>
      </c>
      <c r="E316" s="1">
        <v>807.2</v>
      </c>
      <c r="F316" s="1" t="s">
        <v>8</v>
      </c>
      <c r="G316" s="1" t="s">
        <v>9</v>
      </c>
      <c r="H316" s="1" t="s">
        <v>10</v>
      </c>
    </row>
    <row r="317" spans="1:8" x14ac:dyDescent="0.3">
      <c r="A317" s="1">
        <v>154</v>
      </c>
      <c r="B317" s="1" t="s">
        <v>14</v>
      </c>
      <c r="C317" s="1" t="s">
        <v>4416</v>
      </c>
      <c r="D317" s="1" t="s">
        <v>4417</v>
      </c>
      <c r="E317" s="1">
        <v>8189.93</v>
      </c>
      <c r="F317" s="1" t="s">
        <v>8</v>
      </c>
      <c r="G317" s="1" t="s">
        <v>9</v>
      </c>
      <c r="H317" s="1" t="s">
        <v>10</v>
      </c>
    </row>
    <row r="318" spans="1:8" x14ac:dyDescent="0.3">
      <c r="A318" s="1">
        <v>154</v>
      </c>
      <c r="B318" s="1" t="s">
        <v>14</v>
      </c>
      <c r="C318" s="1" t="s">
        <v>4418</v>
      </c>
      <c r="D318" s="1" t="s">
        <v>4419</v>
      </c>
      <c r="E318" s="1">
        <v>1420.56</v>
      </c>
      <c r="F318" s="1" t="s">
        <v>8</v>
      </c>
      <c r="G318" s="1" t="s">
        <v>9</v>
      </c>
      <c r="H318" s="1" t="s">
        <v>10</v>
      </c>
    </row>
    <row r="319" spans="1:8" x14ac:dyDescent="0.3">
      <c r="A319" s="1">
        <v>154</v>
      </c>
      <c r="B319" s="1" t="s">
        <v>14</v>
      </c>
      <c r="C319" s="1" t="s">
        <v>4420</v>
      </c>
      <c r="D319" s="1" t="s">
        <v>4421</v>
      </c>
      <c r="E319" s="1">
        <v>1841.79</v>
      </c>
      <c r="F319" s="1" t="s">
        <v>11</v>
      </c>
      <c r="G319" s="1" t="s">
        <v>9</v>
      </c>
      <c r="H319" s="1" t="s">
        <v>10</v>
      </c>
    </row>
    <row r="320" spans="1:8" x14ac:dyDescent="0.3">
      <c r="A320" s="1">
        <v>154</v>
      </c>
      <c r="B320" s="1" t="s">
        <v>14</v>
      </c>
      <c r="C320" s="1" t="s">
        <v>4422</v>
      </c>
      <c r="D320" s="1" t="s">
        <v>4423</v>
      </c>
      <c r="E320" s="1">
        <v>1218.8599999999999</v>
      </c>
      <c r="F320" s="1" t="s">
        <v>8</v>
      </c>
      <c r="G320" s="1" t="s">
        <v>9</v>
      </c>
      <c r="H320" s="1" t="s">
        <v>10</v>
      </c>
    </row>
    <row r="321" spans="1:8" x14ac:dyDescent="0.3">
      <c r="A321" s="1">
        <v>154</v>
      </c>
      <c r="B321" s="1" t="s">
        <v>14</v>
      </c>
      <c r="C321" s="1" t="s">
        <v>4424</v>
      </c>
      <c r="D321" s="1" t="s">
        <v>4425</v>
      </c>
      <c r="E321" s="1">
        <v>3398.66</v>
      </c>
      <c r="F321" s="1" t="s">
        <v>8</v>
      </c>
      <c r="G321" s="1" t="s">
        <v>9</v>
      </c>
      <c r="H321" s="1" t="s">
        <v>10</v>
      </c>
    </row>
    <row r="322" spans="1:8" x14ac:dyDescent="0.3">
      <c r="A322" s="1">
        <v>154</v>
      </c>
      <c r="B322" s="1" t="s">
        <v>14</v>
      </c>
      <c r="C322" s="1" t="s">
        <v>4426</v>
      </c>
      <c r="D322" s="1" t="s">
        <v>4427</v>
      </c>
      <c r="E322" s="1">
        <v>1818.27</v>
      </c>
      <c r="F322" s="1" t="s">
        <v>11</v>
      </c>
      <c r="G322" s="1" t="s">
        <v>9</v>
      </c>
      <c r="H322" s="1" t="s">
        <v>10</v>
      </c>
    </row>
    <row r="323" spans="1:8" x14ac:dyDescent="0.3">
      <c r="A323" s="1">
        <v>154</v>
      </c>
      <c r="B323" s="1" t="s">
        <v>14</v>
      </c>
      <c r="C323" s="1" t="s">
        <v>4428</v>
      </c>
      <c r="D323" s="1" t="s">
        <v>4429</v>
      </c>
      <c r="E323" s="1">
        <v>1774.75</v>
      </c>
      <c r="F323" s="1" t="s">
        <v>8</v>
      </c>
      <c r="G323" s="1" t="s">
        <v>9</v>
      </c>
      <c r="H323" s="1" t="s">
        <v>10</v>
      </c>
    </row>
    <row r="324" spans="1:8" x14ac:dyDescent="0.3">
      <c r="A324" s="1">
        <v>154</v>
      </c>
      <c r="B324" s="1" t="s">
        <v>14</v>
      </c>
      <c r="C324" s="1" t="s">
        <v>4430</v>
      </c>
      <c r="D324" s="1" t="s">
        <v>4431</v>
      </c>
      <c r="E324" s="1">
        <v>2385</v>
      </c>
      <c r="F324" s="1" t="s">
        <v>8</v>
      </c>
      <c r="G324" s="1" t="s">
        <v>9</v>
      </c>
      <c r="H324" s="1" t="s">
        <v>10</v>
      </c>
    </row>
    <row r="325" spans="1:8" x14ac:dyDescent="0.3">
      <c r="A325" s="1">
        <v>154</v>
      </c>
      <c r="B325" s="1" t="s">
        <v>14</v>
      </c>
      <c r="C325" s="1" t="s">
        <v>4432</v>
      </c>
      <c r="D325" s="1" t="s">
        <v>4433</v>
      </c>
      <c r="E325" s="1">
        <v>5280</v>
      </c>
      <c r="F325" s="1" t="s">
        <v>8</v>
      </c>
      <c r="G325" s="1" t="s">
        <v>9</v>
      </c>
      <c r="H325" s="1" t="s">
        <v>10</v>
      </c>
    </row>
    <row r="326" spans="1:8" x14ac:dyDescent="0.3">
      <c r="A326" s="1">
        <v>154</v>
      </c>
      <c r="B326" s="1" t="s">
        <v>14</v>
      </c>
      <c r="C326" s="1" t="s">
        <v>4434</v>
      </c>
      <c r="D326" s="1" t="s">
        <v>4435</v>
      </c>
      <c r="E326" s="1">
        <v>147</v>
      </c>
      <c r="F326" s="1" t="s">
        <v>8</v>
      </c>
      <c r="G326" s="1" t="s">
        <v>9</v>
      </c>
      <c r="H326" s="1" t="s">
        <v>10</v>
      </c>
    </row>
    <row r="327" spans="1:8" x14ac:dyDescent="0.3">
      <c r="A327" s="1">
        <v>154</v>
      </c>
      <c r="B327" s="1" t="s">
        <v>14</v>
      </c>
      <c r="C327" s="1" t="s">
        <v>4436</v>
      </c>
      <c r="D327" s="1" t="s">
        <v>4437</v>
      </c>
      <c r="E327" s="1">
        <v>1334</v>
      </c>
      <c r="F327" s="1" t="s">
        <v>8</v>
      </c>
      <c r="G327" s="1" t="s">
        <v>9</v>
      </c>
      <c r="H327" s="1" t="s">
        <v>10</v>
      </c>
    </row>
    <row r="328" spans="1:8" x14ac:dyDescent="0.3">
      <c r="A328" s="1">
        <v>154</v>
      </c>
      <c r="B328" s="1" t="s">
        <v>14</v>
      </c>
      <c r="C328" s="1" t="s">
        <v>4438</v>
      </c>
      <c r="D328" s="1" t="s">
        <v>4439</v>
      </c>
      <c r="E328" s="1">
        <v>3630.29</v>
      </c>
      <c r="F328" s="1" t="s">
        <v>8</v>
      </c>
      <c r="G328" s="1" t="s">
        <v>9</v>
      </c>
      <c r="H328" s="1" t="s">
        <v>10</v>
      </c>
    </row>
    <row r="329" spans="1:8" x14ac:dyDescent="0.3">
      <c r="A329" s="1">
        <v>154</v>
      </c>
      <c r="B329" s="1" t="s">
        <v>14</v>
      </c>
      <c r="C329" s="1" t="s">
        <v>4440</v>
      </c>
      <c r="D329" s="1" t="s">
        <v>4441</v>
      </c>
      <c r="E329" s="1">
        <v>4460.22</v>
      </c>
      <c r="F329" s="1" t="s">
        <v>8</v>
      </c>
      <c r="G329" s="1" t="s">
        <v>9</v>
      </c>
      <c r="H329" s="1" t="s">
        <v>10</v>
      </c>
    </row>
    <row r="330" spans="1:8" x14ac:dyDescent="0.3">
      <c r="A330" s="1">
        <v>154</v>
      </c>
      <c r="B330" s="1" t="s">
        <v>14</v>
      </c>
      <c r="C330" s="1" t="s">
        <v>4442</v>
      </c>
      <c r="D330" s="1" t="s">
        <v>4443</v>
      </c>
      <c r="E330" s="1">
        <v>1075.07</v>
      </c>
      <c r="F330" s="1" t="s">
        <v>8</v>
      </c>
      <c r="G330" s="1" t="s">
        <v>9</v>
      </c>
      <c r="H330" s="1" t="s">
        <v>10</v>
      </c>
    </row>
    <row r="331" spans="1:8" x14ac:dyDescent="0.3">
      <c r="A331" s="1">
        <v>154</v>
      </c>
      <c r="B331" s="1" t="s">
        <v>14</v>
      </c>
      <c r="C331" s="1" t="s">
        <v>4444</v>
      </c>
      <c r="D331" s="1" t="s">
        <v>4445</v>
      </c>
      <c r="E331" s="1">
        <v>80</v>
      </c>
      <c r="F331" s="1" t="s">
        <v>8</v>
      </c>
      <c r="G331" s="1" t="s">
        <v>9</v>
      </c>
      <c r="H331" s="1" t="s">
        <v>10</v>
      </c>
    </row>
    <row r="332" spans="1:8" x14ac:dyDescent="0.3">
      <c r="A332" s="1">
        <v>154</v>
      </c>
      <c r="B332" s="1" t="s">
        <v>14</v>
      </c>
      <c r="C332" s="1" t="s">
        <v>4446</v>
      </c>
      <c r="D332" s="1" t="s">
        <v>4447</v>
      </c>
      <c r="E332" s="1">
        <v>263.04000000000002</v>
      </c>
      <c r="F332" s="1" t="s">
        <v>8</v>
      </c>
      <c r="G332" s="1" t="s">
        <v>9</v>
      </c>
      <c r="H332" s="1" t="s">
        <v>10</v>
      </c>
    </row>
    <row r="333" spans="1:8" x14ac:dyDescent="0.3">
      <c r="A333" s="1">
        <v>154</v>
      </c>
      <c r="B333" s="1" t="s">
        <v>14</v>
      </c>
      <c r="C333" s="1" t="s">
        <v>4448</v>
      </c>
      <c r="D333" s="1" t="s">
        <v>4449</v>
      </c>
      <c r="E333" s="1">
        <v>7070.98</v>
      </c>
      <c r="F333" s="1" t="s">
        <v>8</v>
      </c>
      <c r="G333" s="1" t="s">
        <v>9</v>
      </c>
      <c r="H333" s="1" t="s">
        <v>10</v>
      </c>
    </row>
    <row r="334" spans="1:8" x14ac:dyDescent="0.3">
      <c r="A334" s="1">
        <v>154</v>
      </c>
      <c r="B334" s="1" t="s">
        <v>14</v>
      </c>
      <c r="C334" s="1" t="s">
        <v>4450</v>
      </c>
      <c r="D334" s="1" t="s">
        <v>4451</v>
      </c>
      <c r="E334" s="1">
        <v>76.2</v>
      </c>
      <c r="F334" s="1" t="s">
        <v>8</v>
      </c>
      <c r="G334" s="1" t="s">
        <v>9</v>
      </c>
      <c r="H334" s="1" t="s">
        <v>10</v>
      </c>
    </row>
    <row r="335" spans="1:8" x14ac:dyDescent="0.3">
      <c r="A335" s="1">
        <v>154</v>
      </c>
      <c r="B335" s="1" t="s">
        <v>14</v>
      </c>
      <c r="C335" s="1" t="s">
        <v>4452</v>
      </c>
      <c r="D335" s="1" t="s">
        <v>4453</v>
      </c>
      <c r="E335" s="1">
        <v>1667.4</v>
      </c>
      <c r="F335" s="1" t="s">
        <v>8</v>
      </c>
      <c r="G335" s="1" t="s">
        <v>9</v>
      </c>
      <c r="H335" s="1" t="s">
        <v>10</v>
      </c>
    </row>
    <row r="336" spans="1:8" x14ac:dyDescent="0.3">
      <c r="A336" s="1">
        <v>154</v>
      </c>
      <c r="B336" s="1" t="s">
        <v>14</v>
      </c>
      <c r="C336" s="1" t="s">
        <v>4454</v>
      </c>
      <c r="D336" s="1" t="s">
        <v>4455</v>
      </c>
      <c r="E336" s="1">
        <v>2151.2399999999998</v>
      </c>
      <c r="F336" s="1" t="s">
        <v>8</v>
      </c>
      <c r="G336" s="1" t="s">
        <v>9</v>
      </c>
      <c r="H336" s="1" t="s">
        <v>10</v>
      </c>
    </row>
    <row r="337" spans="1:8" x14ac:dyDescent="0.3">
      <c r="A337" s="1">
        <v>154</v>
      </c>
      <c r="B337" s="1" t="s">
        <v>14</v>
      </c>
      <c r="C337" s="1" t="s">
        <v>4456</v>
      </c>
      <c r="D337" s="1" t="s">
        <v>4457</v>
      </c>
      <c r="E337" s="1">
        <v>8039.54</v>
      </c>
      <c r="F337" s="1" t="s">
        <v>8</v>
      </c>
      <c r="G337" s="1" t="s">
        <v>9</v>
      </c>
      <c r="H337" s="1" t="s">
        <v>10</v>
      </c>
    </row>
    <row r="338" spans="1:8" x14ac:dyDescent="0.3">
      <c r="A338" s="1">
        <v>154</v>
      </c>
      <c r="B338" s="1" t="s">
        <v>14</v>
      </c>
      <c r="C338" s="1" t="s">
        <v>4458</v>
      </c>
      <c r="D338" s="1" t="s">
        <v>4459</v>
      </c>
      <c r="E338" s="1">
        <v>1501.17</v>
      </c>
      <c r="F338" s="1" t="s">
        <v>8</v>
      </c>
      <c r="G338" s="1" t="s">
        <v>9</v>
      </c>
      <c r="H338" s="1" t="s">
        <v>10</v>
      </c>
    </row>
    <row r="339" spans="1:8" x14ac:dyDescent="0.3">
      <c r="A339" s="1">
        <v>154</v>
      </c>
      <c r="B339" s="1" t="s">
        <v>14</v>
      </c>
      <c r="C339" s="1" t="s">
        <v>4460</v>
      </c>
      <c r="D339" s="1" t="s">
        <v>4461</v>
      </c>
      <c r="E339" s="1">
        <v>43.55</v>
      </c>
      <c r="F339" s="1" t="s">
        <v>8</v>
      </c>
      <c r="G339" s="1" t="s">
        <v>9</v>
      </c>
      <c r="H339" s="1" t="s">
        <v>10</v>
      </c>
    </row>
    <row r="340" spans="1:8" x14ac:dyDescent="0.3">
      <c r="A340" s="1">
        <v>154</v>
      </c>
      <c r="B340" s="1" t="s">
        <v>14</v>
      </c>
      <c r="C340" s="1" t="s">
        <v>4462</v>
      </c>
      <c r="D340" s="1" t="s">
        <v>4463</v>
      </c>
      <c r="E340" s="1">
        <v>490.57</v>
      </c>
      <c r="F340" s="1" t="s">
        <v>8</v>
      </c>
      <c r="G340" s="1" t="s">
        <v>9</v>
      </c>
      <c r="H340" s="1" t="s">
        <v>10</v>
      </c>
    </row>
    <row r="341" spans="1:8" x14ac:dyDescent="0.3">
      <c r="A341" s="1">
        <v>154</v>
      </c>
      <c r="B341" s="1" t="s">
        <v>14</v>
      </c>
      <c r="C341" s="1" t="s">
        <v>4464</v>
      </c>
      <c r="D341" s="1" t="s">
        <v>4465</v>
      </c>
      <c r="E341" s="1">
        <v>8950.23</v>
      </c>
      <c r="F341" s="1" t="s">
        <v>8</v>
      </c>
      <c r="G341" s="1" t="s">
        <v>9</v>
      </c>
      <c r="H341" s="1" t="s">
        <v>10</v>
      </c>
    </row>
    <row r="342" spans="1:8" x14ac:dyDescent="0.3">
      <c r="A342" s="1">
        <v>154</v>
      </c>
      <c r="B342" s="1" t="s">
        <v>14</v>
      </c>
      <c r="C342" s="1" t="s">
        <v>4466</v>
      </c>
      <c r="D342" s="1" t="s">
        <v>4467</v>
      </c>
      <c r="E342" s="1">
        <v>271.61</v>
      </c>
      <c r="F342" s="1" t="s">
        <v>8</v>
      </c>
      <c r="G342" s="1" t="s">
        <v>9</v>
      </c>
      <c r="H342" s="1" t="s">
        <v>10</v>
      </c>
    </row>
    <row r="343" spans="1:8" x14ac:dyDescent="0.3">
      <c r="A343" s="1">
        <v>154</v>
      </c>
      <c r="B343" s="1" t="s">
        <v>14</v>
      </c>
      <c r="C343" s="1" t="s">
        <v>4468</v>
      </c>
      <c r="D343" s="1" t="s">
        <v>4469</v>
      </c>
      <c r="E343" s="1">
        <v>444</v>
      </c>
      <c r="F343" s="1" t="s">
        <v>8</v>
      </c>
      <c r="G343" s="1" t="s">
        <v>9</v>
      </c>
      <c r="H343" s="1" t="s">
        <v>10</v>
      </c>
    </row>
    <row r="344" spans="1:8" x14ac:dyDescent="0.3">
      <c r="A344" s="1">
        <v>154</v>
      </c>
      <c r="B344" s="1" t="s">
        <v>14</v>
      </c>
      <c r="C344" s="1" t="s">
        <v>4470</v>
      </c>
      <c r="D344" s="1" t="s">
        <v>4471</v>
      </c>
      <c r="E344" s="1">
        <v>1126.92</v>
      </c>
      <c r="F344" s="1" t="s">
        <v>8</v>
      </c>
      <c r="G344" s="1" t="s">
        <v>9</v>
      </c>
      <c r="H344" s="1" t="s">
        <v>10</v>
      </c>
    </row>
    <row r="345" spans="1:8" x14ac:dyDescent="0.3">
      <c r="A345" s="1">
        <v>154</v>
      </c>
      <c r="B345" s="1" t="s">
        <v>14</v>
      </c>
      <c r="C345" s="1" t="s">
        <v>4472</v>
      </c>
      <c r="D345" s="1" t="s">
        <v>4473</v>
      </c>
      <c r="E345" s="1">
        <v>1902.53</v>
      </c>
      <c r="F345" s="1" t="s">
        <v>8</v>
      </c>
      <c r="G345" s="1" t="s">
        <v>9</v>
      </c>
      <c r="H345" s="1" t="s">
        <v>10</v>
      </c>
    </row>
    <row r="346" spans="1:8" x14ac:dyDescent="0.3">
      <c r="A346" s="1">
        <v>154</v>
      </c>
      <c r="B346" s="1" t="s">
        <v>14</v>
      </c>
      <c r="C346" s="1" t="s">
        <v>4474</v>
      </c>
      <c r="D346" s="1" t="s">
        <v>4475</v>
      </c>
      <c r="E346" s="1">
        <v>2844.88</v>
      </c>
      <c r="F346" s="1" t="s">
        <v>8</v>
      </c>
      <c r="G346" s="1" t="s">
        <v>9</v>
      </c>
      <c r="H346" s="1" t="s">
        <v>10</v>
      </c>
    </row>
    <row r="347" spans="1:8" x14ac:dyDescent="0.3">
      <c r="A347" s="1">
        <v>154</v>
      </c>
      <c r="B347" s="1" t="s">
        <v>14</v>
      </c>
      <c r="C347" s="1" t="s">
        <v>4476</v>
      </c>
      <c r="D347" s="1" t="s">
        <v>4477</v>
      </c>
      <c r="E347" s="1">
        <v>4773.68</v>
      </c>
      <c r="F347" s="1" t="s">
        <v>8</v>
      </c>
      <c r="G347" s="1" t="s">
        <v>9</v>
      </c>
      <c r="H347" s="1" t="s">
        <v>10</v>
      </c>
    </row>
    <row r="348" spans="1:8" x14ac:dyDescent="0.3">
      <c r="A348" s="1">
        <v>154</v>
      </c>
      <c r="B348" s="1" t="s">
        <v>14</v>
      </c>
      <c r="C348" s="1" t="s">
        <v>4478</v>
      </c>
      <c r="D348" s="1" t="s">
        <v>4479</v>
      </c>
      <c r="E348" s="1">
        <v>4590.2700000000004</v>
      </c>
      <c r="F348" s="1" t="s">
        <v>8</v>
      </c>
      <c r="G348" s="1" t="s">
        <v>9</v>
      </c>
      <c r="H348" s="1" t="s">
        <v>10</v>
      </c>
    </row>
    <row r="349" spans="1:8" x14ac:dyDescent="0.3">
      <c r="A349" s="1">
        <v>154</v>
      </c>
      <c r="B349" s="1" t="s">
        <v>14</v>
      </c>
      <c r="C349" s="1" t="s">
        <v>4480</v>
      </c>
      <c r="D349" s="1" t="s">
        <v>4481</v>
      </c>
      <c r="E349" s="1">
        <v>19.86</v>
      </c>
      <c r="F349" s="1" t="s">
        <v>8</v>
      </c>
      <c r="G349" s="1" t="s">
        <v>9</v>
      </c>
      <c r="H349" s="1" t="s">
        <v>10</v>
      </c>
    </row>
    <row r="350" spans="1:8" x14ac:dyDescent="0.3">
      <c r="A350" s="1">
        <v>154</v>
      </c>
      <c r="B350" s="1" t="s">
        <v>14</v>
      </c>
      <c r="C350" s="1" t="s">
        <v>4482</v>
      </c>
      <c r="D350" s="1" t="s">
        <v>4483</v>
      </c>
      <c r="E350" s="1">
        <v>630.57000000000005</v>
      </c>
      <c r="F350" s="1" t="s">
        <v>8</v>
      </c>
      <c r="G350" s="1" t="s">
        <v>9</v>
      </c>
      <c r="H350" s="1" t="s">
        <v>10</v>
      </c>
    </row>
    <row r="351" spans="1:8" x14ac:dyDescent="0.3">
      <c r="A351" s="1">
        <v>154</v>
      </c>
      <c r="B351" s="1" t="s">
        <v>14</v>
      </c>
      <c r="C351" s="1" t="s">
        <v>4484</v>
      </c>
      <c r="D351" s="1" t="s">
        <v>4485</v>
      </c>
      <c r="E351" s="1">
        <v>920</v>
      </c>
      <c r="F351" s="1" t="s">
        <v>8</v>
      </c>
      <c r="G351" s="1" t="s">
        <v>9</v>
      </c>
      <c r="H351" s="1" t="s">
        <v>10</v>
      </c>
    </row>
    <row r="352" spans="1:8" x14ac:dyDescent="0.3">
      <c r="A352" s="1">
        <v>154</v>
      </c>
      <c r="B352" s="1" t="s">
        <v>14</v>
      </c>
      <c r="C352" s="1" t="s">
        <v>4486</v>
      </c>
      <c r="D352" s="1" t="s">
        <v>4487</v>
      </c>
      <c r="E352" s="1">
        <v>2073.2600000000002</v>
      </c>
      <c r="F352" s="1" t="s">
        <v>8</v>
      </c>
      <c r="G352" s="1" t="s">
        <v>9</v>
      </c>
      <c r="H352" s="1" t="s">
        <v>10</v>
      </c>
    </row>
    <row r="353" spans="1:8" x14ac:dyDescent="0.3">
      <c r="A353" s="1">
        <v>154</v>
      </c>
      <c r="B353" s="1" t="s">
        <v>14</v>
      </c>
      <c r="C353" s="1" t="s">
        <v>4488</v>
      </c>
      <c r="D353" s="1" t="s">
        <v>4489</v>
      </c>
      <c r="E353" s="1">
        <v>440.1</v>
      </c>
      <c r="F353" s="1" t="s">
        <v>8</v>
      </c>
      <c r="G353" s="1" t="s">
        <v>9</v>
      </c>
      <c r="H353" s="1" t="s">
        <v>10</v>
      </c>
    </row>
    <row r="354" spans="1:8" x14ac:dyDescent="0.3">
      <c r="A354" s="1">
        <v>154</v>
      </c>
      <c r="B354" s="1" t="s">
        <v>14</v>
      </c>
      <c r="C354" s="1" t="s">
        <v>4490</v>
      </c>
      <c r="D354" s="1" t="s">
        <v>4491</v>
      </c>
      <c r="E354" s="1">
        <v>5971.28</v>
      </c>
      <c r="F354" s="1" t="s">
        <v>8</v>
      </c>
      <c r="G354" s="1" t="s">
        <v>9</v>
      </c>
      <c r="H354" s="1" t="s">
        <v>10</v>
      </c>
    </row>
    <row r="355" spans="1:8" x14ac:dyDescent="0.3">
      <c r="A355" s="1">
        <v>154</v>
      </c>
      <c r="B355" s="1" t="s">
        <v>14</v>
      </c>
      <c r="C355" s="1" t="s">
        <v>4492</v>
      </c>
      <c r="D355" s="1" t="s">
        <v>4493</v>
      </c>
      <c r="E355" s="1">
        <v>717.52</v>
      </c>
      <c r="F355" s="1" t="s">
        <v>8</v>
      </c>
      <c r="G355" s="1" t="s">
        <v>9</v>
      </c>
      <c r="H355" s="1" t="s">
        <v>10</v>
      </c>
    </row>
    <row r="356" spans="1:8" x14ac:dyDescent="0.3">
      <c r="A356" s="1">
        <v>154</v>
      </c>
      <c r="B356" s="1" t="s">
        <v>14</v>
      </c>
      <c r="C356" s="1" t="s">
        <v>4494</v>
      </c>
      <c r="D356" s="1" t="s">
        <v>4495</v>
      </c>
      <c r="E356" s="1">
        <v>457</v>
      </c>
      <c r="F356" s="1" t="s">
        <v>8</v>
      </c>
      <c r="G356" s="1" t="s">
        <v>9</v>
      </c>
      <c r="H356" s="1" t="s">
        <v>10</v>
      </c>
    </row>
    <row r="357" spans="1:8" x14ac:dyDescent="0.3">
      <c r="A357" s="1">
        <v>154</v>
      </c>
      <c r="B357" s="1" t="s">
        <v>14</v>
      </c>
      <c r="C357" s="1" t="s">
        <v>4496</v>
      </c>
      <c r="D357" s="1" t="s">
        <v>4497</v>
      </c>
      <c r="E357" s="1">
        <v>7142.19</v>
      </c>
      <c r="F357" s="1" t="s">
        <v>8</v>
      </c>
      <c r="G357" s="1" t="s">
        <v>9</v>
      </c>
      <c r="H357" s="1" t="s">
        <v>10</v>
      </c>
    </row>
    <row r="358" spans="1:8" x14ac:dyDescent="0.3">
      <c r="A358" s="1">
        <v>154</v>
      </c>
      <c r="B358" s="1" t="s">
        <v>14</v>
      </c>
      <c r="C358" s="1" t="s">
        <v>4498</v>
      </c>
      <c r="D358" s="1" t="s">
        <v>4499</v>
      </c>
      <c r="E358" s="1">
        <v>3535.2</v>
      </c>
      <c r="F358" s="1" t="s">
        <v>8</v>
      </c>
      <c r="G358" s="1" t="s">
        <v>9</v>
      </c>
      <c r="H358" s="1" t="s">
        <v>10</v>
      </c>
    </row>
    <row r="359" spans="1:8" x14ac:dyDescent="0.3">
      <c r="A359" s="1">
        <v>154</v>
      </c>
      <c r="B359" s="1" t="s">
        <v>14</v>
      </c>
      <c r="C359" s="1" t="s">
        <v>4500</v>
      </c>
      <c r="D359" s="1" t="s">
        <v>4501</v>
      </c>
      <c r="E359" s="1">
        <v>4488.6000000000004</v>
      </c>
      <c r="F359" s="1" t="s">
        <v>8</v>
      </c>
      <c r="G359" s="1" t="s">
        <v>9</v>
      </c>
      <c r="H359" s="1" t="s">
        <v>10</v>
      </c>
    </row>
    <row r="360" spans="1:8" x14ac:dyDescent="0.3">
      <c r="A360" s="1">
        <v>154</v>
      </c>
      <c r="B360" s="1" t="s">
        <v>14</v>
      </c>
      <c r="C360" s="1" t="s">
        <v>4502</v>
      </c>
      <c r="D360" s="1" t="s">
        <v>4503</v>
      </c>
      <c r="E360" s="1">
        <v>2750.4</v>
      </c>
      <c r="F360" s="1" t="s">
        <v>8</v>
      </c>
      <c r="G360" s="1" t="s">
        <v>9</v>
      </c>
      <c r="H360" s="1" t="s">
        <v>10</v>
      </c>
    </row>
    <row r="361" spans="1:8" x14ac:dyDescent="0.3">
      <c r="A361" s="1">
        <v>154</v>
      </c>
      <c r="B361" s="1" t="s">
        <v>14</v>
      </c>
      <c r="C361" s="1" t="s">
        <v>4504</v>
      </c>
      <c r="D361" s="1" t="s">
        <v>4505</v>
      </c>
      <c r="E361" s="1">
        <v>117</v>
      </c>
      <c r="F361" s="1" t="s">
        <v>8</v>
      </c>
      <c r="G361" s="1" t="s">
        <v>9</v>
      </c>
      <c r="H361" s="1" t="s">
        <v>10</v>
      </c>
    </row>
    <row r="362" spans="1:8" x14ac:dyDescent="0.3">
      <c r="A362" s="1">
        <v>154</v>
      </c>
      <c r="B362" s="1" t="s">
        <v>14</v>
      </c>
      <c r="C362" s="1" t="s">
        <v>4506</v>
      </c>
      <c r="D362" s="1" t="s">
        <v>4507</v>
      </c>
      <c r="E362" s="1">
        <v>5181.08</v>
      </c>
      <c r="F362" s="1" t="s">
        <v>8</v>
      </c>
      <c r="G362" s="1" t="s">
        <v>9</v>
      </c>
      <c r="H362" s="1" t="s">
        <v>10</v>
      </c>
    </row>
    <row r="363" spans="1:8" x14ac:dyDescent="0.3">
      <c r="A363" s="1">
        <v>154</v>
      </c>
      <c r="B363" s="1" t="s">
        <v>14</v>
      </c>
      <c r="C363" s="1" t="s">
        <v>4508</v>
      </c>
      <c r="D363" s="1" t="s">
        <v>4509</v>
      </c>
      <c r="E363" s="1">
        <v>10520</v>
      </c>
      <c r="F363" s="1" t="s">
        <v>8</v>
      </c>
      <c r="G363" s="1" t="s">
        <v>9</v>
      </c>
      <c r="H363" s="1" t="s">
        <v>10</v>
      </c>
    </row>
    <row r="364" spans="1:8" x14ac:dyDescent="0.3">
      <c r="A364" s="1">
        <v>154</v>
      </c>
      <c r="B364" s="1" t="s">
        <v>14</v>
      </c>
      <c r="C364" s="1" t="s">
        <v>4510</v>
      </c>
      <c r="D364" s="1" t="s">
        <v>4511</v>
      </c>
      <c r="E364" s="1">
        <v>284.39999999999998</v>
      </c>
      <c r="F364" s="1" t="s">
        <v>8</v>
      </c>
      <c r="G364" s="1" t="s">
        <v>9</v>
      </c>
      <c r="H364" s="1" t="s">
        <v>10</v>
      </c>
    </row>
    <row r="365" spans="1:8" x14ac:dyDescent="0.3">
      <c r="A365" s="1">
        <v>154</v>
      </c>
      <c r="B365" s="1" t="s">
        <v>14</v>
      </c>
      <c r="C365" s="1" t="s">
        <v>4512</v>
      </c>
      <c r="D365" s="1" t="s">
        <v>4513</v>
      </c>
      <c r="E365" s="1">
        <v>91.26</v>
      </c>
      <c r="F365" s="1" t="s">
        <v>8</v>
      </c>
      <c r="G365" s="1" t="s">
        <v>9</v>
      </c>
      <c r="H365" s="1" t="s">
        <v>10</v>
      </c>
    </row>
    <row r="366" spans="1:8" x14ac:dyDescent="0.3">
      <c r="A366" s="1">
        <v>154</v>
      </c>
      <c r="B366" s="1" t="s">
        <v>14</v>
      </c>
      <c r="C366" s="1" t="s">
        <v>4514</v>
      </c>
      <c r="D366" s="1" t="s">
        <v>4515</v>
      </c>
      <c r="E366" s="1">
        <v>34.31</v>
      </c>
      <c r="F366" s="1" t="s">
        <v>8</v>
      </c>
      <c r="G366" s="1" t="s">
        <v>9</v>
      </c>
      <c r="H366" s="1" t="s">
        <v>10</v>
      </c>
    </row>
    <row r="367" spans="1:8" x14ac:dyDescent="0.3">
      <c r="A367" s="1">
        <v>154</v>
      </c>
      <c r="B367" s="1" t="s">
        <v>14</v>
      </c>
      <c r="C367" s="1" t="s">
        <v>4516</v>
      </c>
      <c r="D367" s="1" t="s">
        <v>4517</v>
      </c>
      <c r="E367" s="1">
        <v>265.2</v>
      </c>
      <c r="F367" s="1" t="s">
        <v>8</v>
      </c>
      <c r="G367" s="1" t="s">
        <v>9</v>
      </c>
      <c r="H367" s="1" t="s">
        <v>10</v>
      </c>
    </row>
    <row r="368" spans="1:8" x14ac:dyDescent="0.3">
      <c r="A368" s="1">
        <v>154</v>
      </c>
      <c r="B368" s="1" t="s">
        <v>14</v>
      </c>
      <c r="C368" s="1" t="s">
        <v>4518</v>
      </c>
      <c r="D368" s="1" t="s">
        <v>4519</v>
      </c>
      <c r="E368" s="1">
        <v>954.85</v>
      </c>
      <c r="F368" s="1" t="s">
        <v>8</v>
      </c>
      <c r="G368" s="1" t="s">
        <v>9</v>
      </c>
      <c r="H368" s="1" t="s">
        <v>10</v>
      </c>
    </row>
    <row r="369" spans="1:8" x14ac:dyDescent="0.3">
      <c r="A369" s="1">
        <v>154</v>
      </c>
      <c r="B369" s="1" t="s">
        <v>14</v>
      </c>
      <c r="C369" s="1" t="s">
        <v>4520</v>
      </c>
      <c r="D369" s="1" t="s">
        <v>4521</v>
      </c>
      <c r="E369" s="1">
        <v>605</v>
      </c>
      <c r="F369" s="1" t="s">
        <v>8</v>
      </c>
      <c r="G369" s="1" t="s">
        <v>9</v>
      </c>
      <c r="H369" s="1" t="s">
        <v>10</v>
      </c>
    </row>
    <row r="370" spans="1:8" x14ac:dyDescent="0.3">
      <c r="A370" s="1">
        <v>154</v>
      </c>
      <c r="B370" s="1" t="s">
        <v>14</v>
      </c>
      <c r="C370" s="1" t="s">
        <v>4522</v>
      </c>
      <c r="D370" s="1" t="s">
        <v>4523</v>
      </c>
      <c r="E370" s="1">
        <v>2463.6</v>
      </c>
      <c r="F370" s="1" t="s">
        <v>8</v>
      </c>
      <c r="G370" s="1" t="s">
        <v>9</v>
      </c>
      <c r="H370" s="1" t="s">
        <v>10</v>
      </c>
    </row>
    <row r="371" spans="1:8" x14ac:dyDescent="0.3">
      <c r="A371" s="1">
        <v>154</v>
      </c>
      <c r="B371" s="1" t="s">
        <v>14</v>
      </c>
      <c r="C371" s="1" t="s">
        <v>4524</v>
      </c>
      <c r="D371" s="1" t="s">
        <v>4525</v>
      </c>
      <c r="E371" s="1">
        <v>6104.91</v>
      </c>
      <c r="F371" s="1" t="s">
        <v>8</v>
      </c>
      <c r="G371" s="1" t="s">
        <v>9</v>
      </c>
      <c r="H371" s="1" t="s">
        <v>10</v>
      </c>
    </row>
    <row r="372" spans="1:8" x14ac:dyDescent="0.3">
      <c r="A372" s="1">
        <v>154</v>
      </c>
      <c r="B372" s="1" t="s">
        <v>14</v>
      </c>
      <c r="C372" s="1" t="s">
        <v>4526</v>
      </c>
      <c r="D372" s="1" t="s">
        <v>4527</v>
      </c>
      <c r="E372" s="1">
        <v>1057.78</v>
      </c>
      <c r="F372" s="1" t="s">
        <v>8</v>
      </c>
      <c r="G372" s="1" t="s">
        <v>9</v>
      </c>
      <c r="H372" s="1" t="s">
        <v>10</v>
      </c>
    </row>
    <row r="373" spans="1:8" x14ac:dyDescent="0.3">
      <c r="A373" s="1">
        <v>154</v>
      </c>
      <c r="B373" s="1" t="s">
        <v>14</v>
      </c>
      <c r="C373" s="1" t="s">
        <v>4528</v>
      </c>
      <c r="D373" s="1" t="s">
        <v>4529</v>
      </c>
      <c r="E373" s="1">
        <v>5726.31</v>
      </c>
      <c r="F373" s="1" t="s">
        <v>8</v>
      </c>
      <c r="G373" s="1" t="s">
        <v>9</v>
      </c>
      <c r="H373" s="1" t="s">
        <v>10</v>
      </c>
    </row>
    <row r="374" spans="1:8" x14ac:dyDescent="0.3">
      <c r="A374" s="1">
        <v>154</v>
      </c>
      <c r="B374" s="1" t="s">
        <v>14</v>
      </c>
      <c r="C374" s="1" t="s">
        <v>4530</v>
      </c>
      <c r="D374" s="1" t="s">
        <v>4531</v>
      </c>
      <c r="E374" s="1">
        <v>1433.9</v>
      </c>
      <c r="F374" s="1" t="s">
        <v>8</v>
      </c>
      <c r="G374" s="1" t="s">
        <v>9</v>
      </c>
      <c r="H374" s="1" t="s">
        <v>10</v>
      </c>
    </row>
    <row r="375" spans="1:8" x14ac:dyDescent="0.3">
      <c r="A375" s="1">
        <v>154</v>
      </c>
      <c r="B375" s="1" t="s">
        <v>14</v>
      </c>
      <c r="C375" s="1" t="s">
        <v>4532</v>
      </c>
      <c r="D375" s="1" t="s">
        <v>4533</v>
      </c>
      <c r="E375" s="1">
        <v>370.87</v>
      </c>
      <c r="F375" s="1" t="s">
        <v>8</v>
      </c>
      <c r="G375" s="1" t="s">
        <v>9</v>
      </c>
      <c r="H375" s="1" t="s">
        <v>10</v>
      </c>
    </row>
    <row r="376" spans="1:8" x14ac:dyDescent="0.3">
      <c r="A376" s="1">
        <v>154</v>
      </c>
      <c r="B376" s="1" t="s">
        <v>14</v>
      </c>
      <c r="C376" s="1" t="s">
        <v>4534</v>
      </c>
      <c r="D376" s="1" t="s">
        <v>4535</v>
      </c>
      <c r="E376" s="1">
        <v>1597.67</v>
      </c>
      <c r="F376" s="1" t="s">
        <v>8</v>
      </c>
      <c r="G376" s="1" t="s">
        <v>9</v>
      </c>
      <c r="H376" s="1" t="s">
        <v>10</v>
      </c>
    </row>
    <row r="377" spans="1:8" x14ac:dyDescent="0.3">
      <c r="A377" s="1">
        <v>154</v>
      </c>
      <c r="B377" s="1" t="s">
        <v>14</v>
      </c>
      <c r="C377" s="1" t="s">
        <v>4536</v>
      </c>
      <c r="D377" s="1" t="s">
        <v>4537</v>
      </c>
      <c r="E377" s="1">
        <v>1900.04</v>
      </c>
      <c r="F377" s="1" t="s">
        <v>8</v>
      </c>
      <c r="G377" s="1" t="s">
        <v>9</v>
      </c>
      <c r="H377" s="1" t="s">
        <v>10</v>
      </c>
    </row>
    <row r="378" spans="1:8" x14ac:dyDescent="0.3">
      <c r="A378" s="1">
        <v>154</v>
      </c>
      <c r="B378" s="1" t="s">
        <v>14</v>
      </c>
      <c r="C378" s="1" t="s">
        <v>4538</v>
      </c>
      <c r="D378" s="1" t="s">
        <v>4539</v>
      </c>
      <c r="E378" s="1">
        <v>2169.73</v>
      </c>
      <c r="F378" s="1" t="s">
        <v>8</v>
      </c>
      <c r="G378" s="1" t="s">
        <v>9</v>
      </c>
      <c r="H378" s="1" t="s">
        <v>10</v>
      </c>
    </row>
    <row r="379" spans="1:8" x14ac:dyDescent="0.3">
      <c r="A379" s="1">
        <v>154</v>
      </c>
      <c r="B379" s="1" t="s">
        <v>14</v>
      </c>
      <c r="C379" s="1" t="s">
        <v>4540</v>
      </c>
      <c r="D379" s="1" t="s">
        <v>4541</v>
      </c>
      <c r="E379" s="1">
        <v>664.09</v>
      </c>
      <c r="F379" s="1" t="s">
        <v>8</v>
      </c>
      <c r="G379" s="1" t="s">
        <v>9</v>
      </c>
      <c r="H379" s="1" t="s">
        <v>10</v>
      </c>
    </row>
    <row r="380" spans="1:8" x14ac:dyDescent="0.3">
      <c r="A380" s="1">
        <v>154</v>
      </c>
      <c r="B380" s="1" t="s">
        <v>14</v>
      </c>
      <c r="C380" s="1" t="s">
        <v>4542</v>
      </c>
      <c r="D380" s="1" t="s">
        <v>4543</v>
      </c>
      <c r="E380" s="1">
        <v>200</v>
      </c>
      <c r="F380" s="1" t="s">
        <v>8</v>
      </c>
      <c r="G380" s="1" t="s">
        <v>9</v>
      </c>
      <c r="H380" s="1" t="s">
        <v>10</v>
      </c>
    </row>
    <row r="381" spans="1:8" x14ac:dyDescent="0.3">
      <c r="A381" s="1">
        <v>154</v>
      </c>
      <c r="B381" s="1" t="s">
        <v>14</v>
      </c>
      <c r="C381" s="1" t="s">
        <v>4544</v>
      </c>
      <c r="D381" s="1" t="s">
        <v>4545</v>
      </c>
      <c r="E381" s="1">
        <v>2467.7800000000002</v>
      </c>
      <c r="F381" s="1" t="s">
        <v>8</v>
      </c>
      <c r="G381" s="1" t="s">
        <v>9</v>
      </c>
      <c r="H381" s="1" t="s">
        <v>10</v>
      </c>
    </row>
    <row r="382" spans="1:8" x14ac:dyDescent="0.3">
      <c r="A382" s="1">
        <v>154</v>
      </c>
      <c r="B382" s="1" t="s">
        <v>14</v>
      </c>
      <c r="C382" s="1" t="s">
        <v>4546</v>
      </c>
      <c r="D382" s="1" t="s">
        <v>4547</v>
      </c>
      <c r="E382" s="1">
        <v>871.5</v>
      </c>
      <c r="F382" s="1" t="s">
        <v>8</v>
      </c>
      <c r="G382" s="1" t="s">
        <v>9</v>
      </c>
      <c r="H382" s="1" t="s">
        <v>10</v>
      </c>
    </row>
    <row r="383" spans="1:8" x14ac:dyDescent="0.3">
      <c r="A383" s="1">
        <v>154</v>
      </c>
      <c r="B383" s="1" t="s">
        <v>14</v>
      </c>
      <c r="C383" s="1" t="s">
        <v>4015</v>
      </c>
      <c r="D383" s="1" t="s">
        <v>4548</v>
      </c>
      <c r="E383" s="1">
        <v>6349.38</v>
      </c>
      <c r="F383" s="1" t="s">
        <v>8</v>
      </c>
      <c r="G383" s="1" t="s">
        <v>9</v>
      </c>
      <c r="H383" s="1" t="s">
        <v>10</v>
      </c>
    </row>
    <row r="384" spans="1:8" x14ac:dyDescent="0.3">
      <c r="A384" s="1">
        <v>154</v>
      </c>
      <c r="B384" s="1" t="s">
        <v>14</v>
      </c>
      <c r="C384" s="1" t="s">
        <v>4549</v>
      </c>
      <c r="D384" s="1" t="s">
        <v>4550</v>
      </c>
      <c r="E384" s="1">
        <v>1317.67</v>
      </c>
      <c r="F384" s="1" t="s">
        <v>8</v>
      </c>
      <c r="G384" s="1" t="s">
        <v>9</v>
      </c>
      <c r="H384" s="1" t="s">
        <v>10</v>
      </c>
    </row>
    <row r="385" spans="1:8" x14ac:dyDescent="0.3">
      <c r="A385" s="1">
        <v>154</v>
      </c>
      <c r="B385" s="1" t="s">
        <v>14</v>
      </c>
      <c r="C385" s="1" t="s">
        <v>4551</v>
      </c>
      <c r="D385" s="1" t="s">
        <v>4552</v>
      </c>
      <c r="E385" s="1">
        <v>368.88</v>
      </c>
      <c r="F385" s="1" t="s">
        <v>8</v>
      </c>
      <c r="G385" s="1" t="s">
        <v>9</v>
      </c>
      <c r="H385" s="1" t="s">
        <v>10</v>
      </c>
    </row>
    <row r="386" spans="1:8" x14ac:dyDescent="0.3">
      <c r="A386" s="1">
        <v>154</v>
      </c>
      <c r="B386" s="1" t="s">
        <v>14</v>
      </c>
      <c r="C386" s="1" t="s">
        <v>4553</v>
      </c>
      <c r="D386" s="1" t="s">
        <v>4554</v>
      </c>
      <c r="E386" s="1">
        <v>1123.8</v>
      </c>
      <c r="F386" s="1" t="s">
        <v>8</v>
      </c>
      <c r="G386" s="1" t="s">
        <v>9</v>
      </c>
      <c r="H386" s="1" t="s">
        <v>10</v>
      </c>
    </row>
    <row r="387" spans="1:8" x14ac:dyDescent="0.3">
      <c r="A387" s="1">
        <v>154</v>
      </c>
      <c r="B387" s="1" t="s">
        <v>14</v>
      </c>
      <c r="C387" s="1" t="s">
        <v>4555</v>
      </c>
      <c r="D387" s="1" t="s">
        <v>4556</v>
      </c>
      <c r="E387" s="1">
        <v>71.28</v>
      </c>
      <c r="F387" s="1" t="s">
        <v>8</v>
      </c>
      <c r="G387" s="1" t="s">
        <v>9</v>
      </c>
      <c r="H387" s="1" t="s">
        <v>10</v>
      </c>
    </row>
    <row r="388" spans="1:8" x14ac:dyDescent="0.3">
      <c r="A388" s="1">
        <v>154</v>
      </c>
      <c r="B388" s="1" t="s">
        <v>14</v>
      </c>
      <c r="C388" s="1" t="s">
        <v>4557</v>
      </c>
      <c r="D388" s="1" t="s">
        <v>4558</v>
      </c>
      <c r="E388" s="1">
        <v>1882.95</v>
      </c>
      <c r="F388" s="1" t="s">
        <v>8</v>
      </c>
      <c r="G388" s="1" t="s">
        <v>9</v>
      </c>
      <c r="H388" s="1" t="s">
        <v>10</v>
      </c>
    </row>
    <row r="389" spans="1:8" x14ac:dyDescent="0.3">
      <c r="A389" s="1">
        <v>154</v>
      </c>
      <c r="B389" s="1" t="s">
        <v>14</v>
      </c>
      <c r="C389" s="1" t="s">
        <v>4559</v>
      </c>
      <c r="D389" s="1" t="s">
        <v>4560</v>
      </c>
      <c r="E389" s="1">
        <v>1388.4</v>
      </c>
      <c r="F389" s="1" t="s">
        <v>8</v>
      </c>
      <c r="G389" s="1" t="s">
        <v>9</v>
      </c>
      <c r="H389" s="1" t="s">
        <v>10</v>
      </c>
    </row>
    <row r="390" spans="1:8" x14ac:dyDescent="0.3">
      <c r="A390" s="1">
        <v>154</v>
      </c>
      <c r="B390" s="1" t="s">
        <v>14</v>
      </c>
      <c r="C390" s="1" t="s">
        <v>4561</v>
      </c>
      <c r="D390" s="1" t="s">
        <v>4562</v>
      </c>
      <c r="E390" s="1">
        <v>655.16</v>
      </c>
      <c r="F390" s="1" t="s">
        <v>8</v>
      </c>
      <c r="G390" s="1" t="s">
        <v>9</v>
      </c>
      <c r="H390" s="1" t="s">
        <v>10</v>
      </c>
    </row>
    <row r="391" spans="1:8" x14ac:dyDescent="0.3">
      <c r="A391" s="1">
        <v>154</v>
      </c>
      <c r="B391" s="1" t="s">
        <v>14</v>
      </c>
      <c r="C391" s="1" t="s">
        <v>4563</v>
      </c>
      <c r="D391" s="1" t="s">
        <v>4564</v>
      </c>
      <c r="E391" s="1">
        <v>1631.76</v>
      </c>
      <c r="F391" s="1" t="s">
        <v>8</v>
      </c>
      <c r="G391" s="1" t="s">
        <v>9</v>
      </c>
      <c r="H391" s="1" t="s">
        <v>10</v>
      </c>
    </row>
    <row r="392" spans="1:8" x14ac:dyDescent="0.3">
      <c r="A392" s="1">
        <v>154</v>
      </c>
      <c r="B392" s="1" t="s">
        <v>14</v>
      </c>
      <c r="C392" s="1" t="s">
        <v>4565</v>
      </c>
      <c r="D392" s="1" t="s">
        <v>4566</v>
      </c>
      <c r="E392" s="1">
        <v>1565.16</v>
      </c>
      <c r="F392" s="1" t="s">
        <v>8</v>
      </c>
      <c r="G392" s="1" t="s">
        <v>9</v>
      </c>
      <c r="H392" s="1" t="s">
        <v>10</v>
      </c>
    </row>
    <row r="393" spans="1:8" x14ac:dyDescent="0.3">
      <c r="A393" s="1">
        <v>154</v>
      </c>
      <c r="B393" s="1" t="s">
        <v>14</v>
      </c>
      <c r="C393" s="1" t="s">
        <v>2321</v>
      </c>
      <c r="D393" s="1" t="s">
        <v>4567</v>
      </c>
      <c r="E393" s="1">
        <v>823.1</v>
      </c>
      <c r="F393" s="1" t="s">
        <v>8</v>
      </c>
      <c r="G393" s="1" t="s">
        <v>9</v>
      </c>
      <c r="H393" s="1" t="s">
        <v>10</v>
      </c>
    </row>
    <row r="394" spans="1:8" x14ac:dyDescent="0.3">
      <c r="A394" s="1">
        <v>154</v>
      </c>
      <c r="B394" s="1" t="s">
        <v>14</v>
      </c>
      <c r="C394" s="1" t="s">
        <v>4568</v>
      </c>
      <c r="D394" s="1" t="s">
        <v>4569</v>
      </c>
      <c r="E394" s="1">
        <v>266.17</v>
      </c>
      <c r="F394" s="1" t="s">
        <v>8</v>
      </c>
      <c r="G394" s="1" t="s">
        <v>9</v>
      </c>
      <c r="H394" s="1" t="s">
        <v>10</v>
      </c>
    </row>
    <row r="395" spans="1:8" x14ac:dyDescent="0.3">
      <c r="A395" s="1">
        <v>154</v>
      </c>
      <c r="B395" s="1" t="s">
        <v>14</v>
      </c>
      <c r="C395" s="1" t="s">
        <v>4570</v>
      </c>
      <c r="D395" s="1" t="s">
        <v>4571</v>
      </c>
      <c r="E395" s="1">
        <v>313.87</v>
      </c>
      <c r="F395" s="1" t="s">
        <v>8</v>
      </c>
      <c r="G395" s="1" t="s">
        <v>9</v>
      </c>
      <c r="H395" s="1" t="s">
        <v>10</v>
      </c>
    </row>
    <row r="396" spans="1:8" x14ac:dyDescent="0.3">
      <c r="A396" s="1">
        <v>154</v>
      </c>
      <c r="B396" s="1" t="s">
        <v>14</v>
      </c>
      <c r="C396" s="1" t="s">
        <v>4572</v>
      </c>
      <c r="D396" s="1" t="s">
        <v>4573</v>
      </c>
      <c r="E396" s="1">
        <v>1199.02</v>
      </c>
      <c r="F396" s="1" t="s">
        <v>8</v>
      </c>
      <c r="G396" s="1" t="s">
        <v>9</v>
      </c>
      <c r="H396" s="1" t="s">
        <v>10</v>
      </c>
    </row>
    <row r="397" spans="1:8" x14ac:dyDescent="0.3">
      <c r="A397" s="1">
        <v>154</v>
      </c>
      <c r="B397" s="1" t="s">
        <v>14</v>
      </c>
      <c r="C397" s="1" t="s">
        <v>4574</v>
      </c>
      <c r="D397" s="1" t="s">
        <v>4575</v>
      </c>
      <c r="E397" s="1">
        <v>1658.45</v>
      </c>
      <c r="F397" s="1" t="s">
        <v>8</v>
      </c>
      <c r="G397" s="1" t="s">
        <v>9</v>
      </c>
      <c r="H397" s="1" t="s">
        <v>10</v>
      </c>
    </row>
    <row r="398" spans="1:8" x14ac:dyDescent="0.3">
      <c r="A398" s="1">
        <v>154</v>
      </c>
      <c r="B398" s="1" t="s">
        <v>14</v>
      </c>
      <c r="C398" s="1" t="s">
        <v>4576</v>
      </c>
      <c r="D398" s="1" t="s">
        <v>4577</v>
      </c>
      <c r="E398" s="1">
        <v>405.5</v>
      </c>
      <c r="F398" s="1" t="s">
        <v>8</v>
      </c>
      <c r="G398" s="1" t="s">
        <v>9</v>
      </c>
      <c r="H398" s="1" t="s">
        <v>10</v>
      </c>
    </row>
    <row r="399" spans="1:8" x14ac:dyDescent="0.3">
      <c r="A399" s="1">
        <v>154</v>
      </c>
      <c r="B399" s="1" t="s">
        <v>14</v>
      </c>
      <c r="C399" s="1" t="s">
        <v>4578</v>
      </c>
      <c r="D399" s="1" t="s">
        <v>4579</v>
      </c>
      <c r="E399" s="1">
        <v>6508.1</v>
      </c>
      <c r="F399" s="1" t="s">
        <v>8</v>
      </c>
      <c r="G399" s="1" t="s">
        <v>9</v>
      </c>
      <c r="H399" s="1" t="s">
        <v>10</v>
      </c>
    </row>
    <row r="400" spans="1:8" x14ac:dyDescent="0.3">
      <c r="A400" s="1">
        <v>154</v>
      </c>
      <c r="B400" s="1" t="s">
        <v>14</v>
      </c>
      <c r="C400" s="1" t="s">
        <v>4580</v>
      </c>
      <c r="D400" s="1" t="s">
        <v>4581</v>
      </c>
      <c r="E400" s="1">
        <v>1038.78</v>
      </c>
      <c r="F400" s="1" t="s">
        <v>8</v>
      </c>
      <c r="G400" s="1" t="s">
        <v>9</v>
      </c>
      <c r="H400" s="1" t="s">
        <v>10</v>
      </c>
    </row>
    <row r="401" spans="1:8" x14ac:dyDescent="0.3">
      <c r="A401" s="1">
        <v>154</v>
      </c>
      <c r="B401" s="1" t="s">
        <v>14</v>
      </c>
      <c r="C401" s="1" t="s">
        <v>4582</v>
      </c>
      <c r="D401" s="1" t="s">
        <v>4583</v>
      </c>
      <c r="E401" s="1">
        <v>1303</v>
      </c>
      <c r="F401" s="1" t="s">
        <v>8</v>
      </c>
      <c r="G401" s="1" t="s">
        <v>9</v>
      </c>
      <c r="H401" s="1" t="s">
        <v>10</v>
      </c>
    </row>
    <row r="402" spans="1:8" x14ac:dyDescent="0.3">
      <c r="A402" s="1">
        <v>154</v>
      </c>
      <c r="B402" s="1" t="s">
        <v>14</v>
      </c>
      <c r="C402" s="1" t="s">
        <v>4584</v>
      </c>
      <c r="D402" s="1" t="s">
        <v>4585</v>
      </c>
      <c r="E402" s="1">
        <v>2357.4</v>
      </c>
      <c r="F402" s="1" t="s">
        <v>8</v>
      </c>
      <c r="G402" s="1" t="s">
        <v>9</v>
      </c>
      <c r="H402" s="1" t="s">
        <v>10</v>
      </c>
    </row>
    <row r="403" spans="1:8" x14ac:dyDescent="0.3">
      <c r="A403" s="1">
        <v>154</v>
      </c>
      <c r="B403" s="1" t="s">
        <v>14</v>
      </c>
      <c r="C403" s="1" t="s">
        <v>4586</v>
      </c>
      <c r="D403" s="1" t="s">
        <v>4587</v>
      </c>
      <c r="E403" s="1">
        <v>1651.12</v>
      </c>
      <c r="F403" s="1" t="s">
        <v>8</v>
      </c>
      <c r="G403" s="1" t="s">
        <v>9</v>
      </c>
      <c r="H403" s="1" t="s">
        <v>10</v>
      </c>
    </row>
    <row r="404" spans="1:8" x14ac:dyDescent="0.3">
      <c r="A404" s="1">
        <v>154</v>
      </c>
      <c r="B404" s="1" t="s">
        <v>14</v>
      </c>
      <c r="C404" s="1" t="s">
        <v>4588</v>
      </c>
      <c r="D404" s="1" t="s">
        <v>4589</v>
      </c>
      <c r="E404" s="1">
        <v>1628.75</v>
      </c>
      <c r="F404" s="1" t="s">
        <v>8</v>
      </c>
      <c r="G404" s="1" t="s">
        <v>9</v>
      </c>
      <c r="H404" s="1" t="s">
        <v>10</v>
      </c>
    </row>
    <row r="405" spans="1:8" x14ac:dyDescent="0.3">
      <c r="A405" s="1">
        <v>154</v>
      </c>
      <c r="B405" s="1" t="s">
        <v>14</v>
      </c>
      <c r="C405" s="1" t="s">
        <v>4590</v>
      </c>
      <c r="D405" s="1" t="s">
        <v>4591</v>
      </c>
      <c r="E405" s="1">
        <v>1725.9</v>
      </c>
      <c r="F405" s="1" t="s">
        <v>8</v>
      </c>
      <c r="G405" s="1" t="s">
        <v>9</v>
      </c>
      <c r="H405" s="1" t="s">
        <v>10</v>
      </c>
    </row>
    <row r="406" spans="1:8" x14ac:dyDescent="0.3">
      <c r="A406" s="1">
        <v>154</v>
      </c>
      <c r="B406" s="1" t="s">
        <v>14</v>
      </c>
      <c r="C406" s="1" t="s">
        <v>4592</v>
      </c>
      <c r="D406" s="1" t="s">
        <v>4593</v>
      </c>
      <c r="E406" s="1">
        <v>1577.65</v>
      </c>
      <c r="F406" s="1" t="s">
        <v>8</v>
      </c>
      <c r="G406" s="1" t="s">
        <v>9</v>
      </c>
      <c r="H406" s="1" t="s">
        <v>10</v>
      </c>
    </row>
    <row r="407" spans="1:8" x14ac:dyDescent="0.3">
      <c r="A407" s="1">
        <v>154</v>
      </c>
      <c r="B407" s="1" t="s">
        <v>14</v>
      </c>
      <c r="C407" s="1" t="s">
        <v>4594</v>
      </c>
      <c r="D407" s="1" t="s">
        <v>4595</v>
      </c>
      <c r="E407" s="1">
        <v>1921.19</v>
      </c>
      <c r="F407" s="1" t="s">
        <v>8</v>
      </c>
      <c r="G407" s="1" t="s">
        <v>9</v>
      </c>
      <c r="H407" s="1" t="s">
        <v>10</v>
      </c>
    </row>
    <row r="408" spans="1:8" x14ac:dyDescent="0.3">
      <c r="A408" s="1">
        <v>154</v>
      </c>
      <c r="B408" s="1" t="s">
        <v>14</v>
      </c>
      <c r="C408" s="1" t="s">
        <v>4596</v>
      </c>
      <c r="D408" s="1" t="s">
        <v>4597</v>
      </c>
      <c r="E408" s="1">
        <v>1579.26</v>
      </c>
      <c r="F408" s="1" t="s">
        <v>8</v>
      </c>
      <c r="G408" s="1" t="s">
        <v>9</v>
      </c>
      <c r="H408" s="1" t="s">
        <v>10</v>
      </c>
    </row>
    <row r="409" spans="1:8" x14ac:dyDescent="0.3">
      <c r="A409" s="1">
        <v>154</v>
      </c>
      <c r="B409" s="1" t="s">
        <v>14</v>
      </c>
      <c r="C409" s="1" t="s">
        <v>4598</v>
      </c>
      <c r="D409" s="1" t="s">
        <v>4599</v>
      </c>
      <c r="E409" s="1">
        <v>1407.29</v>
      </c>
      <c r="F409" s="1" t="s">
        <v>8</v>
      </c>
      <c r="G409" s="1" t="s">
        <v>9</v>
      </c>
      <c r="H409" s="1" t="s">
        <v>10</v>
      </c>
    </row>
    <row r="410" spans="1:8" x14ac:dyDescent="0.3">
      <c r="A410" s="1">
        <v>154</v>
      </c>
      <c r="B410" s="1" t="s">
        <v>14</v>
      </c>
      <c r="C410" s="1" t="s">
        <v>4600</v>
      </c>
      <c r="D410" s="1" t="s">
        <v>4601</v>
      </c>
      <c r="E410" s="1">
        <v>1887.16</v>
      </c>
      <c r="F410" s="1" t="s">
        <v>8</v>
      </c>
      <c r="G410" s="1" t="s">
        <v>9</v>
      </c>
      <c r="H410" s="1" t="s">
        <v>10</v>
      </c>
    </row>
    <row r="411" spans="1:8" x14ac:dyDescent="0.3">
      <c r="A411" s="1">
        <v>154</v>
      </c>
      <c r="B411" s="1" t="s">
        <v>14</v>
      </c>
      <c r="C411" s="1" t="s">
        <v>4602</v>
      </c>
      <c r="D411" s="1" t="s">
        <v>4603</v>
      </c>
      <c r="E411" s="1">
        <v>1088.3399999999999</v>
      </c>
      <c r="F411" s="1" t="s">
        <v>8</v>
      </c>
      <c r="G411" s="1" t="s">
        <v>9</v>
      </c>
      <c r="H411" s="1" t="s">
        <v>10</v>
      </c>
    </row>
    <row r="412" spans="1:8" x14ac:dyDescent="0.3">
      <c r="A412" s="1">
        <v>154</v>
      </c>
      <c r="B412" s="1" t="s">
        <v>14</v>
      </c>
      <c r="C412" s="1" t="s">
        <v>4604</v>
      </c>
      <c r="D412" s="1" t="s">
        <v>4605</v>
      </c>
      <c r="E412" s="1">
        <v>1433.37</v>
      </c>
      <c r="F412" s="1" t="s">
        <v>8</v>
      </c>
      <c r="G412" s="1" t="s">
        <v>9</v>
      </c>
      <c r="H412" s="1" t="s">
        <v>10</v>
      </c>
    </row>
    <row r="413" spans="1:8" x14ac:dyDescent="0.3">
      <c r="A413" s="1">
        <v>154</v>
      </c>
      <c r="B413" s="1" t="s">
        <v>14</v>
      </c>
      <c r="C413" s="1" t="s">
        <v>4606</v>
      </c>
      <c r="D413" s="1" t="s">
        <v>4607</v>
      </c>
      <c r="E413" s="1">
        <v>4750.0200000000004</v>
      </c>
      <c r="F413" s="1" t="s">
        <v>8</v>
      </c>
      <c r="G413" s="1" t="s">
        <v>9</v>
      </c>
      <c r="H413" s="1" t="s">
        <v>10</v>
      </c>
    </row>
    <row r="414" spans="1:8" x14ac:dyDescent="0.3">
      <c r="A414" s="1">
        <v>154</v>
      </c>
      <c r="B414" s="1" t="s">
        <v>14</v>
      </c>
      <c r="C414" s="1" t="s">
        <v>4608</v>
      </c>
      <c r="D414" s="1" t="s">
        <v>4609</v>
      </c>
      <c r="E414" s="1">
        <v>156</v>
      </c>
      <c r="F414" s="1" t="s">
        <v>8</v>
      </c>
      <c r="G414" s="1" t="s">
        <v>9</v>
      </c>
      <c r="H414" s="1" t="s">
        <v>10</v>
      </c>
    </row>
    <row r="415" spans="1:8" x14ac:dyDescent="0.3">
      <c r="A415" s="1">
        <v>154</v>
      </c>
      <c r="B415" s="1" t="s">
        <v>14</v>
      </c>
      <c r="C415" s="1" t="s">
        <v>4610</v>
      </c>
      <c r="D415" s="1" t="s">
        <v>4611</v>
      </c>
      <c r="E415" s="1">
        <v>10997.53</v>
      </c>
      <c r="F415" s="1" t="s">
        <v>8</v>
      </c>
      <c r="G415" s="1" t="s">
        <v>9</v>
      </c>
      <c r="H415" s="1" t="s">
        <v>10</v>
      </c>
    </row>
    <row r="416" spans="1:8" x14ac:dyDescent="0.3">
      <c r="A416" s="1">
        <v>154</v>
      </c>
      <c r="B416" s="1" t="s">
        <v>14</v>
      </c>
      <c r="C416" s="1" t="s">
        <v>4612</v>
      </c>
      <c r="D416" s="1" t="s">
        <v>4613</v>
      </c>
      <c r="E416" s="1">
        <v>618.83000000000004</v>
      </c>
      <c r="F416" s="1" t="s">
        <v>8</v>
      </c>
      <c r="G416" s="1" t="s">
        <v>9</v>
      </c>
      <c r="H416" s="1" t="s">
        <v>10</v>
      </c>
    </row>
    <row r="417" spans="1:8" x14ac:dyDescent="0.3">
      <c r="A417" s="1">
        <v>154</v>
      </c>
      <c r="B417" s="1" t="s">
        <v>14</v>
      </c>
      <c r="C417" s="1" t="s">
        <v>4614</v>
      </c>
      <c r="D417" s="1" t="s">
        <v>4615</v>
      </c>
      <c r="E417" s="1">
        <v>1873.46</v>
      </c>
      <c r="F417" s="1" t="s">
        <v>8</v>
      </c>
      <c r="G417" s="1" t="s">
        <v>9</v>
      </c>
      <c r="H417" s="1" t="s">
        <v>10</v>
      </c>
    </row>
    <row r="418" spans="1:8" x14ac:dyDescent="0.3">
      <c r="A418" s="1">
        <v>154</v>
      </c>
      <c r="B418" s="1" t="s">
        <v>14</v>
      </c>
      <c r="C418" s="1" t="s">
        <v>4616</v>
      </c>
      <c r="D418" s="1" t="s">
        <v>4617</v>
      </c>
      <c r="E418" s="1">
        <v>839.6</v>
      </c>
      <c r="F418" s="1" t="s">
        <v>8</v>
      </c>
      <c r="G418" s="1" t="s">
        <v>9</v>
      </c>
      <c r="H418" s="1" t="s">
        <v>10</v>
      </c>
    </row>
    <row r="419" spans="1:8" x14ac:dyDescent="0.3">
      <c r="A419" s="1">
        <v>154</v>
      </c>
      <c r="B419" s="1" t="s">
        <v>14</v>
      </c>
      <c r="C419" s="1" t="s">
        <v>4618</v>
      </c>
      <c r="D419" s="1" t="s">
        <v>4619</v>
      </c>
      <c r="E419" s="1">
        <v>2960.2</v>
      </c>
      <c r="F419" s="1" t="s">
        <v>8</v>
      </c>
      <c r="G419" s="1" t="s">
        <v>9</v>
      </c>
      <c r="H419" s="1" t="s">
        <v>10</v>
      </c>
    </row>
    <row r="420" spans="1:8" x14ac:dyDescent="0.3">
      <c r="A420" s="1">
        <v>154</v>
      </c>
      <c r="B420" s="1" t="s">
        <v>14</v>
      </c>
      <c r="C420" s="1" t="s">
        <v>4620</v>
      </c>
      <c r="D420" s="1" t="s">
        <v>4621</v>
      </c>
      <c r="E420" s="1">
        <v>841.5</v>
      </c>
      <c r="F420" s="1" t="s">
        <v>8</v>
      </c>
      <c r="G420" s="1" t="s">
        <v>9</v>
      </c>
      <c r="H420" s="1" t="s">
        <v>10</v>
      </c>
    </row>
    <row r="421" spans="1:8" x14ac:dyDescent="0.3">
      <c r="A421" s="1">
        <v>204</v>
      </c>
      <c r="B421" s="1" t="s">
        <v>56</v>
      </c>
      <c r="C421" s="1" t="s">
        <v>57</v>
      </c>
      <c r="D421" s="1" t="s">
        <v>58</v>
      </c>
      <c r="E421" s="1">
        <v>1954</v>
      </c>
      <c r="F421" s="1" t="s">
        <v>8</v>
      </c>
      <c r="G421" s="1" t="s">
        <v>13</v>
      </c>
      <c r="H421" s="1" t="s">
        <v>10</v>
      </c>
    </row>
    <row r="422" spans="1:8" x14ac:dyDescent="0.3">
      <c r="A422" s="1">
        <v>204</v>
      </c>
      <c r="B422" s="1" t="s">
        <v>56</v>
      </c>
      <c r="C422" s="1" t="s">
        <v>59</v>
      </c>
      <c r="D422" s="1" t="s">
        <v>60</v>
      </c>
      <c r="E422" s="1">
        <v>2611.0300000000002</v>
      </c>
      <c r="F422" s="1" t="s">
        <v>8</v>
      </c>
      <c r="G422" s="1" t="s">
        <v>9</v>
      </c>
      <c r="H422" s="1" t="s">
        <v>10</v>
      </c>
    </row>
    <row r="423" spans="1:8" x14ac:dyDescent="0.3">
      <c r="A423" s="1">
        <v>204</v>
      </c>
      <c r="B423" s="1" t="s">
        <v>56</v>
      </c>
      <c r="C423" s="1" t="s">
        <v>61</v>
      </c>
      <c r="D423" s="1" t="s">
        <v>62</v>
      </c>
      <c r="E423" s="1">
        <v>769.5</v>
      </c>
      <c r="F423" s="1" t="s">
        <v>8</v>
      </c>
      <c r="G423" s="1" t="s">
        <v>13</v>
      </c>
      <c r="H423" s="1" t="s">
        <v>10</v>
      </c>
    </row>
    <row r="424" spans="1:8" x14ac:dyDescent="0.3">
      <c r="A424" s="1">
        <v>22</v>
      </c>
      <c r="B424" s="1" t="s">
        <v>63</v>
      </c>
      <c r="C424" s="1" t="s">
        <v>64</v>
      </c>
      <c r="D424" s="1" t="s">
        <v>65</v>
      </c>
      <c r="E424" s="1">
        <v>61.74</v>
      </c>
      <c r="F424" s="1" t="s">
        <v>8</v>
      </c>
      <c r="G424" s="1" t="s">
        <v>9</v>
      </c>
      <c r="H424" s="1" t="s">
        <v>10</v>
      </c>
    </row>
    <row r="425" spans="1:8" x14ac:dyDescent="0.3">
      <c r="A425" s="1">
        <v>22</v>
      </c>
      <c r="B425" s="1" t="s">
        <v>63</v>
      </c>
      <c r="C425" s="1" t="s">
        <v>66</v>
      </c>
      <c r="D425" s="1" t="s">
        <v>67</v>
      </c>
      <c r="E425" s="1">
        <v>946.39</v>
      </c>
      <c r="F425" s="1" t="s">
        <v>8</v>
      </c>
      <c r="G425" s="1" t="s">
        <v>9</v>
      </c>
      <c r="H425" s="1" t="s">
        <v>10</v>
      </c>
    </row>
    <row r="426" spans="1:8" x14ac:dyDescent="0.3">
      <c r="A426" s="1">
        <v>22</v>
      </c>
      <c r="B426" s="1" t="s">
        <v>63</v>
      </c>
      <c r="C426" s="1" t="s">
        <v>68</v>
      </c>
      <c r="D426" s="1" t="s">
        <v>69</v>
      </c>
      <c r="E426" s="1">
        <v>120.14</v>
      </c>
      <c r="F426" s="1" t="s">
        <v>8</v>
      </c>
      <c r="G426" s="1" t="s">
        <v>9</v>
      </c>
      <c r="H426" s="1" t="s">
        <v>10</v>
      </c>
    </row>
    <row r="427" spans="1:8" x14ac:dyDescent="0.3">
      <c r="A427" s="1">
        <v>22</v>
      </c>
      <c r="B427" s="1" t="s">
        <v>63</v>
      </c>
      <c r="C427" s="1" t="s">
        <v>70</v>
      </c>
      <c r="D427" s="1" t="s">
        <v>71</v>
      </c>
      <c r="E427" s="1">
        <v>233.56</v>
      </c>
      <c r="F427" s="1" t="s">
        <v>8</v>
      </c>
      <c r="G427" s="1" t="s">
        <v>9</v>
      </c>
      <c r="H427" s="1" t="s">
        <v>10</v>
      </c>
    </row>
    <row r="428" spans="1:8" x14ac:dyDescent="0.3">
      <c r="A428" s="1">
        <v>22</v>
      </c>
      <c r="B428" s="1" t="s">
        <v>63</v>
      </c>
      <c r="C428" s="1" t="s">
        <v>72</v>
      </c>
      <c r="D428" s="1" t="s">
        <v>73</v>
      </c>
      <c r="E428" s="1">
        <v>1570.14</v>
      </c>
      <c r="F428" s="1" t="s">
        <v>8</v>
      </c>
      <c r="G428" s="1" t="s">
        <v>9</v>
      </c>
      <c r="H428" s="1" t="s">
        <v>10</v>
      </c>
    </row>
    <row r="429" spans="1:8" x14ac:dyDescent="0.3">
      <c r="A429" s="1">
        <v>22</v>
      </c>
      <c r="B429" s="1" t="s">
        <v>63</v>
      </c>
      <c r="C429" s="1" t="s">
        <v>74</v>
      </c>
      <c r="D429" s="1" t="s">
        <v>75</v>
      </c>
      <c r="E429" s="1">
        <v>668.8</v>
      </c>
      <c r="F429" s="1" t="s">
        <v>8</v>
      </c>
      <c r="G429" s="1" t="s">
        <v>9</v>
      </c>
      <c r="H429" s="1" t="s">
        <v>10</v>
      </c>
    </row>
    <row r="430" spans="1:8" x14ac:dyDescent="0.3">
      <c r="A430" s="1">
        <v>22</v>
      </c>
      <c r="B430" s="1" t="s">
        <v>63</v>
      </c>
      <c r="C430" s="1" t="s">
        <v>76</v>
      </c>
      <c r="D430" s="1" t="s">
        <v>77</v>
      </c>
      <c r="E430" s="1">
        <v>298.11</v>
      </c>
      <c r="F430" s="1" t="s">
        <v>8</v>
      </c>
      <c r="G430" s="1" t="s">
        <v>9</v>
      </c>
      <c r="H430" s="1" t="s">
        <v>10</v>
      </c>
    </row>
    <row r="431" spans="1:8" x14ac:dyDescent="0.3">
      <c r="A431" s="1">
        <v>22</v>
      </c>
      <c r="B431" s="1" t="s">
        <v>63</v>
      </c>
      <c r="C431" s="1" t="s">
        <v>78</v>
      </c>
      <c r="D431" s="1" t="s">
        <v>79</v>
      </c>
      <c r="E431" s="1">
        <v>155.16999999999999</v>
      </c>
      <c r="F431" s="1" t="s">
        <v>8</v>
      </c>
      <c r="G431" s="1" t="s">
        <v>9</v>
      </c>
      <c r="H431" s="1" t="s">
        <v>10</v>
      </c>
    </row>
    <row r="432" spans="1:8" x14ac:dyDescent="0.3">
      <c r="A432" s="1">
        <v>22</v>
      </c>
      <c r="B432" s="1" t="s">
        <v>63</v>
      </c>
      <c r="C432" s="1" t="s">
        <v>80</v>
      </c>
      <c r="D432" s="1" t="s">
        <v>81</v>
      </c>
      <c r="E432" s="1">
        <v>1278.5</v>
      </c>
      <c r="F432" s="1" t="s">
        <v>8</v>
      </c>
      <c r="G432" s="1" t="s">
        <v>9</v>
      </c>
      <c r="H432" s="1" t="s">
        <v>10</v>
      </c>
    </row>
    <row r="433" spans="1:8" x14ac:dyDescent="0.3">
      <c r="A433" s="1">
        <v>22</v>
      </c>
      <c r="B433" s="1" t="s">
        <v>63</v>
      </c>
      <c r="C433" s="1" t="s">
        <v>82</v>
      </c>
      <c r="D433" s="1" t="s">
        <v>83</v>
      </c>
      <c r="E433" s="1">
        <v>46.56</v>
      </c>
      <c r="F433" s="1" t="s">
        <v>8</v>
      </c>
      <c r="G433" s="1" t="s">
        <v>9</v>
      </c>
      <c r="H433" s="1" t="s">
        <v>10</v>
      </c>
    </row>
    <row r="434" spans="1:8" x14ac:dyDescent="0.3">
      <c r="A434" s="1">
        <v>22</v>
      </c>
      <c r="B434" s="1" t="s">
        <v>63</v>
      </c>
      <c r="C434" s="1" t="s">
        <v>84</v>
      </c>
      <c r="D434" s="1" t="s">
        <v>85</v>
      </c>
      <c r="E434" s="1">
        <v>231.55</v>
      </c>
      <c r="F434" s="1" t="s">
        <v>8</v>
      </c>
      <c r="G434" s="1" t="s">
        <v>9</v>
      </c>
      <c r="H434" s="1" t="s">
        <v>10</v>
      </c>
    </row>
    <row r="435" spans="1:8" x14ac:dyDescent="0.3">
      <c r="A435" s="1">
        <v>22</v>
      </c>
      <c r="B435" s="1" t="s">
        <v>63</v>
      </c>
      <c r="C435" s="1" t="s">
        <v>86</v>
      </c>
      <c r="D435" s="1" t="s">
        <v>87</v>
      </c>
      <c r="E435" s="1">
        <v>1016.52</v>
      </c>
      <c r="F435" s="1" t="s">
        <v>8</v>
      </c>
      <c r="G435" s="1" t="s">
        <v>9</v>
      </c>
      <c r="H435" s="1" t="s">
        <v>10</v>
      </c>
    </row>
    <row r="436" spans="1:8" x14ac:dyDescent="0.3">
      <c r="A436" s="1">
        <v>22</v>
      </c>
      <c r="B436" s="1" t="s">
        <v>63</v>
      </c>
      <c r="C436" s="1" t="s">
        <v>88</v>
      </c>
      <c r="D436" s="1" t="s">
        <v>89</v>
      </c>
      <c r="E436" s="1">
        <v>1171.6199999999999</v>
      </c>
      <c r="F436" s="1" t="s">
        <v>8</v>
      </c>
      <c r="G436" s="1" t="s">
        <v>9</v>
      </c>
      <c r="H436" s="1" t="s">
        <v>10</v>
      </c>
    </row>
    <row r="437" spans="1:8" x14ac:dyDescent="0.3">
      <c r="A437" s="1">
        <v>22</v>
      </c>
      <c r="B437" s="1" t="s">
        <v>63</v>
      </c>
      <c r="C437" s="1" t="s">
        <v>90</v>
      </c>
      <c r="D437" s="1" t="s">
        <v>91</v>
      </c>
      <c r="E437" s="1">
        <v>47.06</v>
      </c>
      <c r="F437" s="1" t="s">
        <v>8</v>
      </c>
      <c r="G437" s="1" t="s">
        <v>9</v>
      </c>
      <c r="H437" s="1" t="s">
        <v>10</v>
      </c>
    </row>
    <row r="438" spans="1:8" x14ac:dyDescent="0.3">
      <c r="A438" s="1">
        <v>22</v>
      </c>
      <c r="B438" s="1" t="s">
        <v>63</v>
      </c>
      <c r="C438" s="1" t="s">
        <v>92</v>
      </c>
      <c r="D438" s="1" t="s">
        <v>93</v>
      </c>
      <c r="E438" s="1">
        <v>168.93</v>
      </c>
      <c r="F438" s="1" t="s">
        <v>8</v>
      </c>
      <c r="G438" s="1" t="s">
        <v>9</v>
      </c>
      <c r="H438" s="1" t="s">
        <v>10</v>
      </c>
    </row>
    <row r="439" spans="1:8" x14ac:dyDescent="0.3">
      <c r="A439" s="1">
        <v>22</v>
      </c>
      <c r="B439" s="1" t="s">
        <v>63</v>
      </c>
      <c r="C439" s="1" t="s">
        <v>94</v>
      </c>
      <c r="D439" s="1" t="s">
        <v>95</v>
      </c>
      <c r="E439" s="1">
        <v>60.75</v>
      </c>
      <c r="F439" s="1" t="s">
        <v>8</v>
      </c>
      <c r="G439" s="1" t="s">
        <v>9</v>
      </c>
      <c r="H439" s="1" t="s">
        <v>10</v>
      </c>
    </row>
    <row r="440" spans="1:8" x14ac:dyDescent="0.3">
      <c r="A440" s="1">
        <v>22</v>
      </c>
      <c r="B440" s="1" t="s">
        <v>63</v>
      </c>
      <c r="C440" s="1" t="s">
        <v>96</v>
      </c>
      <c r="D440" s="1" t="s">
        <v>97</v>
      </c>
      <c r="E440" s="1">
        <v>205.86</v>
      </c>
      <c r="F440" s="1" t="s">
        <v>8</v>
      </c>
      <c r="G440" s="1" t="s">
        <v>9</v>
      </c>
      <c r="H440" s="1" t="s">
        <v>10</v>
      </c>
    </row>
    <row r="441" spans="1:8" x14ac:dyDescent="0.3">
      <c r="A441" s="1">
        <v>22</v>
      </c>
      <c r="B441" s="1" t="s">
        <v>63</v>
      </c>
      <c r="C441" s="1" t="s">
        <v>98</v>
      </c>
      <c r="D441" s="1" t="s">
        <v>99</v>
      </c>
      <c r="E441" s="1">
        <v>808.26</v>
      </c>
      <c r="F441" s="1" t="s">
        <v>8</v>
      </c>
      <c r="G441" s="1" t="s">
        <v>9</v>
      </c>
      <c r="H441" s="1" t="s">
        <v>10</v>
      </c>
    </row>
    <row r="442" spans="1:8" x14ac:dyDescent="0.3">
      <c r="A442" s="1">
        <v>22</v>
      </c>
      <c r="B442" s="1" t="s">
        <v>63</v>
      </c>
      <c r="C442" s="1" t="s">
        <v>100</v>
      </c>
      <c r="D442" s="1" t="s">
        <v>101</v>
      </c>
      <c r="E442" s="1">
        <v>595.20000000000005</v>
      </c>
      <c r="F442" s="1" t="s">
        <v>8</v>
      </c>
      <c r="G442" s="1" t="s">
        <v>9</v>
      </c>
      <c r="H442" s="1" t="s">
        <v>10</v>
      </c>
    </row>
    <row r="443" spans="1:8" x14ac:dyDescent="0.3">
      <c r="A443" s="1">
        <v>22</v>
      </c>
      <c r="B443" s="1" t="s">
        <v>63</v>
      </c>
      <c r="C443" s="1" t="s">
        <v>102</v>
      </c>
      <c r="D443" s="1" t="s">
        <v>103</v>
      </c>
      <c r="E443" s="1">
        <v>588</v>
      </c>
      <c r="F443" s="1" t="s">
        <v>8</v>
      </c>
      <c r="G443" s="1" t="s">
        <v>9</v>
      </c>
      <c r="H443" s="1" t="s">
        <v>10</v>
      </c>
    </row>
    <row r="444" spans="1:8" x14ac:dyDescent="0.3">
      <c r="A444" s="1">
        <v>22</v>
      </c>
      <c r="B444" s="1" t="s">
        <v>63</v>
      </c>
      <c r="C444" s="1" t="s">
        <v>104</v>
      </c>
      <c r="D444" s="1" t="s">
        <v>105</v>
      </c>
      <c r="E444" s="1">
        <v>827.4</v>
      </c>
      <c r="F444" s="1" t="s">
        <v>8</v>
      </c>
      <c r="G444" s="1" t="s">
        <v>9</v>
      </c>
      <c r="H444" s="1" t="s">
        <v>10</v>
      </c>
    </row>
    <row r="445" spans="1:8" x14ac:dyDescent="0.3">
      <c r="A445" s="1">
        <v>22</v>
      </c>
      <c r="B445" s="1" t="s">
        <v>63</v>
      </c>
      <c r="C445" s="1" t="s">
        <v>106</v>
      </c>
      <c r="D445" s="1" t="s">
        <v>107</v>
      </c>
      <c r="E445" s="1">
        <v>905.49</v>
      </c>
      <c r="F445" s="1" t="s">
        <v>8</v>
      </c>
      <c r="G445" s="1" t="s">
        <v>9</v>
      </c>
      <c r="H445" s="1" t="s">
        <v>10</v>
      </c>
    </row>
    <row r="446" spans="1:8" x14ac:dyDescent="0.3">
      <c r="A446" s="1">
        <v>22</v>
      </c>
      <c r="B446" s="1" t="s">
        <v>63</v>
      </c>
      <c r="C446" s="1" t="s">
        <v>108</v>
      </c>
      <c r="D446" s="1" t="s">
        <v>109</v>
      </c>
      <c r="E446" s="1">
        <v>682.61</v>
      </c>
      <c r="F446" s="1" t="s">
        <v>8</v>
      </c>
      <c r="G446" s="1" t="s">
        <v>9</v>
      </c>
      <c r="H446" s="1" t="s">
        <v>10</v>
      </c>
    </row>
    <row r="447" spans="1:8" x14ac:dyDescent="0.3">
      <c r="A447" s="1">
        <v>22</v>
      </c>
      <c r="B447" s="1" t="s">
        <v>63</v>
      </c>
      <c r="C447" s="1" t="s">
        <v>110</v>
      </c>
      <c r="D447" s="1" t="s">
        <v>111</v>
      </c>
      <c r="E447" s="1">
        <v>695.3</v>
      </c>
      <c r="F447" s="1" t="s">
        <v>8</v>
      </c>
      <c r="G447" s="1" t="s">
        <v>9</v>
      </c>
      <c r="H447" s="1" t="s">
        <v>10</v>
      </c>
    </row>
    <row r="448" spans="1:8" x14ac:dyDescent="0.3">
      <c r="A448" s="1">
        <v>22</v>
      </c>
      <c r="B448" s="1" t="s">
        <v>63</v>
      </c>
      <c r="C448" s="1" t="s">
        <v>112</v>
      </c>
      <c r="D448" s="1" t="s">
        <v>113</v>
      </c>
      <c r="E448" s="1">
        <v>162.69999999999999</v>
      </c>
      <c r="F448" s="1" t="s">
        <v>8</v>
      </c>
      <c r="G448" s="1" t="s">
        <v>9</v>
      </c>
      <c r="H448" s="1" t="s">
        <v>10</v>
      </c>
    </row>
    <row r="449" spans="1:8" x14ac:dyDescent="0.3">
      <c r="A449" s="1">
        <v>22</v>
      </c>
      <c r="B449" s="1" t="s">
        <v>63</v>
      </c>
      <c r="C449" s="1" t="s">
        <v>114</v>
      </c>
      <c r="D449" s="1" t="s">
        <v>115</v>
      </c>
      <c r="E449" s="1">
        <v>139.72999999999999</v>
      </c>
      <c r="F449" s="1" t="s">
        <v>8</v>
      </c>
      <c r="G449" s="1" t="s">
        <v>9</v>
      </c>
      <c r="H449" s="1" t="s">
        <v>10</v>
      </c>
    </row>
    <row r="450" spans="1:8" x14ac:dyDescent="0.3">
      <c r="A450" s="1">
        <v>22</v>
      </c>
      <c r="B450" s="1" t="s">
        <v>63</v>
      </c>
      <c r="C450" s="1" t="s">
        <v>116</v>
      </c>
      <c r="D450" s="1" t="s">
        <v>117</v>
      </c>
      <c r="E450" s="1">
        <v>92.62</v>
      </c>
      <c r="F450" s="1" t="s">
        <v>8</v>
      </c>
      <c r="G450" s="1" t="s">
        <v>9</v>
      </c>
      <c r="H450" s="1" t="s">
        <v>10</v>
      </c>
    </row>
    <row r="451" spans="1:8" x14ac:dyDescent="0.3">
      <c r="A451" s="1">
        <v>22</v>
      </c>
      <c r="B451" s="1" t="s">
        <v>63</v>
      </c>
      <c r="C451" s="1" t="s">
        <v>118</v>
      </c>
      <c r="D451" s="1" t="s">
        <v>119</v>
      </c>
      <c r="E451" s="1">
        <v>206.1</v>
      </c>
      <c r="F451" s="1" t="s">
        <v>8</v>
      </c>
      <c r="G451" s="1" t="s">
        <v>9</v>
      </c>
      <c r="H451" s="1" t="s">
        <v>10</v>
      </c>
    </row>
    <row r="452" spans="1:8" x14ac:dyDescent="0.3">
      <c r="A452" s="1">
        <v>22</v>
      </c>
      <c r="B452" s="1" t="s">
        <v>63</v>
      </c>
      <c r="C452" s="1" t="s">
        <v>120</v>
      </c>
      <c r="D452" s="1" t="s">
        <v>121</v>
      </c>
      <c r="E452" s="1">
        <v>475.09</v>
      </c>
      <c r="F452" s="1" t="s">
        <v>8</v>
      </c>
      <c r="G452" s="1" t="s">
        <v>9</v>
      </c>
      <c r="H452" s="1" t="s">
        <v>10</v>
      </c>
    </row>
    <row r="453" spans="1:8" x14ac:dyDescent="0.3">
      <c r="A453" s="1">
        <v>22</v>
      </c>
      <c r="B453" s="1" t="s">
        <v>63</v>
      </c>
      <c r="C453" s="1" t="s">
        <v>122</v>
      </c>
      <c r="D453" s="1" t="s">
        <v>123</v>
      </c>
      <c r="E453" s="1">
        <v>650.38</v>
      </c>
      <c r="F453" s="1" t="s">
        <v>8</v>
      </c>
      <c r="G453" s="1" t="s">
        <v>9</v>
      </c>
      <c r="H453" s="1" t="s">
        <v>10</v>
      </c>
    </row>
    <row r="454" spans="1:8" x14ac:dyDescent="0.3">
      <c r="A454" s="1">
        <v>22</v>
      </c>
      <c r="B454" s="1" t="s">
        <v>63</v>
      </c>
      <c r="C454" s="1" t="s">
        <v>124</v>
      </c>
      <c r="D454" s="1" t="s">
        <v>125</v>
      </c>
      <c r="E454" s="1">
        <v>1039.04</v>
      </c>
      <c r="F454" s="1" t="s">
        <v>8</v>
      </c>
      <c r="G454" s="1" t="s">
        <v>9</v>
      </c>
      <c r="H454" s="1" t="s">
        <v>10</v>
      </c>
    </row>
    <row r="455" spans="1:8" x14ac:dyDescent="0.3">
      <c r="A455" s="1">
        <v>22</v>
      </c>
      <c r="B455" s="1" t="s">
        <v>63</v>
      </c>
      <c r="C455" s="1" t="s">
        <v>126</v>
      </c>
      <c r="D455" s="1" t="s">
        <v>127</v>
      </c>
      <c r="E455" s="1">
        <v>634.87</v>
      </c>
      <c r="F455" s="1" t="s">
        <v>8</v>
      </c>
      <c r="G455" s="1" t="s">
        <v>9</v>
      </c>
      <c r="H455" s="1" t="s">
        <v>10</v>
      </c>
    </row>
    <row r="456" spans="1:8" x14ac:dyDescent="0.3">
      <c r="A456" s="1">
        <v>22</v>
      </c>
      <c r="B456" s="1" t="s">
        <v>63</v>
      </c>
      <c r="C456" s="1" t="s">
        <v>128</v>
      </c>
      <c r="D456" s="1" t="s">
        <v>129</v>
      </c>
      <c r="E456" s="1">
        <v>595.66</v>
      </c>
      <c r="F456" s="1" t="s">
        <v>8</v>
      </c>
      <c r="G456" s="1" t="s">
        <v>9</v>
      </c>
      <c r="H456" s="1" t="s">
        <v>10</v>
      </c>
    </row>
    <row r="457" spans="1:8" x14ac:dyDescent="0.3">
      <c r="A457" s="1">
        <v>22</v>
      </c>
      <c r="B457" s="1" t="s">
        <v>63</v>
      </c>
      <c r="C457" s="1" t="s">
        <v>130</v>
      </c>
      <c r="D457" s="1" t="s">
        <v>131</v>
      </c>
      <c r="E457" s="1">
        <v>45.1</v>
      </c>
      <c r="F457" s="1" t="s">
        <v>8</v>
      </c>
      <c r="G457" s="1" t="s">
        <v>9</v>
      </c>
      <c r="H457" s="1" t="s">
        <v>10</v>
      </c>
    </row>
    <row r="458" spans="1:8" x14ac:dyDescent="0.3">
      <c r="A458" s="1">
        <v>22</v>
      </c>
      <c r="B458" s="1" t="s">
        <v>63</v>
      </c>
      <c r="C458" s="1" t="s">
        <v>132</v>
      </c>
      <c r="D458" s="1" t="s">
        <v>133</v>
      </c>
      <c r="E458" s="1">
        <v>588</v>
      </c>
      <c r="F458" s="1" t="s">
        <v>8</v>
      </c>
      <c r="G458" s="1" t="s">
        <v>9</v>
      </c>
      <c r="H458" s="1" t="s">
        <v>10</v>
      </c>
    </row>
    <row r="459" spans="1:8" x14ac:dyDescent="0.3">
      <c r="A459" s="1">
        <v>22</v>
      </c>
      <c r="B459" s="1" t="s">
        <v>63</v>
      </c>
      <c r="C459" s="1" t="s">
        <v>134</v>
      </c>
      <c r="D459" s="1" t="s">
        <v>135</v>
      </c>
      <c r="E459" s="1">
        <v>415.06</v>
      </c>
      <c r="F459" s="1" t="s">
        <v>8</v>
      </c>
      <c r="G459" s="1" t="s">
        <v>9</v>
      </c>
      <c r="H459" s="1" t="s">
        <v>10</v>
      </c>
    </row>
    <row r="460" spans="1:8" x14ac:dyDescent="0.3">
      <c r="A460" s="1">
        <v>22</v>
      </c>
      <c r="B460" s="1" t="s">
        <v>63</v>
      </c>
      <c r="C460" s="1" t="s">
        <v>136</v>
      </c>
      <c r="D460" s="1" t="s">
        <v>137</v>
      </c>
      <c r="E460" s="1">
        <v>2796.92</v>
      </c>
      <c r="F460" s="1" t="s">
        <v>8</v>
      </c>
      <c r="G460" s="1" t="s">
        <v>9</v>
      </c>
      <c r="H460" s="1" t="s">
        <v>10</v>
      </c>
    </row>
    <row r="461" spans="1:8" x14ac:dyDescent="0.3">
      <c r="A461" s="1">
        <v>22</v>
      </c>
      <c r="B461" s="1" t="s">
        <v>63</v>
      </c>
      <c r="C461" s="1" t="s">
        <v>138</v>
      </c>
      <c r="D461" s="1" t="s">
        <v>139</v>
      </c>
      <c r="E461" s="1">
        <v>291.20999999999998</v>
      </c>
      <c r="F461" s="1" t="s">
        <v>8</v>
      </c>
      <c r="G461" s="1" t="s">
        <v>9</v>
      </c>
      <c r="H461" s="1" t="s">
        <v>10</v>
      </c>
    </row>
    <row r="462" spans="1:8" x14ac:dyDescent="0.3">
      <c r="A462" s="1">
        <v>22</v>
      </c>
      <c r="B462" s="1" t="s">
        <v>63</v>
      </c>
      <c r="C462" s="1" t="s">
        <v>140</v>
      </c>
      <c r="D462" s="1" t="s">
        <v>141</v>
      </c>
      <c r="E462" s="1">
        <v>561.95000000000005</v>
      </c>
      <c r="F462" s="1" t="s">
        <v>8</v>
      </c>
      <c r="G462" s="1" t="s">
        <v>9</v>
      </c>
      <c r="H462" s="1" t="s">
        <v>10</v>
      </c>
    </row>
    <row r="463" spans="1:8" x14ac:dyDescent="0.3">
      <c r="A463" s="1">
        <v>22</v>
      </c>
      <c r="B463" s="1" t="s">
        <v>63</v>
      </c>
      <c r="C463" s="1" t="s">
        <v>142</v>
      </c>
      <c r="D463" s="1" t="s">
        <v>143</v>
      </c>
      <c r="E463" s="1">
        <v>282.33999999999997</v>
      </c>
      <c r="F463" s="1" t="s">
        <v>8</v>
      </c>
      <c r="G463" s="1" t="s">
        <v>9</v>
      </c>
      <c r="H463" s="1" t="s">
        <v>10</v>
      </c>
    </row>
    <row r="464" spans="1:8" x14ac:dyDescent="0.3">
      <c r="A464" s="1">
        <v>22</v>
      </c>
      <c r="B464" s="1" t="s">
        <v>63</v>
      </c>
      <c r="C464" s="1" t="s">
        <v>144</v>
      </c>
      <c r="D464" s="1" t="s">
        <v>145</v>
      </c>
      <c r="E464" s="1">
        <v>107.95</v>
      </c>
      <c r="F464" s="1" t="s">
        <v>8</v>
      </c>
      <c r="G464" s="1" t="s">
        <v>9</v>
      </c>
      <c r="H464" s="1" t="s">
        <v>10</v>
      </c>
    </row>
    <row r="465" spans="1:8" x14ac:dyDescent="0.3">
      <c r="A465" s="1">
        <v>22</v>
      </c>
      <c r="B465" s="1" t="s">
        <v>63</v>
      </c>
      <c r="C465" s="1" t="s">
        <v>146</v>
      </c>
      <c r="D465" s="1" t="s">
        <v>147</v>
      </c>
      <c r="E465" s="1">
        <v>929.46</v>
      </c>
      <c r="F465" s="1" t="s">
        <v>8</v>
      </c>
      <c r="G465" s="1" t="s">
        <v>9</v>
      </c>
      <c r="H465" s="1" t="s">
        <v>10</v>
      </c>
    </row>
    <row r="466" spans="1:8" x14ac:dyDescent="0.3">
      <c r="A466" s="1">
        <v>22</v>
      </c>
      <c r="B466" s="1" t="s">
        <v>63</v>
      </c>
      <c r="C466" s="1" t="s">
        <v>148</v>
      </c>
      <c r="D466" s="1" t="s">
        <v>149</v>
      </c>
      <c r="E466" s="1">
        <v>826.13</v>
      </c>
      <c r="F466" s="1" t="s">
        <v>8</v>
      </c>
      <c r="G466" s="1" t="s">
        <v>9</v>
      </c>
      <c r="H466" s="1" t="s">
        <v>10</v>
      </c>
    </row>
    <row r="467" spans="1:8" x14ac:dyDescent="0.3">
      <c r="A467" s="1">
        <v>22</v>
      </c>
      <c r="B467" s="1" t="s">
        <v>63</v>
      </c>
      <c r="C467" s="1" t="s">
        <v>150</v>
      </c>
      <c r="D467" s="1" t="s">
        <v>151</v>
      </c>
      <c r="E467" s="1">
        <v>100.75</v>
      </c>
      <c r="F467" s="1" t="s">
        <v>8</v>
      </c>
      <c r="G467" s="1" t="s">
        <v>9</v>
      </c>
      <c r="H467" s="1" t="s">
        <v>10</v>
      </c>
    </row>
    <row r="468" spans="1:8" x14ac:dyDescent="0.3">
      <c r="A468" s="1">
        <v>22</v>
      </c>
      <c r="B468" s="1" t="s">
        <v>63</v>
      </c>
      <c r="C468" s="1" t="s">
        <v>152</v>
      </c>
      <c r="D468" s="1" t="s">
        <v>153</v>
      </c>
      <c r="E468" s="1">
        <v>773.21</v>
      </c>
      <c r="F468" s="1" t="s">
        <v>8</v>
      </c>
      <c r="G468" s="1" t="s">
        <v>9</v>
      </c>
      <c r="H468" s="1" t="s">
        <v>10</v>
      </c>
    </row>
    <row r="469" spans="1:8" x14ac:dyDescent="0.3">
      <c r="A469" s="1">
        <v>22</v>
      </c>
      <c r="B469" s="1" t="s">
        <v>63</v>
      </c>
      <c r="C469" s="1" t="s">
        <v>152</v>
      </c>
      <c r="D469" s="1" t="s">
        <v>153</v>
      </c>
      <c r="E469" s="1">
        <v>773.21</v>
      </c>
      <c r="F469" s="1" t="s">
        <v>8</v>
      </c>
      <c r="G469" s="1" t="s">
        <v>9</v>
      </c>
      <c r="H469" s="1" t="s">
        <v>10</v>
      </c>
    </row>
    <row r="470" spans="1:8" x14ac:dyDescent="0.3">
      <c r="A470" s="1">
        <v>22</v>
      </c>
      <c r="B470" s="1" t="s">
        <v>63</v>
      </c>
      <c r="C470" s="1" t="s">
        <v>4622</v>
      </c>
      <c r="D470" s="1" t="s">
        <v>4623</v>
      </c>
      <c r="E470" s="1">
        <v>1587.41</v>
      </c>
      <c r="F470" s="1" t="s">
        <v>8</v>
      </c>
      <c r="G470" s="1" t="s">
        <v>9</v>
      </c>
      <c r="H470" s="1" t="s">
        <v>10</v>
      </c>
    </row>
    <row r="471" spans="1:8" x14ac:dyDescent="0.3">
      <c r="A471" s="1">
        <v>22</v>
      </c>
      <c r="B471" s="1" t="s">
        <v>63</v>
      </c>
      <c r="C471" s="1" t="s">
        <v>4624</v>
      </c>
      <c r="D471" s="1" t="s">
        <v>4625</v>
      </c>
      <c r="E471" s="1">
        <v>210.19</v>
      </c>
      <c r="F471" s="1" t="s">
        <v>8</v>
      </c>
      <c r="G471" s="1" t="s">
        <v>9</v>
      </c>
      <c r="H471" s="1" t="s">
        <v>10</v>
      </c>
    </row>
    <row r="472" spans="1:8" x14ac:dyDescent="0.3">
      <c r="A472" s="1">
        <v>22</v>
      </c>
      <c r="B472" s="1" t="s">
        <v>63</v>
      </c>
      <c r="C472" s="1" t="s">
        <v>4626</v>
      </c>
      <c r="D472" s="1" t="s">
        <v>4627</v>
      </c>
      <c r="E472" s="1">
        <v>386.19</v>
      </c>
      <c r="F472" s="1" t="s">
        <v>8</v>
      </c>
      <c r="G472" s="1" t="s">
        <v>9</v>
      </c>
      <c r="H472" s="1" t="s">
        <v>10</v>
      </c>
    </row>
    <row r="473" spans="1:8" x14ac:dyDescent="0.3">
      <c r="A473" s="1">
        <v>22</v>
      </c>
      <c r="B473" s="1" t="s">
        <v>63</v>
      </c>
      <c r="C473" s="1" t="s">
        <v>4628</v>
      </c>
      <c r="D473" s="1" t="s">
        <v>4629</v>
      </c>
      <c r="E473" s="1">
        <v>286.25</v>
      </c>
      <c r="F473" s="1" t="s">
        <v>8</v>
      </c>
      <c r="G473" s="1" t="s">
        <v>9</v>
      </c>
      <c r="H473" s="1" t="s">
        <v>10</v>
      </c>
    </row>
    <row r="474" spans="1:8" x14ac:dyDescent="0.3">
      <c r="A474" s="1">
        <v>22</v>
      </c>
      <c r="B474" s="1" t="s">
        <v>63</v>
      </c>
      <c r="C474" s="1" t="s">
        <v>4630</v>
      </c>
      <c r="D474" s="1" t="s">
        <v>4631</v>
      </c>
      <c r="E474" s="1">
        <v>35.71</v>
      </c>
      <c r="F474" s="1" t="s">
        <v>8</v>
      </c>
      <c r="G474" s="1" t="s">
        <v>9</v>
      </c>
      <c r="H474" s="1" t="s">
        <v>10</v>
      </c>
    </row>
    <row r="475" spans="1:8" x14ac:dyDescent="0.3">
      <c r="A475" s="1">
        <v>22</v>
      </c>
      <c r="B475" s="1" t="s">
        <v>63</v>
      </c>
      <c r="C475" s="1" t="s">
        <v>4632</v>
      </c>
      <c r="D475" s="1" t="s">
        <v>4633</v>
      </c>
      <c r="E475" s="1">
        <v>919.67</v>
      </c>
      <c r="F475" s="1" t="s">
        <v>8</v>
      </c>
      <c r="G475" s="1" t="s">
        <v>9</v>
      </c>
      <c r="H475" s="1" t="s">
        <v>10</v>
      </c>
    </row>
    <row r="476" spans="1:8" x14ac:dyDescent="0.3">
      <c r="A476" s="1">
        <v>235</v>
      </c>
      <c r="B476" s="1" t="s">
        <v>154</v>
      </c>
      <c r="C476" s="1" t="s">
        <v>155</v>
      </c>
      <c r="D476" s="1" t="s">
        <v>156</v>
      </c>
      <c r="E476" s="1">
        <v>262.89999999999998</v>
      </c>
      <c r="F476" s="1" t="s">
        <v>8</v>
      </c>
      <c r="G476" s="1" t="s">
        <v>9</v>
      </c>
      <c r="H476" s="1" t="s">
        <v>10</v>
      </c>
    </row>
    <row r="477" spans="1:8" x14ac:dyDescent="0.3">
      <c r="A477" s="1">
        <v>235</v>
      </c>
      <c r="B477" s="1" t="s">
        <v>154</v>
      </c>
      <c r="C477" s="1" t="s">
        <v>157</v>
      </c>
      <c r="D477" s="1" t="s">
        <v>158</v>
      </c>
      <c r="E477" s="1">
        <v>1216.92</v>
      </c>
      <c r="F477" s="1" t="s">
        <v>8</v>
      </c>
      <c r="G477" s="1" t="s">
        <v>9</v>
      </c>
      <c r="H477" s="1" t="s">
        <v>10</v>
      </c>
    </row>
    <row r="478" spans="1:8" x14ac:dyDescent="0.3">
      <c r="A478" s="1">
        <v>235</v>
      </c>
      <c r="B478" s="1" t="s">
        <v>154</v>
      </c>
      <c r="C478" s="1" t="s">
        <v>159</v>
      </c>
      <c r="D478" s="1" t="s">
        <v>160</v>
      </c>
      <c r="E478" s="1">
        <v>38.5</v>
      </c>
      <c r="F478" s="1" t="s">
        <v>8</v>
      </c>
      <c r="G478" s="1" t="s">
        <v>9</v>
      </c>
      <c r="H478" s="1" t="s">
        <v>10</v>
      </c>
    </row>
    <row r="479" spans="1:8" x14ac:dyDescent="0.3">
      <c r="A479" s="1">
        <v>235</v>
      </c>
      <c r="B479" s="1" t="s">
        <v>154</v>
      </c>
      <c r="C479" s="1" t="s">
        <v>161</v>
      </c>
      <c r="D479" s="1" t="s">
        <v>162</v>
      </c>
      <c r="E479" s="1">
        <v>712.8</v>
      </c>
      <c r="F479" s="1" t="s">
        <v>8</v>
      </c>
      <c r="G479" s="1" t="s">
        <v>13</v>
      </c>
      <c r="H479" s="1" t="s">
        <v>10</v>
      </c>
    </row>
    <row r="480" spans="1:8" x14ac:dyDescent="0.3">
      <c r="A480" s="1">
        <v>235</v>
      </c>
      <c r="B480" s="1" t="s">
        <v>154</v>
      </c>
      <c r="C480" s="1" t="s">
        <v>163</v>
      </c>
      <c r="D480" s="1" t="s">
        <v>164</v>
      </c>
      <c r="E480" s="1">
        <v>725</v>
      </c>
      <c r="F480" s="1" t="s">
        <v>8</v>
      </c>
      <c r="G480" s="1" t="s">
        <v>9</v>
      </c>
      <c r="H480" s="1" t="s">
        <v>10</v>
      </c>
    </row>
    <row r="481" spans="1:8" x14ac:dyDescent="0.3">
      <c r="A481" s="1">
        <v>235</v>
      </c>
      <c r="B481" s="1" t="s">
        <v>154</v>
      </c>
      <c r="C481" s="1" t="s">
        <v>165</v>
      </c>
      <c r="D481" s="1" t="s">
        <v>166</v>
      </c>
      <c r="E481" s="1">
        <v>358.08</v>
      </c>
      <c r="F481" s="1" t="s">
        <v>11</v>
      </c>
      <c r="G481" s="1" t="s">
        <v>9</v>
      </c>
      <c r="H481" s="1" t="s">
        <v>10</v>
      </c>
    </row>
    <row r="482" spans="1:8" x14ac:dyDescent="0.3">
      <c r="A482" s="1">
        <v>235</v>
      </c>
      <c r="B482" s="1" t="s">
        <v>154</v>
      </c>
      <c r="C482" s="1" t="s">
        <v>167</v>
      </c>
      <c r="D482" s="1" t="s">
        <v>168</v>
      </c>
      <c r="E482" s="1">
        <v>358.08</v>
      </c>
      <c r="F482" s="1" t="s">
        <v>8</v>
      </c>
      <c r="G482" s="1" t="s">
        <v>9</v>
      </c>
      <c r="H482" s="1" t="s">
        <v>10</v>
      </c>
    </row>
    <row r="483" spans="1:8" x14ac:dyDescent="0.3">
      <c r="A483" s="1">
        <v>235</v>
      </c>
      <c r="B483" s="1" t="s">
        <v>154</v>
      </c>
      <c r="C483" s="1" t="s">
        <v>169</v>
      </c>
      <c r="D483" s="1" t="s">
        <v>170</v>
      </c>
      <c r="E483" s="1">
        <v>175.27</v>
      </c>
      <c r="F483" s="1" t="s">
        <v>8</v>
      </c>
      <c r="G483" s="1" t="s">
        <v>9</v>
      </c>
      <c r="H483" s="1" t="s">
        <v>10</v>
      </c>
    </row>
    <row r="484" spans="1:8" x14ac:dyDescent="0.3">
      <c r="A484" s="1">
        <v>235</v>
      </c>
      <c r="B484" s="1" t="s">
        <v>154</v>
      </c>
      <c r="C484" s="1" t="s">
        <v>171</v>
      </c>
      <c r="D484" s="1" t="s">
        <v>172</v>
      </c>
      <c r="E484" s="1">
        <v>5769.82</v>
      </c>
      <c r="F484" s="1" t="s">
        <v>8</v>
      </c>
      <c r="G484" s="1" t="s">
        <v>9</v>
      </c>
      <c r="H484" s="1" t="s">
        <v>10</v>
      </c>
    </row>
    <row r="485" spans="1:8" x14ac:dyDescent="0.3">
      <c r="A485" s="1">
        <v>235</v>
      </c>
      <c r="B485" s="1" t="s">
        <v>154</v>
      </c>
      <c r="C485" s="1" t="s">
        <v>173</v>
      </c>
      <c r="D485" s="1" t="s">
        <v>174</v>
      </c>
      <c r="E485" s="1">
        <v>1200.5999999999999</v>
      </c>
      <c r="F485" s="1" t="s">
        <v>8</v>
      </c>
      <c r="G485" s="1" t="s">
        <v>9</v>
      </c>
      <c r="H485" s="1" t="s">
        <v>10</v>
      </c>
    </row>
    <row r="486" spans="1:8" x14ac:dyDescent="0.3">
      <c r="A486" s="1">
        <v>235</v>
      </c>
      <c r="B486" s="1" t="s">
        <v>154</v>
      </c>
      <c r="C486" s="1" t="s">
        <v>175</v>
      </c>
      <c r="D486" s="1" t="s">
        <v>176</v>
      </c>
      <c r="E486" s="1">
        <v>622</v>
      </c>
      <c r="F486" s="1" t="s">
        <v>8</v>
      </c>
      <c r="G486" s="1" t="s">
        <v>9</v>
      </c>
      <c r="H486" s="1" t="s">
        <v>10</v>
      </c>
    </row>
    <row r="487" spans="1:8" x14ac:dyDescent="0.3">
      <c r="A487" s="1">
        <v>235</v>
      </c>
      <c r="B487" s="1" t="s">
        <v>154</v>
      </c>
      <c r="C487" s="1" t="s">
        <v>177</v>
      </c>
      <c r="D487" s="1" t="s">
        <v>178</v>
      </c>
      <c r="E487" s="1">
        <v>600.23</v>
      </c>
      <c r="F487" s="1" t="s">
        <v>8</v>
      </c>
      <c r="G487" s="1" t="s">
        <v>9</v>
      </c>
      <c r="H487" s="1" t="s">
        <v>10</v>
      </c>
    </row>
    <row r="488" spans="1:8" x14ac:dyDescent="0.3">
      <c r="A488" s="1">
        <v>235</v>
      </c>
      <c r="B488" s="1" t="s">
        <v>154</v>
      </c>
      <c r="C488" s="1" t="s">
        <v>179</v>
      </c>
      <c r="D488" s="1" t="s">
        <v>180</v>
      </c>
      <c r="E488" s="1">
        <v>6.5</v>
      </c>
      <c r="F488" s="1" t="s">
        <v>8</v>
      </c>
      <c r="G488" s="1" t="s">
        <v>13</v>
      </c>
      <c r="H488" s="1" t="s">
        <v>10</v>
      </c>
    </row>
    <row r="489" spans="1:8" x14ac:dyDescent="0.3">
      <c r="A489" s="1">
        <v>235</v>
      </c>
      <c r="B489" s="1" t="s">
        <v>154</v>
      </c>
      <c r="C489" s="1" t="s">
        <v>181</v>
      </c>
      <c r="D489" s="1" t="s">
        <v>182</v>
      </c>
      <c r="E489" s="1">
        <v>262.89999999999998</v>
      </c>
      <c r="F489" s="1" t="s">
        <v>8</v>
      </c>
      <c r="G489" s="1" t="s">
        <v>9</v>
      </c>
      <c r="H489" s="1" t="s">
        <v>10</v>
      </c>
    </row>
    <row r="490" spans="1:8" x14ac:dyDescent="0.3">
      <c r="A490" s="1">
        <v>235</v>
      </c>
      <c r="B490" s="1" t="s">
        <v>154</v>
      </c>
      <c r="C490" s="1" t="s">
        <v>183</v>
      </c>
      <c r="D490" s="1" t="s">
        <v>184</v>
      </c>
      <c r="E490" s="1">
        <v>1095.04</v>
      </c>
      <c r="F490" s="1" t="s">
        <v>8</v>
      </c>
      <c r="G490" s="1" t="s">
        <v>9</v>
      </c>
      <c r="H490" s="1" t="s">
        <v>10</v>
      </c>
    </row>
    <row r="491" spans="1:8" x14ac:dyDescent="0.3">
      <c r="A491" s="1">
        <v>235</v>
      </c>
      <c r="B491" s="1" t="s">
        <v>154</v>
      </c>
      <c r="C491" s="1" t="s">
        <v>185</v>
      </c>
      <c r="D491" s="1" t="s">
        <v>186</v>
      </c>
      <c r="E491" s="1">
        <v>38.5</v>
      </c>
      <c r="F491" s="1" t="s">
        <v>8</v>
      </c>
      <c r="G491" s="1" t="s">
        <v>9</v>
      </c>
      <c r="H491" s="1" t="s">
        <v>10</v>
      </c>
    </row>
    <row r="492" spans="1:8" x14ac:dyDescent="0.3">
      <c r="A492" s="1">
        <v>235</v>
      </c>
      <c r="B492" s="1" t="s">
        <v>154</v>
      </c>
      <c r="C492" s="1" t="s">
        <v>4634</v>
      </c>
      <c r="D492" s="1" t="s">
        <v>4635</v>
      </c>
      <c r="E492" s="1">
        <v>567.89</v>
      </c>
      <c r="F492" s="1" t="s">
        <v>8</v>
      </c>
      <c r="G492" s="1" t="s">
        <v>9</v>
      </c>
      <c r="H492" s="1" t="s">
        <v>10</v>
      </c>
    </row>
    <row r="493" spans="1:8" x14ac:dyDescent="0.3">
      <c r="A493" s="1">
        <v>235</v>
      </c>
      <c r="B493" s="1" t="s">
        <v>154</v>
      </c>
      <c r="C493" s="1" t="s">
        <v>4636</v>
      </c>
      <c r="D493" s="1" t="s">
        <v>4637</v>
      </c>
      <c r="E493" s="1">
        <v>1203.6199999999999</v>
      </c>
      <c r="F493" s="1" t="s">
        <v>8</v>
      </c>
      <c r="G493" s="1" t="s">
        <v>13</v>
      </c>
      <c r="H493" s="1" t="s">
        <v>10</v>
      </c>
    </row>
    <row r="494" spans="1:8" x14ac:dyDescent="0.3">
      <c r="A494" s="1">
        <v>252</v>
      </c>
      <c r="B494" s="1" t="s">
        <v>187</v>
      </c>
      <c r="C494" s="1" t="s">
        <v>188</v>
      </c>
      <c r="D494" s="1" t="s">
        <v>189</v>
      </c>
      <c r="E494" s="1">
        <v>2272.98</v>
      </c>
      <c r="F494" s="1" t="s">
        <v>8</v>
      </c>
      <c r="G494" s="1" t="s">
        <v>9</v>
      </c>
      <c r="H494" s="1" t="s">
        <v>10</v>
      </c>
    </row>
    <row r="495" spans="1:8" x14ac:dyDescent="0.3">
      <c r="A495" s="1">
        <v>252</v>
      </c>
      <c r="B495" s="1" t="s">
        <v>187</v>
      </c>
      <c r="C495" s="1" t="s">
        <v>190</v>
      </c>
      <c r="D495" s="1" t="s">
        <v>191</v>
      </c>
      <c r="E495" s="1">
        <v>49.9</v>
      </c>
      <c r="F495" s="1" t="s">
        <v>8</v>
      </c>
      <c r="G495" s="1" t="s">
        <v>13</v>
      </c>
      <c r="H495" s="1" t="s">
        <v>10</v>
      </c>
    </row>
    <row r="496" spans="1:8" x14ac:dyDescent="0.3">
      <c r="A496" s="1">
        <v>252</v>
      </c>
      <c r="B496" s="1" t="s">
        <v>187</v>
      </c>
      <c r="C496" s="1" t="s">
        <v>192</v>
      </c>
      <c r="D496" s="1" t="s">
        <v>193</v>
      </c>
      <c r="E496" s="1">
        <v>31.9</v>
      </c>
      <c r="F496" s="1" t="s">
        <v>8</v>
      </c>
      <c r="G496" s="1" t="s">
        <v>13</v>
      </c>
      <c r="H496" s="1" t="s">
        <v>10</v>
      </c>
    </row>
    <row r="497" spans="1:8" x14ac:dyDescent="0.3">
      <c r="A497" s="1">
        <v>252</v>
      </c>
      <c r="B497" s="1" t="s">
        <v>187</v>
      </c>
      <c r="C497" s="1" t="s">
        <v>194</v>
      </c>
      <c r="D497" s="1" t="s">
        <v>195</v>
      </c>
      <c r="E497" s="1">
        <v>20</v>
      </c>
      <c r="F497" s="1" t="s">
        <v>8</v>
      </c>
      <c r="G497" s="1" t="s">
        <v>9</v>
      </c>
      <c r="H497" s="1" t="s">
        <v>10</v>
      </c>
    </row>
    <row r="498" spans="1:8" x14ac:dyDescent="0.3">
      <c r="A498" s="1">
        <v>252</v>
      </c>
      <c r="B498" s="1" t="s">
        <v>187</v>
      </c>
      <c r="C498" s="1" t="s">
        <v>196</v>
      </c>
      <c r="D498" s="1" t="s">
        <v>197</v>
      </c>
      <c r="E498" s="1">
        <v>166.02</v>
      </c>
      <c r="F498" s="1" t="s">
        <v>8</v>
      </c>
      <c r="G498" s="1" t="s">
        <v>9</v>
      </c>
      <c r="H498" s="1" t="s">
        <v>10</v>
      </c>
    </row>
    <row r="499" spans="1:8" x14ac:dyDescent="0.3">
      <c r="A499" s="1">
        <v>252</v>
      </c>
      <c r="B499" s="1" t="s">
        <v>187</v>
      </c>
      <c r="C499" s="1" t="s">
        <v>198</v>
      </c>
      <c r="D499" s="1" t="s">
        <v>199</v>
      </c>
      <c r="E499" s="1">
        <v>345.8</v>
      </c>
      <c r="F499" s="1" t="s">
        <v>8</v>
      </c>
      <c r="G499" s="1" t="s">
        <v>9</v>
      </c>
      <c r="H499" s="1" t="s">
        <v>10</v>
      </c>
    </row>
    <row r="500" spans="1:8" x14ac:dyDescent="0.3">
      <c r="A500" s="1">
        <v>252</v>
      </c>
      <c r="B500" s="1" t="s">
        <v>187</v>
      </c>
      <c r="C500" s="1" t="s">
        <v>200</v>
      </c>
      <c r="D500" s="1" t="s">
        <v>201</v>
      </c>
      <c r="E500" s="1">
        <v>31.9</v>
      </c>
      <c r="F500" s="1" t="s">
        <v>8</v>
      </c>
      <c r="G500" s="1" t="s">
        <v>13</v>
      </c>
      <c r="H500" s="1" t="s">
        <v>10</v>
      </c>
    </row>
    <row r="501" spans="1:8" x14ac:dyDescent="0.3">
      <c r="A501" s="1">
        <v>252</v>
      </c>
      <c r="B501" s="1" t="s">
        <v>187</v>
      </c>
      <c r="C501" s="1" t="s">
        <v>202</v>
      </c>
      <c r="D501" s="1" t="s">
        <v>203</v>
      </c>
      <c r="E501" s="1">
        <v>498.6</v>
      </c>
      <c r="F501" s="1" t="s">
        <v>8</v>
      </c>
      <c r="G501" s="1" t="s">
        <v>9</v>
      </c>
      <c r="H501" s="1" t="s">
        <v>10</v>
      </c>
    </row>
    <row r="502" spans="1:8" x14ac:dyDescent="0.3">
      <c r="A502" s="1">
        <v>252</v>
      </c>
      <c r="B502" s="1" t="s">
        <v>187</v>
      </c>
      <c r="C502" s="1" t="s">
        <v>204</v>
      </c>
      <c r="D502" s="1" t="s">
        <v>205</v>
      </c>
      <c r="E502" s="1">
        <v>14</v>
      </c>
      <c r="F502" s="1" t="s">
        <v>8</v>
      </c>
      <c r="G502" s="1" t="s">
        <v>9</v>
      </c>
      <c r="H502" s="1" t="s">
        <v>10</v>
      </c>
    </row>
    <row r="503" spans="1:8" x14ac:dyDescent="0.3">
      <c r="A503" s="1">
        <v>252</v>
      </c>
      <c r="B503" s="1" t="s">
        <v>187</v>
      </c>
      <c r="C503" s="1" t="s">
        <v>206</v>
      </c>
      <c r="D503" s="1" t="s">
        <v>207</v>
      </c>
      <c r="E503" s="1">
        <v>538.79999999999995</v>
      </c>
      <c r="F503" s="1" t="s">
        <v>8</v>
      </c>
      <c r="G503" s="1" t="s">
        <v>9</v>
      </c>
      <c r="H503" s="1" t="s">
        <v>10</v>
      </c>
    </row>
    <row r="504" spans="1:8" x14ac:dyDescent="0.3">
      <c r="A504" s="1">
        <v>252</v>
      </c>
      <c r="B504" s="1" t="s">
        <v>187</v>
      </c>
      <c r="C504" s="1" t="s">
        <v>208</v>
      </c>
      <c r="D504" s="1" t="s">
        <v>209</v>
      </c>
      <c r="E504" s="1">
        <v>774.6</v>
      </c>
      <c r="F504" s="1" t="s">
        <v>8</v>
      </c>
      <c r="G504" s="1" t="s">
        <v>9</v>
      </c>
      <c r="H504" s="1" t="s">
        <v>10</v>
      </c>
    </row>
    <row r="505" spans="1:8" x14ac:dyDescent="0.3">
      <c r="A505" s="1">
        <v>252</v>
      </c>
      <c r="B505" s="1" t="s">
        <v>187</v>
      </c>
      <c r="C505" s="1" t="s">
        <v>210</v>
      </c>
      <c r="D505" s="1" t="s">
        <v>211</v>
      </c>
      <c r="E505" s="1">
        <v>20</v>
      </c>
      <c r="F505" s="1" t="s">
        <v>8</v>
      </c>
      <c r="G505" s="1" t="s">
        <v>9</v>
      </c>
      <c r="H505" s="1" t="s">
        <v>10</v>
      </c>
    </row>
    <row r="506" spans="1:8" x14ac:dyDescent="0.3">
      <c r="A506" s="1">
        <v>252</v>
      </c>
      <c r="B506" s="1" t="s">
        <v>187</v>
      </c>
      <c r="C506" s="1" t="s">
        <v>212</v>
      </c>
      <c r="D506" s="1" t="s">
        <v>213</v>
      </c>
      <c r="E506" s="1">
        <v>311.38</v>
      </c>
      <c r="F506" s="1" t="s">
        <v>8</v>
      </c>
      <c r="G506" s="1" t="s">
        <v>13</v>
      </c>
      <c r="H506" s="1" t="s">
        <v>10</v>
      </c>
    </row>
    <row r="507" spans="1:8" x14ac:dyDescent="0.3">
      <c r="A507" s="1">
        <v>252</v>
      </c>
      <c r="B507" s="1" t="s">
        <v>187</v>
      </c>
      <c r="C507" s="1" t="s">
        <v>214</v>
      </c>
      <c r="D507" s="1" t="s">
        <v>215</v>
      </c>
      <c r="E507" s="1">
        <v>307.89999999999998</v>
      </c>
      <c r="F507" s="1" t="s">
        <v>8</v>
      </c>
      <c r="G507" s="1" t="s">
        <v>9</v>
      </c>
      <c r="H507" s="1" t="s">
        <v>10</v>
      </c>
    </row>
    <row r="508" spans="1:8" x14ac:dyDescent="0.3">
      <c r="A508" s="1">
        <v>252</v>
      </c>
      <c r="B508" s="1" t="s">
        <v>187</v>
      </c>
      <c r="C508" s="1" t="s">
        <v>216</v>
      </c>
      <c r="D508" s="1" t="s">
        <v>217</v>
      </c>
      <c r="E508" s="1">
        <v>170.9</v>
      </c>
      <c r="F508" s="1" t="s">
        <v>8</v>
      </c>
      <c r="G508" s="1" t="s">
        <v>9</v>
      </c>
      <c r="H508" s="1" t="s">
        <v>10</v>
      </c>
    </row>
    <row r="509" spans="1:8" x14ac:dyDescent="0.3">
      <c r="A509" s="1">
        <v>252</v>
      </c>
      <c r="B509" s="1" t="s">
        <v>187</v>
      </c>
      <c r="C509" s="1" t="s">
        <v>218</v>
      </c>
      <c r="D509" s="1" t="s">
        <v>219</v>
      </c>
      <c r="E509" s="1">
        <v>29.85</v>
      </c>
      <c r="F509" s="1" t="s">
        <v>8</v>
      </c>
      <c r="G509" s="1" t="s">
        <v>9</v>
      </c>
      <c r="H509" s="1" t="s">
        <v>10</v>
      </c>
    </row>
    <row r="510" spans="1:8" x14ac:dyDescent="0.3">
      <c r="A510" s="1">
        <v>252</v>
      </c>
      <c r="B510" s="1" t="s">
        <v>187</v>
      </c>
      <c r="C510" s="1" t="s">
        <v>220</v>
      </c>
      <c r="D510" s="1" t="s">
        <v>221</v>
      </c>
      <c r="E510" s="1">
        <v>47.5</v>
      </c>
      <c r="F510" s="1" t="s">
        <v>8</v>
      </c>
      <c r="G510" s="1" t="s">
        <v>9</v>
      </c>
      <c r="H510" s="1" t="s">
        <v>10</v>
      </c>
    </row>
    <row r="511" spans="1:8" x14ac:dyDescent="0.3">
      <c r="A511" s="1">
        <v>252</v>
      </c>
      <c r="B511" s="1" t="s">
        <v>187</v>
      </c>
      <c r="C511" s="1" t="s">
        <v>222</v>
      </c>
      <c r="D511" s="1" t="s">
        <v>223</v>
      </c>
      <c r="E511" s="1">
        <v>125.9</v>
      </c>
      <c r="F511" s="1" t="s">
        <v>8</v>
      </c>
      <c r="G511" s="1" t="s">
        <v>9</v>
      </c>
      <c r="H511" s="1" t="s">
        <v>10</v>
      </c>
    </row>
    <row r="512" spans="1:8" x14ac:dyDescent="0.3">
      <c r="A512" s="1">
        <v>252</v>
      </c>
      <c r="B512" s="1" t="s">
        <v>187</v>
      </c>
      <c r="C512" s="1" t="s">
        <v>224</v>
      </c>
      <c r="D512" s="1" t="s">
        <v>225</v>
      </c>
      <c r="E512" s="1">
        <v>229.78</v>
      </c>
      <c r="F512" s="1" t="s">
        <v>8</v>
      </c>
      <c r="G512" s="1" t="s">
        <v>9</v>
      </c>
      <c r="H512" s="1" t="s">
        <v>10</v>
      </c>
    </row>
    <row r="513" spans="1:8" x14ac:dyDescent="0.3">
      <c r="A513" s="1">
        <v>252</v>
      </c>
      <c r="B513" s="1" t="s">
        <v>187</v>
      </c>
      <c r="C513" s="1" t="s">
        <v>226</v>
      </c>
      <c r="D513" s="1" t="s">
        <v>227</v>
      </c>
      <c r="E513" s="1">
        <v>149.80000000000001</v>
      </c>
      <c r="F513" s="1" t="s">
        <v>8</v>
      </c>
      <c r="G513" s="1" t="s">
        <v>9</v>
      </c>
      <c r="H513" s="1" t="s">
        <v>10</v>
      </c>
    </row>
    <row r="514" spans="1:8" x14ac:dyDescent="0.3">
      <c r="A514" s="1">
        <v>252</v>
      </c>
      <c r="B514" s="1" t="s">
        <v>187</v>
      </c>
      <c r="C514" s="1" t="s">
        <v>228</v>
      </c>
      <c r="D514" s="1" t="s">
        <v>229</v>
      </c>
      <c r="E514" s="1">
        <v>209.8</v>
      </c>
      <c r="F514" s="1" t="s">
        <v>8</v>
      </c>
      <c r="G514" s="1" t="s">
        <v>9</v>
      </c>
      <c r="H514" s="1" t="s">
        <v>10</v>
      </c>
    </row>
    <row r="515" spans="1:8" x14ac:dyDescent="0.3">
      <c r="A515" s="1">
        <v>252</v>
      </c>
      <c r="B515" s="1" t="s">
        <v>187</v>
      </c>
      <c r="C515" s="1" t="s">
        <v>230</v>
      </c>
      <c r="D515" s="1" t="s">
        <v>231</v>
      </c>
      <c r="E515" s="1">
        <v>209.8</v>
      </c>
      <c r="F515" s="1" t="s">
        <v>8</v>
      </c>
      <c r="G515" s="1" t="s">
        <v>9</v>
      </c>
      <c r="H515" s="1" t="s">
        <v>10</v>
      </c>
    </row>
    <row r="516" spans="1:8" x14ac:dyDescent="0.3">
      <c r="A516" s="1">
        <v>252</v>
      </c>
      <c r="B516" s="1" t="s">
        <v>187</v>
      </c>
      <c r="C516" s="1" t="s">
        <v>232</v>
      </c>
      <c r="D516" s="1" t="s">
        <v>233</v>
      </c>
      <c r="E516" s="1">
        <v>377.4</v>
      </c>
      <c r="F516" s="1" t="s">
        <v>8</v>
      </c>
      <c r="G516" s="1" t="s">
        <v>9</v>
      </c>
      <c r="H516" s="1" t="s">
        <v>10</v>
      </c>
    </row>
    <row r="517" spans="1:8" x14ac:dyDescent="0.3">
      <c r="A517" s="1">
        <v>252</v>
      </c>
      <c r="B517" s="1" t="s">
        <v>187</v>
      </c>
      <c r="C517" s="1" t="s">
        <v>234</v>
      </c>
      <c r="D517" s="1" t="s">
        <v>235</v>
      </c>
      <c r="E517" s="1">
        <v>49.9</v>
      </c>
      <c r="F517" s="1" t="s">
        <v>8</v>
      </c>
      <c r="G517" s="1" t="s">
        <v>9</v>
      </c>
      <c r="H517" s="1" t="s">
        <v>10</v>
      </c>
    </row>
    <row r="518" spans="1:8" x14ac:dyDescent="0.3">
      <c r="A518" s="1">
        <v>252</v>
      </c>
      <c r="B518" s="1" t="s">
        <v>187</v>
      </c>
      <c r="C518" s="1" t="s">
        <v>236</v>
      </c>
      <c r="D518" s="1" t="s">
        <v>237</v>
      </c>
      <c r="E518" s="1">
        <v>286.86</v>
      </c>
      <c r="F518" s="1" t="s">
        <v>8</v>
      </c>
      <c r="G518" s="1" t="s">
        <v>9</v>
      </c>
      <c r="H518" s="1" t="s">
        <v>10</v>
      </c>
    </row>
    <row r="519" spans="1:8" x14ac:dyDescent="0.3">
      <c r="A519" s="1">
        <v>252</v>
      </c>
      <c r="B519" s="1" t="s">
        <v>187</v>
      </c>
      <c r="C519" s="1" t="s">
        <v>236</v>
      </c>
      <c r="D519" s="1" t="s">
        <v>237</v>
      </c>
      <c r="E519" s="1">
        <v>286.86</v>
      </c>
      <c r="F519" s="1" t="s">
        <v>8</v>
      </c>
      <c r="G519" s="1" t="s">
        <v>9</v>
      </c>
      <c r="H519" s="1" t="s">
        <v>10</v>
      </c>
    </row>
    <row r="520" spans="1:8" x14ac:dyDescent="0.3">
      <c r="A520" s="1">
        <v>252</v>
      </c>
      <c r="B520" s="1" t="s">
        <v>187</v>
      </c>
      <c r="C520" s="1" t="s">
        <v>4638</v>
      </c>
      <c r="D520" s="1" t="s">
        <v>4639</v>
      </c>
      <c r="E520" s="1">
        <v>355.8</v>
      </c>
      <c r="F520" s="1" t="s">
        <v>8</v>
      </c>
      <c r="G520" s="1" t="s">
        <v>9</v>
      </c>
      <c r="H520" s="1" t="s">
        <v>10</v>
      </c>
    </row>
    <row r="521" spans="1:8" x14ac:dyDescent="0.3">
      <c r="A521" s="1">
        <v>252</v>
      </c>
      <c r="B521" s="1" t="s">
        <v>187</v>
      </c>
      <c r="C521" s="1" t="s">
        <v>4640</v>
      </c>
      <c r="D521" s="1" t="s">
        <v>4641</v>
      </c>
      <c r="E521" s="1">
        <v>1156.2</v>
      </c>
      <c r="F521" s="1" t="s">
        <v>8</v>
      </c>
      <c r="G521" s="1" t="s">
        <v>9</v>
      </c>
      <c r="H521" s="1" t="s">
        <v>10</v>
      </c>
    </row>
    <row r="522" spans="1:8" x14ac:dyDescent="0.3">
      <c r="A522" s="1">
        <v>252</v>
      </c>
      <c r="B522" s="1" t="s">
        <v>187</v>
      </c>
      <c r="C522" s="1" t="s">
        <v>4642</v>
      </c>
      <c r="D522" s="1" t="s">
        <v>4643</v>
      </c>
      <c r="E522" s="1">
        <v>14</v>
      </c>
      <c r="F522" s="1" t="s">
        <v>8</v>
      </c>
      <c r="G522" s="1" t="s">
        <v>9</v>
      </c>
      <c r="H522" s="1" t="s">
        <v>10</v>
      </c>
    </row>
    <row r="523" spans="1:8" x14ac:dyDescent="0.3">
      <c r="A523" s="1">
        <v>252</v>
      </c>
      <c r="B523" s="1" t="s">
        <v>187</v>
      </c>
      <c r="C523" s="1" t="s">
        <v>4644</v>
      </c>
      <c r="D523" s="1" t="s">
        <v>4645</v>
      </c>
      <c r="E523" s="1">
        <v>326.39999999999998</v>
      </c>
      <c r="F523" s="1" t="s">
        <v>8</v>
      </c>
      <c r="G523" s="1" t="s">
        <v>9</v>
      </c>
      <c r="H523" s="1" t="s">
        <v>10</v>
      </c>
    </row>
    <row r="524" spans="1:8" x14ac:dyDescent="0.3">
      <c r="A524" s="1">
        <v>257</v>
      </c>
      <c r="B524" s="1" t="s">
        <v>238</v>
      </c>
      <c r="C524" s="1" t="s">
        <v>239</v>
      </c>
      <c r="D524" s="1" t="s">
        <v>240</v>
      </c>
      <c r="E524" s="1">
        <v>1294.99</v>
      </c>
      <c r="F524" s="1" t="s">
        <v>8</v>
      </c>
      <c r="G524" s="1" t="s">
        <v>9</v>
      </c>
      <c r="H524" s="1" t="s">
        <v>10</v>
      </c>
    </row>
    <row r="525" spans="1:8" x14ac:dyDescent="0.3">
      <c r="A525" s="1">
        <v>257</v>
      </c>
      <c r="B525" s="1" t="s">
        <v>238</v>
      </c>
      <c r="C525" s="1" t="s">
        <v>241</v>
      </c>
      <c r="D525" s="1" t="s">
        <v>242</v>
      </c>
      <c r="E525" s="1">
        <v>89.03</v>
      </c>
      <c r="F525" s="1" t="s">
        <v>8</v>
      </c>
      <c r="G525" s="1" t="s">
        <v>13</v>
      </c>
      <c r="H525" s="1" t="s">
        <v>10</v>
      </c>
    </row>
    <row r="526" spans="1:8" x14ac:dyDescent="0.3">
      <c r="A526" s="1">
        <v>257</v>
      </c>
      <c r="B526" s="1" t="s">
        <v>238</v>
      </c>
      <c r="C526" s="1" t="s">
        <v>243</v>
      </c>
      <c r="D526" s="1" t="s">
        <v>244</v>
      </c>
      <c r="E526" s="1">
        <v>169</v>
      </c>
      <c r="F526" s="1" t="s">
        <v>8</v>
      </c>
      <c r="G526" s="1" t="s">
        <v>9</v>
      </c>
      <c r="H526" s="1" t="s">
        <v>10</v>
      </c>
    </row>
    <row r="527" spans="1:8" x14ac:dyDescent="0.3">
      <c r="A527" s="1">
        <v>257</v>
      </c>
      <c r="B527" s="1" t="s">
        <v>238</v>
      </c>
      <c r="C527" s="1" t="s">
        <v>245</v>
      </c>
      <c r="D527" s="1" t="s">
        <v>246</v>
      </c>
      <c r="E527" s="1">
        <v>667.2</v>
      </c>
      <c r="F527" s="1" t="s">
        <v>8</v>
      </c>
      <c r="G527" s="1" t="s">
        <v>9</v>
      </c>
      <c r="H527" s="1" t="s">
        <v>10</v>
      </c>
    </row>
    <row r="528" spans="1:8" x14ac:dyDescent="0.3">
      <c r="A528" s="1">
        <v>257</v>
      </c>
      <c r="B528" s="1" t="s">
        <v>238</v>
      </c>
      <c r="C528" s="1" t="s">
        <v>247</v>
      </c>
      <c r="D528" s="1" t="s">
        <v>248</v>
      </c>
      <c r="E528" s="1">
        <v>336.9</v>
      </c>
      <c r="F528" s="1" t="s">
        <v>8</v>
      </c>
      <c r="G528" s="1" t="s">
        <v>9</v>
      </c>
      <c r="H528" s="1" t="s">
        <v>10</v>
      </c>
    </row>
    <row r="529" spans="1:8" x14ac:dyDescent="0.3">
      <c r="A529" s="1">
        <v>257</v>
      </c>
      <c r="B529" s="1" t="s">
        <v>238</v>
      </c>
      <c r="C529" s="1" t="s">
        <v>249</v>
      </c>
      <c r="D529" s="1" t="s">
        <v>250</v>
      </c>
      <c r="E529" s="1">
        <v>80</v>
      </c>
      <c r="F529" s="1" t="s">
        <v>8</v>
      </c>
      <c r="G529" s="1" t="s">
        <v>9</v>
      </c>
      <c r="H529" s="1" t="s">
        <v>10</v>
      </c>
    </row>
    <row r="530" spans="1:8" x14ac:dyDescent="0.3">
      <c r="A530" s="1">
        <v>257</v>
      </c>
      <c r="B530" s="1" t="s">
        <v>238</v>
      </c>
      <c r="C530" s="1" t="s">
        <v>251</v>
      </c>
      <c r="D530" s="1" t="s">
        <v>252</v>
      </c>
      <c r="E530" s="1">
        <v>463</v>
      </c>
      <c r="F530" s="1" t="s">
        <v>8</v>
      </c>
      <c r="G530" s="1" t="s">
        <v>9</v>
      </c>
      <c r="H530" s="1" t="s">
        <v>10</v>
      </c>
    </row>
    <row r="531" spans="1:8" x14ac:dyDescent="0.3">
      <c r="A531" s="1">
        <v>257</v>
      </c>
      <c r="B531" s="1" t="s">
        <v>238</v>
      </c>
      <c r="C531" s="1" t="s">
        <v>253</v>
      </c>
      <c r="D531" s="1" t="s">
        <v>254</v>
      </c>
      <c r="E531" s="1">
        <v>46.13</v>
      </c>
      <c r="F531" s="1" t="s">
        <v>8</v>
      </c>
      <c r="G531" s="1" t="s">
        <v>13</v>
      </c>
      <c r="H531" s="1" t="s">
        <v>10</v>
      </c>
    </row>
    <row r="532" spans="1:8" x14ac:dyDescent="0.3">
      <c r="A532" s="1">
        <v>257</v>
      </c>
      <c r="B532" s="1" t="s">
        <v>238</v>
      </c>
      <c r="C532" s="1" t="s">
        <v>255</v>
      </c>
      <c r="D532" s="1" t="s">
        <v>256</v>
      </c>
      <c r="E532" s="1">
        <v>72</v>
      </c>
      <c r="F532" s="1" t="s">
        <v>8</v>
      </c>
      <c r="G532" s="1" t="s">
        <v>9</v>
      </c>
      <c r="H532" s="1" t="s">
        <v>10</v>
      </c>
    </row>
    <row r="533" spans="1:8" x14ac:dyDescent="0.3">
      <c r="A533" s="1">
        <v>257</v>
      </c>
      <c r="B533" s="1" t="s">
        <v>238</v>
      </c>
      <c r="C533" s="1" t="s">
        <v>257</v>
      </c>
      <c r="D533" s="1" t="s">
        <v>258</v>
      </c>
      <c r="E533" s="1">
        <v>95</v>
      </c>
      <c r="F533" s="1" t="s">
        <v>8</v>
      </c>
      <c r="G533" s="1" t="s">
        <v>9</v>
      </c>
      <c r="H533" s="1" t="s">
        <v>10</v>
      </c>
    </row>
    <row r="534" spans="1:8" x14ac:dyDescent="0.3">
      <c r="A534" s="1">
        <v>257</v>
      </c>
      <c r="B534" s="1" t="s">
        <v>238</v>
      </c>
      <c r="C534" s="1" t="s">
        <v>259</v>
      </c>
      <c r="D534" s="1" t="s">
        <v>260</v>
      </c>
      <c r="E534" s="1">
        <v>63.13</v>
      </c>
      <c r="F534" s="1" t="s">
        <v>8</v>
      </c>
      <c r="G534" s="1" t="s">
        <v>13</v>
      </c>
      <c r="H534" s="1" t="s">
        <v>10</v>
      </c>
    </row>
    <row r="535" spans="1:8" x14ac:dyDescent="0.3">
      <c r="A535" s="1">
        <v>257</v>
      </c>
      <c r="B535" s="1" t="s">
        <v>238</v>
      </c>
      <c r="C535" s="1" t="s">
        <v>261</v>
      </c>
      <c r="D535" s="1" t="s">
        <v>262</v>
      </c>
      <c r="E535" s="1">
        <v>419.75</v>
      </c>
      <c r="F535" s="1" t="s">
        <v>8</v>
      </c>
      <c r="G535" s="1" t="s">
        <v>9</v>
      </c>
      <c r="H535" s="1" t="s">
        <v>10</v>
      </c>
    </row>
    <row r="536" spans="1:8" x14ac:dyDescent="0.3">
      <c r="A536" s="1">
        <v>257</v>
      </c>
      <c r="B536" s="1" t="s">
        <v>238</v>
      </c>
      <c r="C536" s="1" t="s">
        <v>263</v>
      </c>
      <c r="D536" s="1" t="s">
        <v>264</v>
      </c>
      <c r="E536" s="1">
        <v>180</v>
      </c>
      <c r="F536" s="1" t="s">
        <v>8</v>
      </c>
      <c r="G536" s="1" t="s">
        <v>9</v>
      </c>
      <c r="H536" s="1" t="s">
        <v>10</v>
      </c>
    </row>
    <row r="537" spans="1:8" x14ac:dyDescent="0.3">
      <c r="A537" s="1">
        <v>257</v>
      </c>
      <c r="B537" s="1" t="s">
        <v>238</v>
      </c>
      <c r="C537" s="1" t="s">
        <v>265</v>
      </c>
      <c r="D537" s="1" t="s">
        <v>266</v>
      </c>
      <c r="E537" s="1">
        <v>313</v>
      </c>
      <c r="F537" s="1" t="s">
        <v>8</v>
      </c>
      <c r="G537" s="1" t="s">
        <v>9</v>
      </c>
      <c r="H537" s="1" t="s">
        <v>10</v>
      </c>
    </row>
    <row r="538" spans="1:8" x14ac:dyDescent="0.3">
      <c r="A538" s="1">
        <v>257</v>
      </c>
      <c r="B538" s="1" t="s">
        <v>238</v>
      </c>
      <c r="C538" s="1" t="s">
        <v>267</v>
      </c>
      <c r="D538" s="1" t="s">
        <v>268</v>
      </c>
      <c r="E538" s="1">
        <v>250.5</v>
      </c>
      <c r="F538" s="1" t="s">
        <v>8</v>
      </c>
      <c r="G538" s="1" t="s">
        <v>9</v>
      </c>
      <c r="H538" s="1" t="s">
        <v>10</v>
      </c>
    </row>
    <row r="539" spans="1:8" x14ac:dyDescent="0.3">
      <c r="A539" s="1">
        <v>257</v>
      </c>
      <c r="B539" s="1" t="s">
        <v>238</v>
      </c>
      <c r="C539" s="1" t="s">
        <v>267</v>
      </c>
      <c r="D539" s="1" t="s">
        <v>268</v>
      </c>
      <c r="E539" s="1">
        <v>250.5</v>
      </c>
      <c r="F539" s="1" t="s">
        <v>8</v>
      </c>
      <c r="G539" s="1" t="s">
        <v>9</v>
      </c>
      <c r="H539" s="1" t="s">
        <v>10</v>
      </c>
    </row>
    <row r="540" spans="1:8" x14ac:dyDescent="0.3">
      <c r="A540" s="1">
        <v>257</v>
      </c>
      <c r="B540" s="1" t="s">
        <v>238</v>
      </c>
      <c r="C540" s="1" t="s">
        <v>269</v>
      </c>
      <c r="D540" s="1" t="s">
        <v>270</v>
      </c>
      <c r="E540" s="1">
        <v>98.68</v>
      </c>
      <c r="F540" s="1" t="s">
        <v>8</v>
      </c>
      <c r="G540" s="1" t="s">
        <v>9</v>
      </c>
      <c r="H540" s="1" t="s">
        <v>10</v>
      </c>
    </row>
    <row r="541" spans="1:8" x14ac:dyDescent="0.3">
      <c r="A541" s="1">
        <v>257</v>
      </c>
      <c r="B541" s="1" t="s">
        <v>238</v>
      </c>
      <c r="C541" s="1" t="s">
        <v>271</v>
      </c>
      <c r="D541" s="1" t="s">
        <v>272</v>
      </c>
      <c r="E541" s="1">
        <v>331.38</v>
      </c>
      <c r="F541" s="1" t="s">
        <v>8</v>
      </c>
      <c r="G541" s="1" t="s">
        <v>9</v>
      </c>
      <c r="H541" s="1" t="s">
        <v>10</v>
      </c>
    </row>
    <row r="542" spans="1:8" x14ac:dyDescent="0.3">
      <c r="A542" s="1">
        <v>257</v>
      </c>
      <c r="B542" s="1" t="s">
        <v>238</v>
      </c>
      <c r="C542" s="1" t="s">
        <v>4646</v>
      </c>
      <c r="D542" s="1" t="s">
        <v>4647</v>
      </c>
      <c r="E542" s="1">
        <v>76</v>
      </c>
      <c r="F542" s="1" t="s">
        <v>8</v>
      </c>
      <c r="G542" s="1" t="s">
        <v>9</v>
      </c>
      <c r="H542" s="1" t="s">
        <v>10</v>
      </c>
    </row>
    <row r="543" spans="1:8" x14ac:dyDescent="0.3">
      <c r="A543" s="1">
        <v>261</v>
      </c>
      <c r="B543" s="1" t="s">
        <v>273</v>
      </c>
      <c r="C543" s="1" t="s">
        <v>274</v>
      </c>
      <c r="D543" s="1" t="s">
        <v>275</v>
      </c>
      <c r="E543" s="1">
        <v>1873.38</v>
      </c>
      <c r="F543" s="1" t="s">
        <v>8</v>
      </c>
      <c r="G543" s="1" t="s">
        <v>9</v>
      </c>
      <c r="H543" s="1" t="s">
        <v>10</v>
      </c>
    </row>
    <row r="544" spans="1:8" x14ac:dyDescent="0.3">
      <c r="A544" s="1">
        <v>261</v>
      </c>
      <c r="B544" s="1" t="s">
        <v>273</v>
      </c>
      <c r="C544" s="1" t="s">
        <v>276</v>
      </c>
      <c r="D544" s="1" t="s">
        <v>277</v>
      </c>
      <c r="E544" s="1">
        <v>280</v>
      </c>
      <c r="F544" s="1" t="s">
        <v>8</v>
      </c>
      <c r="G544" s="1" t="s">
        <v>13</v>
      </c>
      <c r="H544" s="1" t="s">
        <v>10</v>
      </c>
    </row>
    <row r="545" spans="1:8" x14ac:dyDescent="0.3">
      <c r="A545" s="1">
        <v>261</v>
      </c>
      <c r="B545" s="1" t="s">
        <v>273</v>
      </c>
      <c r="C545" s="1" t="s">
        <v>278</v>
      </c>
      <c r="D545" s="1" t="s">
        <v>279</v>
      </c>
      <c r="E545" s="1">
        <v>147</v>
      </c>
      <c r="F545" s="1" t="s">
        <v>8</v>
      </c>
      <c r="G545" s="1" t="s">
        <v>9</v>
      </c>
      <c r="H545" s="1" t="s">
        <v>10</v>
      </c>
    </row>
    <row r="546" spans="1:8" x14ac:dyDescent="0.3">
      <c r="A546" s="1">
        <v>261</v>
      </c>
      <c r="B546" s="1" t="s">
        <v>273</v>
      </c>
      <c r="C546" s="1" t="s">
        <v>280</v>
      </c>
      <c r="D546" s="1" t="s">
        <v>281</v>
      </c>
      <c r="E546" s="1">
        <v>95</v>
      </c>
      <c r="F546" s="1" t="s">
        <v>8</v>
      </c>
      <c r="G546" s="1" t="s">
        <v>9</v>
      </c>
      <c r="H546" s="1" t="s">
        <v>10</v>
      </c>
    </row>
    <row r="547" spans="1:8" x14ac:dyDescent="0.3">
      <c r="A547" s="1">
        <v>261</v>
      </c>
      <c r="B547" s="1" t="s">
        <v>273</v>
      </c>
      <c r="C547" s="1" t="s">
        <v>282</v>
      </c>
      <c r="D547" s="1" t="s">
        <v>283</v>
      </c>
      <c r="E547" s="1">
        <v>62.9</v>
      </c>
      <c r="F547" s="1" t="s">
        <v>8</v>
      </c>
      <c r="G547" s="1" t="s">
        <v>13</v>
      </c>
      <c r="H547" s="1" t="s">
        <v>10</v>
      </c>
    </row>
    <row r="548" spans="1:8" x14ac:dyDescent="0.3">
      <c r="A548" s="1">
        <v>261</v>
      </c>
      <c r="B548" s="1" t="s">
        <v>273</v>
      </c>
      <c r="C548" s="1" t="s">
        <v>284</v>
      </c>
      <c r="D548" s="1" t="s">
        <v>285</v>
      </c>
      <c r="E548" s="1">
        <v>132.9</v>
      </c>
      <c r="F548" s="1" t="s">
        <v>8</v>
      </c>
      <c r="G548" s="1" t="s">
        <v>13</v>
      </c>
      <c r="H548" s="1" t="s">
        <v>10</v>
      </c>
    </row>
    <row r="549" spans="1:8" x14ac:dyDescent="0.3">
      <c r="A549" s="1">
        <v>261</v>
      </c>
      <c r="B549" s="1" t="s">
        <v>273</v>
      </c>
      <c r="C549" s="1" t="s">
        <v>286</v>
      </c>
      <c r="D549" s="1" t="s">
        <v>287</v>
      </c>
      <c r="E549" s="1">
        <v>72</v>
      </c>
      <c r="F549" s="1" t="s">
        <v>8</v>
      </c>
      <c r="G549" s="1" t="s">
        <v>9</v>
      </c>
      <c r="H549" s="1" t="s">
        <v>10</v>
      </c>
    </row>
    <row r="550" spans="1:8" x14ac:dyDescent="0.3">
      <c r="A550" s="1">
        <v>261</v>
      </c>
      <c r="B550" s="1" t="s">
        <v>273</v>
      </c>
      <c r="C550" s="1" t="s">
        <v>288</v>
      </c>
      <c r="D550" s="1" t="s">
        <v>289</v>
      </c>
      <c r="E550" s="1">
        <v>14</v>
      </c>
      <c r="F550" s="1" t="s">
        <v>8</v>
      </c>
      <c r="G550" s="1" t="s">
        <v>9</v>
      </c>
      <c r="H550" s="1" t="s">
        <v>10</v>
      </c>
    </row>
    <row r="551" spans="1:8" x14ac:dyDescent="0.3">
      <c r="A551" s="1">
        <v>261</v>
      </c>
      <c r="B551" s="1" t="s">
        <v>273</v>
      </c>
      <c r="C551" s="1" t="s">
        <v>290</v>
      </c>
      <c r="D551" s="1" t="s">
        <v>291</v>
      </c>
      <c r="E551" s="1">
        <v>301.77999999999997</v>
      </c>
      <c r="F551" s="1" t="s">
        <v>8</v>
      </c>
      <c r="G551" s="1" t="s">
        <v>9</v>
      </c>
      <c r="H551" s="1" t="s">
        <v>10</v>
      </c>
    </row>
    <row r="552" spans="1:8" x14ac:dyDescent="0.3">
      <c r="A552" s="1">
        <v>261</v>
      </c>
      <c r="B552" s="1" t="s">
        <v>273</v>
      </c>
      <c r="C552" s="1" t="s">
        <v>292</v>
      </c>
      <c r="D552" s="1" t="s">
        <v>293</v>
      </c>
      <c r="E552" s="1">
        <v>72</v>
      </c>
      <c r="F552" s="1" t="s">
        <v>8</v>
      </c>
      <c r="G552" s="1" t="s">
        <v>9</v>
      </c>
      <c r="H552" s="1" t="s">
        <v>10</v>
      </c>
    </row>
    <row r="553" spans="1:8" x14ac:dyDescent="0.3">
      <c r="A553" s="1">
        <v>261</v>
      </c>
      <c r="B553" s="1" t="s">
        <v>273</v>
      </c>
      <c r="C553" s="1" t="s">
        <v>294</v>
      </c>
      <c r="D553" s="1" t="s">
        <v>295</v>
      </c>
      <c r="E553" s="1">
        <v>149.80000000000001</v>
      </c>
      <c r="F553" s="1" t="s">
        <v>8</v>
      </c>
      <c r="G553" s="1" t="s">
        <v>9</v>
      </c>
      <c r="H553" s="1" t="s">
        <v>10</v>
      </c>
    </row>
    <row r="554" spans="1:8" x14ac:dyDescent="0.3">
      <c r="A554" s="1">
        <v>261</v>
      </c>
      <c r="B554" s="1" t="s">
        <v>273</v>
      </c>
      <c r="C554" s="1" t="s">
        <v>296</v>
      </c>
      <c r="D554" s="1" t="s">
        <v>297</v>
      </c>
      <c r="E554" s="1">
        <v>99.9</v>
      </c>
      <c r="F554" s="1" t="s">
        <v>8</v>
      </c>
      <c r="G554" s="1" t="s">
        <v>9</v>
      </c>
      <c r="H554" s="1" t="s">
        <v>10</v>
      </c>
    </row>
    <row r="555" spans="1:8" x14ac:dyDescent="0.3">
      <c r="A555" s="1">
        <v>261</v>
      </c>
      <c r="B555" s="1" t="s">
        <v>273</v>
      </c>
      <c r="C555" s="1" t="s">
        <v>298</v>
      </c>
      <c r="D555" s="1" t="s">
        <v>299</v>
      </c>
      <c r="E555" s="1">
        <v>72</v>
      </c>
      <c r="F555" s="1" t="s">
        <v>8</v>
      </c>
      <c r="G555" s="1" t="s">
        <v>9</v>
      </c>
      <c r="H555" s="1" t="s">
        <v>10</v>
      </c>
    </row>
    <row r="556" spans="1:8" x14ac:dyDescent="0.3">
      <c r="A556" s="1">
        <v>261</v>
      </c>
      <c r="B556" s="1" t="s">
        <v>273</v>
      </c>
      <c r="C556" s="1" t="s">
        <v>4648</v>
      </c>
      <c r="D556" s="1" t="s">
        <v>4649</v>
      </c>
      <c r="E556" s="1">
        <v>286.86</v>
      </c>
      <c r="F556" s="1" t="s">
        <v>8</v>
      </c>
      <c r="G556" s="1" t="s">
        <v>9</v>
      </c>
      <c r="H556" s="1" t="s">
        <v>10</v>
      </c>
    </row>
    <row r="557" spans="1:8" x14ac:dyDescent="0.3">
      <c r="A557" s="1">
        <v>261</v>
      </c>
      <c r="B557" s="1" t="s">
        <v>273</v>
      </c>
      <c r="C557" s="1" t="s">
        <v>4650</v>
      </c>
      <c r="D557" s="1" t="s">
        <v>4651</v>
      </c>
      <c r="E557" s="1">
        <v>260</v>
      </c>
      <c r="F557" s="1" t="s">
        <v>8</v>
      </c>
      <c r="G557" s="1" t="s">
        <v>13</v>
      </c>
      <c r="H557" s="1" t="s">
        <v>10</v>
      </c>
    </row>
    <row r="558" spans="1:8" x14ac:dyDescent="0.3">
      <c r="A558" s="1">
        <v>263</v>
      </c>
      <c r="B558" s="1" t="s">
        <v>300</v>
      </c>
      <c r="C558" s="1" t="s">
        <v>301</v>
      </c>
      <c r="D558" s="1" t="s">
        <v>302</v>
      </c>
      <c r="E558" s="1">
        <v>771.54</v>
      </c>
      <c r="F558" s="1" t="s">
        <v>8</v>
      </c>
      <c r="G558" s="1" t="s">
        <v>9</v>
      </c>
      <c r="H558" s="1" t="s">
        <v>10</v>
      </c>
    </row>
    <row r="559" spans="1:8" x14ac:dyDescent="0.3">
      <c r="A559" s="1">
        <v>263</v>
      </c>
      <c r="B559" s="1" t="s">
        <v>300</v>
      </c>
      <c r="C559" s="1" t="s">
        <v>303</v>
      </c>
      <c r="D559" s="1" t="s">
        <v>304</v>
      </c>
      <c r="E559" s="1">
        <v>98.68</v>
      </c>
      <c r="F559" s="1" t="s">
        <v>8</v>
      </c>
      <c r="G559" s="1" t="s">
        <v>9</v>
      </c>
      <c r="H559" s="1" t="s">
        <v>10</v>
      </c>
    </row>
    <row r="560" spans="1:8" x14ac:dyDescent="0.3">
      <c r="A560" s="1">
        <v>263</v>
      </c>
      <c r="B560" s="1" t="s">
        <v>300</v>
      </c>
      <c r="C560" s="1" t="s">
        <v>305</v>
      </c>
      <c r="D560" s="1" t="s">
        <v>306</v>
      </c>
      <c r="E560" s="1">
        <v>210.86</v>
      </c>
      <c r="F560" s="1" t="s">
        <v>8</v>
      </c>
      <c r="G560" s="1" t="s">
        <v>9</v>
      </c>
      <c r="H560" s="1" t="s">
        <v>10</v>
      </c>
    </row>
    <row r="561" spans="1:8" x14ac:dyDescent="0.3">
      <c r="A561" s="1">
        <v>263</v>
      </c>
      <c r="B561" s="1" t="s">
        <v>300</v>
      </c>
      <c r="C561" s="1" t="s">
        <v>307</v>
      </c>
      <c r="D561" s="1" t="s">
        <v>308</v>
      </c>
      <c r="E561" s="1">
        <v>174.56</v>
      </c>
      <c r="F561" s="1" t="s">
        <v>8</v>
      </c>
      <c r="G561" s="1" t="s">
        <v>9</v>
      </c>
      <c r="H561" s="1" t="s">
        <v>10</v>
      </c>
    </row>
    <row r="562" spans="1:8" x14ac:dyDescent="0.3">
      <c r="A562" s="1">
        <v>263</v>
      </c>
      <c r="B562" s="1" t="s">
        <v>300</v>
      </c>
      <c r="C562" s="1" t="s">
        <v>309</v>
      </c>
      <c r="D562" s="1" t="s">
        <v>310</v>
      </c>
      <c r="E562" s="1">
        <v>345.8</v>
      </c>
      <c r="F562" s="1" t="s">
        <v>8</v>
      </c>
      <c r="G562" s="1" t="s">
        <v>9</v>
      </c>
      <c r="H562" s="1" t="s">
        <v>10</v>
      </c>
    </row>
    <row r="563" spans="1:8" x14ac:dyDescent="0.3">
      <c r="A563" s="1">
        <v>263</v>
      </c>
      <c r="B563" s="1" t="s">
        <v>300</v>
      </c>
      <c r="C563" s="1" t="s">
        <v>311</v>
      </c>
      <c r="D563" s="1" t="s">
        <v>312</v>
      </c>
      <c r="E563" s="1">
        <v>1800</v>
      </c>
      <c r="F563" s="1" t="s">
        <v>8</v>
      </c>
      <c r="G563" s="1" t="s">
        <v>9</v>
      </c>
      <c r="H563" s="1" t="s">
        <v>10</v>
      </c>
    </row>
    <row r="564" spans="1:8" x14ac:dyDescent="0.3">
      <c r="A564" s="1">
        <v>263</v>
      </c>
      <c r="B564" s="1" t="s">
        <v>300</v>
      </c>
      <c r="C564" s="1" t="s">
        <v>313</v>
      </c>
      <c r="D564" s="1" t="s">
        <v>314</v>
      </c>
      <c r="E564" s="1">
        <v>1019.4</v>
      </c>
      <c r="F564" s="1" t="s">
        <v>8</v>
      </c>
      <c r="G564" s="1" t="s">
        <v>9</v>
      </c>
      <c r="H564" s="1" t="s">
        <v>10</v>
      </c>
    </row>
    <row r="565" spans="1:8" x14ac:dyDescent="0.3">
      <c r="A565" s="1">
        <v>263</v>
      </c>
      <c r="B565" s="1" t="s">
        <v>300</v>
      </c>
      <c r="C565" s="1" t="s">
        <v>315</v>
      </c>
      <c r="D565" s="1" t="s">
        <v>316</v>
      </c>
      <c r="E565" s="1">
        <v>301.77999999999997</v>
      </c>
      <c r="F565" s="1" t="s">
        <v>8</v>
      </c>
      <c r="G565" s="1" t="s">
        <v>9</v>
      </c>
      <c r="H565" s="1" t="s">
        <v>10</v>
      </c>
    </row>
    <row r="566" spans="1:8" x14ac:dyDescent="0.3">
      <c r="A566" s="1">
        <v>263</v>
      </c>
      <c r="B566" s="1" t="s">
        <v>300</v>
      </c>
      <c r="C566" s="1" t="s">
        <v>317</v>
      </c>
      <c r="D566" s="1" t="s">
        <v>318</v>
      </c>
      <c r="E566" s="1">
        <v>152</v>
      </c>
      <c r="F566" s="1" t="s">
        <v>8</v>
      </c>
      <c r="G566" s="1" t="s">
        <v>9</v>
      </c>
      <c r="H566" s="1" t="s">
        <v>10</v>
      </c>
    </row>
    <row r="567" spans="1:8" x14ac:dyDescent="0.3">
      <c r="A567" s="1">
        <v>263</v>
      </c>
      <c r="B567" s="1" t="s">
        <v>300</v>
      </c>
      <c r="C567" s="1" t="s">
        <v>319</v>
      </c>
      <c r="D567" s="1" t="s">
        <v>320</v>
      </c>
      <c r="E567" s="1">
        <v>98.68</v>
      </c>
      <c r="F567" s="1" t="s">
        <v>8</v>
      </c>
      <c r="G567" s="1" t="s">
        <v>9</v>
      </c>
      <c r="H567" s="1" t="s">
        <v>10</v>
      </c>
    </row>
    <row r="568" spans="1:8" x14ac:dyDescent="0.3">
      <c r="A568" s="1">
        <v>263</v>
      </c>
      <c r="B568" s="1" t="s">
        <v>300</v>
      </c>
      <c r="C568" s="1" t="s">
        <v>321</v>
      </c>
      <c r="D568" s="1" t="s">
        <v>322</v>
      </c>
      <c r="E568" s="1">
        <v>491.81</v>
      </c>
      <c r="F568" s="1" t="s">
        <v>8</v>
      </c>
      <c r="G568" s="1" t="s">
        <v>9</v>
      </c>
      <c r="H568" s="1" t="s">
        <v>10</v>
      </c>
    </row>
    <row r="569" spans="1:8" x14ac:dyDescent="0.3">
      <c r="A569" s="1">
        <v>263</v>
      </c>
      <c r="B569" s="1" t="s">
        <v>300</v>
      </c>
      <c r="C569" s="1" t="s">
        <v>323</v>
      </c>
      <c r="D569" s="1" t="s">
        <v>324</v>
      </c>
      <c r="E569" s="1">
        <v>327.84</v>
      </c>
      <c r="F569" s="1" t="s">
        <v>8</v>
      </c>
      <c r="G569" s="1" t="s">
        <v>9</v>
      </c>
      <c r="H569" s="1" t="s">
        <v>10</v>
      </c>
    </row>
    <row r="570" spans="1:8" x14ac:dyDescent="0.3">
      <c r="A570" s="1">
        <v>263</v>
      </c>
      <c r="B570" s="1" t="s">
        <v>300</v>
      </c>
      <c r="C570" s="1" t="s">
        <v>323</v>
      </c>
      <c r="D570" s="1" t="s">
        <v>324</v>
      </c>
      <c r="E570" s="1">
        <v>327.84</v>
      </c>
      <c r="F570" s="1" t="s">
        <v>8</v>
      </c>
      <c r="G570" s="1" t="s">
        <v>9</v>
      </c>
      <c r="H570" s="1" t="s">
        <v>10</v>
      </c>
    </row>
    <row r="571" spans="1:8" x14ac:dyDescent="0.3">
      <c r="A571" s="1">
        <v>264</v>
      </c>
      <c r="B571" s="1" t="s">
        <v>325</v>
      </c>
      <c r="C571" s="1" t="s">
        <v>326</v>
      </c>
      <c r="D571" s="1" t="s">
        <v>327</v>
      </c>
      <c r="E571" s="1">
        <v>411.26</v>
      </c>
      <c r="F571" s="1" t="s">
        <v>8</v>
      </c>
      <c r="G571" s="1" t="s">
        <v>9</v>
      </c>
      <c r="H571" s="1" t="s">
        <v>10</v>
      </c>
    </row>
    <row r="572" spans="1:8" x14ac:dyDescent="0.3">
      <c r="A572" s="1">
        <v>264</v>
      </c>
      <c r="B572" s="1" t="s">
        <v>325</v>
      </c>
      <c r="C572" s="1" t="s">
        <v>328</v>
      </c>
      <c r="D572" s="1" t="s">
        <v>329</v>
      </c>
      <c r="E572" s="1">
        <v>40</v>
      </c>
      <c r="F572" s="1" t="s">
        <v>8</v>
      </c>
      <c r="G572" s="1" t="s">
        <v>9</v>
      </c>
      <c r="H572" s="1" t="s">
        <v>10</v>
      </c>
    </row>
    <row r="573" spans="1:8" x14ac:dyDescent="0.3">
      <c r="A573" s="1">
        <v>264</v>
      </c>
      <c r="B573" s="1" t="s">
        <v>325</v>
      </c>
      <c r="C573" s="1" t="s">
        <v>330</v>
      </c>
      <c r="D573" s="1" t="s">
        <v>331</v>
      </c>
      <c r="E573" s="1">
        <v>23.76</v>
      </c>
      <c r="F573" s="1" t="s">
        <v>8</v>
      </c>
      <c r="G573" s="1" t="s">
        <v>9</v>
      </c>
      <c r="H573" s="1" t="s">
        <v>10</v>
      </c>
    </row>
    <row r="574" spans="1:8" x14ac:dyDescent="0.3">
      <c r="A574" s="1">
        <v>264</v>
      </c>
      <c r="B574" s="1" t="s">
        <v>325</v>
      </c>
      <c r="C574" s="1" t="s">
        <v>332</v>
      </c>
      <c r="D574" s="1" t="s">
        <v>333</v>
      </c>
      <c r="E574" s="1">
        <v>29</v>
      </c>
      <c r="F574" s="1" t="s">
        <v>8</v>
      </c>
      <c r="G574" s="1" t="s">
        <v>9</v>
      </c>
      <c r="H574" s="1" t="s">
        <v>10</v>
      </c>
    </row>
    <row r="575" spans="1:8" x14ac:dyDescent="0.3">
      <c r="A575" s="1">
        <v>264</v>
      </c>
      <c r="B575" s="1" t="s">
        <v>325</v>
      </c>
      <c r="C575" s="1" t="s">
        <v>334</v>
      </c>
      <c r="D575" s="1" t="s">
        <v>335</v>
      </c>
      <c r="E575" s="1">
        <v>57</v>
      </c>
      <c r="F575" s="1" t="s">
        <v>8</v>
      </c>
      <c r="G575" s="1" t="s">
        <v>9</v>
      </c>
      <c r="H575" s="1" t="s">
        <v>10</v>
      </c>
    </row>
    <row r="576" spans="1:8" x14ac:dyDescent="0.3">
      <c r="A576" s="1">
        <v>264</v>
      </c>
      <c r="B576" s="1" t="s">
        <v>325</v>
      </c>
      <c r="C576" s="1" t="s">
        <v>336</v>
      </c>
      <c r="D576" s="1" t="s">
        <v>337</v>
      </c>
      <c r="E576" s="1">
        <v>6.66</v>
      </c>
      <c r="F576" s="1" t="s">
        <v>8</v>
      </c>
      <c r="G576" s="1" t="s">
        <v>9</v>
      </c>
      <c r="H576" s="1" t="s">
        <v>10</v>
      </c>
    </row>
    <row r="577" spans="1:8" x14ac:dyDescent="0.3">
      <c r="A577" s="1">
        <v>264</v>
      </c>
      <c r="B577" s="1" t="s">
        <v>325</v>
      </c>
      <c r="C577" s="1" t="s">
        <v>338</v>
      </c>
      <c r="D577" s="1" t="s">
        <v>339</v>
      </c>
      <c r="E577" s="1">
        <v>107.78</v>
      </c>
      <c r="F577" s="1" t="s">
        <v>8</v>
      </c>
      <c r="G577" s="1" t="s">
        <v>9</v>
      </c>
      <c r="H577" s="1" t="s">
        <v>10</v>
      </c>
    </row>
    <row r="578" spans="1:8" x14ac:dyDescent="0.3">
      <c r="A578" s="1">
        <v>264</v>
      </c>
      <c r="B578" s="1" t="s">
        <v>325</v>
      </c>
      <c r="C578" s="1" t="s">
        <v>340</v>
      </c>
      <c r="D578" s="1" t="s">
        <v>341</v>
      </c>
      <c r="E578" s="1">
        <v>114</v>
      </c>
      <c r="F578" s="1" t="s">
        <v>8</v>
      </c>
      <c r="G578" s="1" t="s">
        <v>9</v>
      </c>
      <c r="H578" s="1" t="s">
        <v>10</v>
      </c>
    </row>
    <row r="579" spans="1:8" x14ac:dyDescent="0.3">
      <c r="A579" s="1">
        <v>264</v>
      </c>
      <c r="B579" s="1" t="s">
        <v>325</v>
      </c>
      <c r="C579" s="1" t="s">
        <v>342</v>
      </c>
      <c r="D579" s="1" t="s">
        <v>343</v>
      </c>
      <c r="E579" s="1">
        <v>114</v>
      </c>
      <c r="F579" s="1" t="s">
        <v>8</v>
      </c>
      <c r="G579" s="1" t="s">
        <v>9</v>
      </c>
      <c r="H579" s="1" t="s">
        <v>10</v>
      </c>
    </row>
    <row r="580" spans="1:8" x14ac:dyDescent="0.3">
      <c r="A580" s="1">
        <v>264</v>
      </c>
      <c r="B580" s="1" t="s">
        <v>325</v>
      </c>
      <c r="C580" s="1" t="s">
        <v>344</v>
      </c>
      <c r="D580" s="1" t="s">
        <v>345</v>
      </c>
      <c r="E580" s="1">
        <v>419.75</v>
      </c>
      <c r="F580" s="1" t="s">
        <v>8</v>
      </c>
      <c r="G580" s="1" t="s">
        <v>9</v>
      </c>
      <c r="H580" s="1" t="s">
        <v>10</v>
      </c>
    </row>
    <row r="581" spans="1:8" x14ac:dyDescent="0.3">
      <c r="A581" s="1">
        <v>264</v>
      </c>
      <c r="B581" s="1" t="s">
        <v>325</v>
      </c>
      <c r="C581" s="1" t="s">
        <v>346</v>
      </c>
      <c r="D581" s="1" t="s">
        <v>347</v>
      </c>
      <c r="E581" s="1">
        <v>64.13</v>
      </c>
      <c r="F581" s="1" t="s">
        <v>8</v>
      </c>
      <c r="G581" s="1" t="s">
        <v>9</v>
      </c>
      <c r="H581" s="1" t="s">
        <v>10</v>
      </c>
    </row>
    <row r="582" spans="1:8" x14ac:dyDescent="0.3">
      <c r="A582" s="1">
        <v>264</v>
      </c>
      <c r="B582" s="1" t="s">
        <v>325</v>
      </c>
      <c r="C582" s="1" t="s">
        <v>348</v>
      </c>
      <c r="D582" s="1" t="s">
        <v>349</v>
      </c>
      <c r="E582" s="1">
        <v>450.77</v>
      </c>
      <c r="F582" s="1" t="s">
        <v>8</v>
      </c>
      <c r="G582" s="1" t="s">
        <v>9</v>
      </c>
      <c r="H582" s="1" t="s">
        <v>10</v>
      </c>
    </row>
    <row r="583" spans="1:8" x14ac:dyDescent="0.3">
      <c r="A583" s="1">
        <v>264</v>
      </c>
      <c r="B583" s="1" t="s">
        <v>325</v>
      </c>
      <c r="C583" s="1" t="s">
        <v>350</v>
      </c>
      <c r="D583" s="1" t="s">
        <v>351</v>
      </c>
      <c r="E583" s="1">
        <v>57</v>
      </c>
      <c r="F583" s="1" t="s">
        <v>8</v>
      </c>
      <c r="G583" s="1" t="s">
        <v>9</v>
      </c>
      <c r="H583" s="1" t="s">
        <v>10</v>
      </c>
    </row>
    <row r="584" spans="1:8" x14ac:dyDescent="0.3">
      <c r="A584" s="1">
        <v>264</v>
      </c>
      <c r="B584" s="1" t="s">
        <v>325</v>
      </c>
      <c r="C584" s="1" t="s">
        <v>352</v>
      </c>
      <c r="D584" s="1" t="s">
        <v>353</v>
      </c>
      <c r="E584" s="1">
        <v>301.77999999999997</v>
      </c>
      <c r="F584" s="1" t="s">
        <v>8</v>
      </c>
      <c r="G584" s="1" t="s">
        <v>9</v>
      </c>
      <c r="H584" s="1" t="s">
        <v>10</v>
      </c>
    </row>
    <row r="585" spans="1:8" x14ac:dyDescent="0.3">
      <c r="A585" s="1">
        <v>264</v>
      </c>
      <c r="B585" s="1" t="s">
        <v>325</v>
      </c>
      <c r="C585" s="1" t="s">
        <v>354</v>
      </c>
      <c r="D585" s="1" t="s">
        <v>355</v>
      </c>
      <c r="E585" s="1">
        <v>149.80000000000001</v>
      </c>
      <c r="F585" s="1" t="s">
        <v>8</v>
      </c>
      <c r="G585" s="1" t="s">
        <v>9</v>
      </c>
      <c r="H585" s="1" t="s">
        <v>10</v>
      </c>
    </row>
    <row r="586" spans="1:8" x14ac:dyDescent="0.3">
      <c r="A586" s="1">
        <v>264</v>
      </c>
      <c r="B586" s="1" t="s">
        <v>325</v>
      </c>
      <c r="C586" s="1" t="s">
        <v>4652</v>
      </c>
      <c r="D586" s="1" t="s">
        <v>4653</v>
      </c>
      <c r="E586" s="1">
        <v>816.82</v>
      </c>
      <c r="F586" s="1" t="s">
        <v>8</v>
      </c>
      <c r="G586" s="1" t="s">
        <v>9</v>
      </c>
      <c r="H586" s="1" t="s">
        <v>10</v>
      </c>
    </row>
    <row r="587" spans="1:8" x14ac:dyDescent="0.3">
      <c r="A587" s="1">
        <v>264</v>
      </c>
      <c r="B587" s="1" t="s">
        <v>325</v>
      </c>
      <c r="C587" s="1" t="s">
        <v>4654</v>
      </c>
      <c r="D587" s="1" t="s">
        <v>4655</v>
      </c>
      <c r="E587" s="1">
        <v>157</v>
      </c>
      <c r="F587" s="1" t="s">
        <v>8</v>
      </c>
      <c r="G587" s="1" t="s">
        <v>9</v>
      </c>
      <c r="H587" s="1" t="s">
        <v>10</v>
      </c>
    </row>
    <row r="588" spans="1:8" x14ac:dyDescent="0.3">
      <c r="A588" s="1">
        <v>264</v>
      </c>
      <c r="B588" s="1" t="s">
        <v>325</v>
      </c>
      <c r="C588" s="1" t="s">
        <v>4656</v>
      </c>
      <c r="D588" s="1" t="s">
        <v>4657</v>
      </c>
      <c r="E588" s="1">
        <v>129.87</v>
      </c>
      <c r="F588" s="1" t="s">
        <v>8</v>
      </c>
      <c r="G588" s="1" t="s">
        <v>9</v>
      </c>
      <c r="H588" s="1" t="s">
        <v>10</v>
      </c>
    </row>
    <row r="589" spans="1:8" x14ac:dyDescent="0.3">
      <c r="A589" s="1">
        <v>294</v>
      </c>
      <c r="B589" s="1" t="s">
        <v>356</v>
      </c>
      <c r="C589" s="1" t="s">
        <v>357</v>
      </c>
      <c r="D589" s="1" t="s">
        <v>358</v>
      </c>
      <c r="E589" s="1">
        <v>30000</v>
      </c>
      <c r="F589" s="1" t="s">
        <v>8</v>
      </c>
      <c r="G589" s="1" t="s">
        <v>9</v>
      </c>
      <c r="H589" s="1" t="s">
        <v>10</v>
      </c>
    </row>
    <row r="590" spans="1:8" x14ac:dyDescent="0.3">
      <c r="A590" s="1">
        <v>294</v>
      </c>
      <c r="B590" s="1" t="s">
        <v>356</v>
      </c>
      <c r="C590" s="1" t="s">
        <v>4658</v>
      </c>
      <c r="D590" s="1" t="s">
        <v>4659</v>
      </c>
      <c r="E590" s="1">
        <v>21239.48</v>
      </c>
      <c r="F590" s="1" t="s">
        <v>8</v>
      </c>
      <c r="G590" s="1" t="s">
        <v>9</v>
      </c>
      <c r="H590" s="1" t="s">
        <v>10</v>
      </c>
    </row>
    <row r="591" spans="1:8" x14ac:dyDescent="0.3">
      <c r="A591" s="1">
        <v>295</v>
      </c>
      <c r="B591" s="1" t="s">
        <v>359</v>
      </c>
      <c r="C591" s="1" t="s">
        <v>360</v>
      </c>
      <c r="D591" s="1" t="s">
        <v>361</v>
      </c>
      <c r="E591" s="1">
        <v>9990.2199999999993</v>
      </c>
      <c r="F591" s="1" t="s">
        <v>8</v>
      </c>
      <c r="G591" s="1" t="s">
        <v>9</v>
      </c>
      <c r="H591" s="1" t="s">
        <v>10</v>
      </c>
    </row>
    <row r="592" spans="1:8" x14ac:dyDescent="0.3">
      <c r="A592" s="1">
        <v>297</v>
      </c>
      <c r="B592" s="1" t="s">
        <v>362</v>
      </c>
      <c r="C592" s="1" t="s">
        <v>363</v>
      </c>
      <c r="D592" s="1" t="s">
        <v>364</v>
      </c>
      <c r="E592" s="1">
        <v>29768.720000000001</v>
      </c>
      <c r="F592" s="1" t="s">
        <v>8</v>
      </c>
      <c r="G592" s="1" t="s">
        <v>9</v>
      </c>
      <c r="H592" s="1" t="s">
        <v>10</v>
      </c>
    </row>
    <row r="593" spans="1:8" x14ac:dyDescent="0.3">
      <c r="A593" s="1">
        <v>297</v>
      </c>
      <c r="B593" s="1" t="s">
        <v>362</v>
      </c>
      <c r="C593" s="1" t="s">
        <v>365</v>
      </c>
      <c r="D593" s="1" t="s">
        <v>366</v>
      </c>
      <c r="E593" s="1">
        <v>17309.34</v>
      </c>
      <c r="F593" s="1" t="s">
        <v>8</v>
      </c>
      <c r="G593" s="1" t="s">
        <v>9</v>
      </c>
      <c r="H593" s="1" t="s">
        <v>10</v>
      </c>
    </row>
    <row r="594" spans="1:8" x14ac:dyDescent="0.3">
      <c r="A594" s="1">
        <v>297</v>
      </c>
      <c r="B594" s="1" t="s">
        <v>362</v>
      </c>
      <c r="C594" s="1" t="s">
        <v>4660</v>
      </c>
      <c r="D594" s="1" t="s">
        <v>4661</v>
      </c>
      <c r="E594" s="1">
        <v>12306</v>
      </c>
      <c r="F594" s="1" t="s">
        <v>8</v>
      </c>
      <c r="G594" s="1" t="s">
        <v>9</v>
      </c>
      <c r="H594" s="1" t="s">
        <v>10</v>
      </c>
    </row>
    <row r="595" spans="1:8" x14ac:dyDescent="0.3">
      <c r="A595" s="1">
        <v>29</v>
      </c>
      <c r="B595" s="1" t="s">
        <v>367</v>
      </c>
      <c r="C595" s="1" t="s">
        <v>368</v>
      </c>
      <c r="D595" s="1" t="s">
        <v>369</v>
      </c>
      <c r="E595" s="1">
        <v>104.5</v>
      </c>
      <c r="F595" s="1" t="s">
        <v>8</v>
      </c>
      <c r="G595" s="1" t="s">
        <v>9</v>
      </c>
      <c r="H595" s="1" t="s">
        <v>10</v>
      </c>
    </row>
    <row r="596" spans="1:8" x14ac:dyDescent="0.3">
      <c r="A596" s="1">
        <v>29</v>
      </c>
      <c r="B596" s="1" t="s">
        <v>367</v>
      </c>
      <c r="C596" s="1" t="s">
        <v>370</v>
      </c>
      <c r="D596" s="1" t="s">
        <v>371</v>
      </c>
      <c r="E596" s="1">
        <v>19352.75</v>
      </c>
      <c r="F596" s="1" t="s">
        <v>8</v>
      </c>
      <c r="G596" s="1" t="s">
        <v>13</v>
      </c>
      <c r="H596" s="1" t="s">
        <v>10</v>
      </c>
    </row>
    <row r="597" spans="1:8" x14ac:dyDescent="0.3">
      <c r="A597" s="1">
        <v>29</v>
      </c>
      <c r="B597" s="1" t="s">
        <v>367</v>
      </c>
      <c r="C597" s="1" t="s">
        <v>372</v>
      </c>
      <c r="D597" s="1" t="s">
        <v>373</v>
      </c>
      <c r="E597" s="1">
        <v>115.43</v>
      </c>
      <c r="F597" s="1" t="s">
        <v>8</v>
      </c>
      <c r="G597" s="1" t="s">
        <v>13</v>
      </c>
      <c r="H597" s="1" t="s">
        <v>10</v>
      </c>
    </row>
    <row r="598" spans="1:8" x14ac:dyDescent="0.3">
      <c r="A598" s="1">
        <v>29</v>
      </c>
      <c r="B598" s="1" t="s">
        <v>367</v>
      </c>
      <c r="C598" s="1" t="s">
        <v>4662</v>
      </c>
      <c r="D598" s="1" t="s">
        <v>4663</v>
      </c>
      <c r="E598" s="1">
        <v>46.6</v>
      </c>
      <c r="F598" s="1" t="s">
        <v>8</v>
      </c>
      <c r="G598" s="1" t="s">
        <v>9</v>
      </c>
      <c r="H598" s="1" t="s">
        <v>10</v>
      </c>
    </row>
    <row r="599" spans="1:8" x14ac:dyDescent="0.3">
      <c r="A599" s="1">
        <v>29</v>
      </c>
      <c r="B599" s="1" t="s">
        <v>367</v>
      </c>
      <c r="C599" s="1" t="s">
        <v>4664</v>
      </c>
      <c r="D599" s="1" t="s">
        <v>4665</v>
      </c>
      <c r="E599" s="1">
        <v>119110</v>
      </c>
      <c r="F599" s="1" t="s">
        <v>8</v>
      </c>
      <c r="G599" s="1" t="s">
        <v>13</v>
      </c>
      <c r="H599" s="1" t="s">
        <v>10</v>
      </c>
    </row>
    <row r="600" spans="1:8" x14ac:dyDescent="0.3">
      <c r="A600" s="1">
        <v>29</v>
      </c>
      <c r="B600" s="1" t="s">
        <v>367</v>
      </c>
      <c r="C600" s="1" t="s">
        <v>4666</v>
      </c>
      <c r="D600" s="1" t="s">
        <v>4667</v>
      </c>
      <c r="E600" s="1">
        <v>940</v>
      </c>
      <c r="F600" s="1" t="s">
        <v>8</v>
      </c>
      <c r="G600" s="1" t="s">
        <v>13</v>
      </c>
      <c r="H600" s="1" t="s">
        <v>10</v>
      </c>
    </row>
    <row r="601" spans="1:8" x14ac:dyDescent="0.3">
      <c r="A601" s="1">
        <v>29</v>
      </c>
      <c r="B601" s="1" t="s">
        <v>367</v>
      </c>
      <c r="C601" s="1" t="s">
        <v>4668</v>
      </c>
      <c r="D601" s="1" t="s">
        <v>4669</v>
      </c>
      <c r="E601" s="1">
        <v>2300</v>
      </c>
      <c r="F601" s="1" t="s">
        <v>8</v>
      </c>
      <c r="G601" s="1" t="s">
        <v>13</v>
      </c>
      <c r="H601" s="1" t="s">
        <v>10</v>
      </c>
    </row>
    <row r="602" spans="1:8" x14ac:dyDescent="0.3">
      <c r="A602" s="1">
        <v>324</v>
      </c>
      <c r="B602" s="1" t="s">
        <v>2495</v>
      </c>
      <c r="C602" s="1" t="s">
        <v>4670</v>
      </c>
      <c r="D602" s="1" t="s">
        <v>4671</v>
      </c>
      <c r="E602" s="1">
        <v>1228.5</v>
      </c>
      <c r="F602" s="1" t="s">
        <v>11</v>
      </c>
      <c r="G602" s="1" t="s">
        <v>13</v>
      </c>
      <c r="H602" s="1" t="s">
        <v>10</v>
      </c>
    </row>
    <row r="603" spans="1:8" x14ac:dyDescent="0.3">
      <c r="A603" s="1">
        <v>324</v>
      </c>
      <c r="B603" s="1" t="s">
        <v>2495</v>
      </c>
      <c r="C603" s="1" t="s">
        <v>4672</v>
      </c>
      <c r="D603" s="1" t="s">
        <v>4673</v>
      </c>
      <c r="E603" s="1">
        <v>1178.0999999999999</v>
      </c>
      <c r="F603" s="1" t="s">
        <v>8</v>
      </c>
      <c r="G603" s="1" t="s">
        <v>13</v>
      </c>
      <c r="H603" s="1" t="s">
        <v>10</v>
      </c>
    </row>
    <row r="604" spans="1:8" x14ac:dyDescent="0.3">
      <c r="A604" s="1">
        <v>33</v>
      </c>
      <c r="B604" s="1" t="s">
        <v>389</v>
      </c>
      <c r="C604" s="1" t="s">
        <v>390</v>
      </c>
      <c r="D604" s="1" t="s">
        <v>391</v>
      </c>
      <c r="E604" s="1">
        <v>377.33</v>
      </c>
      <c r="F604" s="1" t="s">
        <v>8</v>
      </c>
      <c r="G604" s="1" t="s">
        <v>9</v>
      </c>
      <c r="H604" s="1" t="s">
        <v>10</v>
      </c>
    </row>
    <row r="605" spans="1:8" x14ac:dyDescent="0.3">
      <c r="A605" s="1">
        <v>33</v>
      </c>
      <c r="B605" s="1" t="s">
        <v>389</v>
      </c>
      <c r="C605" s="1" t="s">
        <v>392</v>
      </c>
      <c r="D605" s="1" t="s">
        <v>393</v>
      </c>
      <c r="E605" s="1">
        <v>156.19</v>
      </c>
      <c r="F605" s="1" t="s">
        <v>8</v>
      </c>
      <c r="G605" s="1" t="s">
        <v>13</v>
      </c>
      <c r="H605" s="1" t="s">
        <v>10</v>
      </c>
    </row>
    <row r="606" spans="1:8" x14ac:dyDescent="0.3">
      <c r="A606" s="1">
        <v>33</v>
      </c>
      <c r="B606" s="1" t="s">
        <v>389</v>
      </c>
      <c r="C606" s="1" t="s">
        <v>394</v>
      </c>
      <c r="D606" s="1" t="s">
        <v>395</v>
      </c>
      <c r="E606" s="1">
        <v>313.29000000000002</v>
      </c>
      <c r="F606" s="1" t="s">
        <v>8</v>
      </c>
      <c r="G606" s="1" t="s">
        <v>9</v>
      </c>
      <c r="H606" s="1" t="s">
        <v>10</v>
      </c>
    </row>
    <row r="607" spans="1:8" x14ac:dyDescent="0.3">
      <c r="A607" s="1">
        <v>33</v>
      </c>
      <c r="B607" s="1" t="s">
        <v>389</v>
      </c>
      <c r="C607" s="1" t="s">
        <v>396</v>
      </c>
      <c r="D607" s="1" t="s">
        <v>397</v>
      </c>
      <c r="E607" s="1">
        <v>301.82</v>
      </c>
      <c r="F607" s="1" t="s">
        <v>8</v>
      </c>
      <c r="G607" s="1" t="s">
        <v>9</v>
      </c>
      <c r="H607" s="1" t="s">
        <v>10</v>
      </c>
    </row>
    <row r="608" spans="1:8" x14ac:dyDescent="0.3">
      <c r="A608" s="1">
        <v>33</v>
      </c>
      <c r="B608" s="1" t="s">
        <v>389</v>
      </c>
      <c r="C608" s="1" t="s">
        <v>398</v>
      </c>
      <c r="D608" s="1" t="s">
        <v>399</v>
      </c>
      <c r="E608" s="1">
        <v>389.14</v>
      </c>
      <c r="F608" s="1" t="s">
        <v>8</v>
      </c>
      <c r="G608" s="1" t="s">
        <v>9</v>
      </c>
      <c r="H608" s="1" t="s">
        <v>10</v>
      </c>
    </row>
    <row r="609" spans="1:8" x14ac:dyDescent="0.3">
      <c r="A609" s="1">
        <v>391</v>
      </c>
      <c r="B609" s="1" t="s">
        <v>400</v>
      </c>
      <c r="C609" s="1" t="s">
        <v>401</v>
      </c>
      <c r="D609" s="1" t="s">
        <v>402</v>
      </c>
      <c r="E609" s="1">
        <v>184.29</v>
      </c>
      <c r="F609" s="1" t="s">
        <v>8</v>
      </c>
      <c r="G609" s="1" t="s">
        <v>9</v>
      </c>
      <c r="H609" s="1" t="s">
        <v>10</v>
      </c>
    </row>
    <row r="610" spans="1:8" x14ac:dyDescent="0.3">
      <c r="A610" s="1">
        <v>391</v>
      </c>
      <c r="B610" s="1" t="s">
        <v>400</v>
      </c>
      <c r="C610" s="1" t="s">
        <v>403</v>
      </c>
      <c r="D610" s="1" t="s">
        <v>404</v>
      </c>
      <c r="E610" s="1">
        <v>1190</v>
      </c>
      <c r="F610" s="1" t="s">
        <v>8</v>
      </c>
      <c r="G610" s="1" t="s">
        <v>9</v>
      </c>
      <c r="H610" s="1" t="s">
        <v>10</v>
      </c>
    </row>
    <row r="611" spans="1:8" x14ac:dyDescent="0.3">
      <c r="A611" s="1">
        <v>3</v>
      </c>
      <c r="B611" s="1" t="s">
        <v>405</v>
      </c>
      <c r="C611" s="1" t="s">
        <v>406</v>
      </c>
      <c r="D611" s="1" t="s">
        <v>407</v>
      </c>
      <c r="E611" s="1">
        <v>2685.5</v>
      </c>
      <c r="F611" s="1" t="s">
        <v>8</v>
      </c>
      <c r="G611" s="1" t="s">
        <v>9</v>
      </c>
      <c r="H611" s="1" t="s">
        <v>10</v>
      </c>
    </row>
    <row r="612" spans="1:8" x14ac:dyDescent="0.3">
      <c r="A612" s="1">
        <v>3</v>
      </c>
      <c r="B612" s="1" t="s">
        <v>405</v>
      </c>
      <c r="C612" s="1" t="s">
        <v>408</v>
      </c>
      <c r="D612" s="1" t="s">
        <v>409</v>
      </c>
      <c r="E612" s="1">
        <v>1367</v>
      </c>
      <c r="F612" s="1" t="s">
        <v>8</v>
      </c>
      <c r="G612" s="1" t="s">
        <v>9</v>
      </c>
      <c r="H612" s="1" t="s">
        <v>10</v>
      </c>
    </row>
    <row r="613" spans="1:8" x14ac:dyDescent="0.3">
      <c r="A613" s="1">
        <v>3</v>
      </c>
      <c r="B613" s="1" t="s">
        <v>405</v>
      </c>
      <c r="C613" s="1" t="s">
        <v>410</v>
      </c>
      <c r="D613" s="1" t="s">
        <v>411</v>
      </c>
      <c r="E613" s="1">
        <v>65.900000000000006</v>
      </c>
      <c r="F613" s="1" t="s">
        <v>8</v>
      </c>
      <c r="G613" s="1" t="s">
        <v>9</v>
      </c>
      <c r="H613" s="1" t="s">
        <v>10</v>
      </c>
    </row>
    <row r="614" spans="1:8" x14ac:dyDescent="0.3">
      <c r="A614" s="1">
        <v>3</v>
      </c>
      <c r="B614" s="1" t="s">
        <v>405</v>
      </c>
      <c r="C614" s="1" t="s">
        <v>412</v>
      </c>
      <c r="D614" s="1" t="s">
        <v>413</v>
      </c>
      <c r="E614" s="1">
        <v>450</v>
      </c>
      <c r="F614" s="1" t="s">
        <v>8</v>
      </c>
      <c r="G614" s="1" t="s">
        <v>9</v>
      </c>
      <c r="H614" s="1" t="s">
        <v>10</v>
      </c>
    </row>
    <row r="615" spans="1:8" x14ac:dyDescent="0.3">
      <c r="A615" s="1">
        <v>3</v>
      </c>
      <c r="B615" s="1" t="s">
        <v>405</v>
      </c>
      <c r="C615" s="1" t="s">
        <v>414</v>
      </c>
      <c r="D615" s="1" t="s">
        <v>415</v>
      </c>
      <c r="E615" s="1">
        <v>498.27</v>
      </c>
      <c r="F615" s="1" t="s">
        <v>8</v>
      </c>
      <c r="G615" s="1" t="s">
        <v>9</v>
      </c>
      <c r="H615" s="1" t="s">
        <v>10</v>
      </c>
    </row>
    <row r="616" spans="1:8" x14ac:dyDescent="0.3">
      <c r="A616" s="1">
        <v>3</v>
      </c>
      <c r="B616" s="1" t="s">
        <v>405</v>
      </c>
      <c r="C616" s="1" t="s">
        <v>416</v>
      </c>
      <c r="D616" s="1" t="s">
        <v>417</v>
      </c>
      <c r="E616" s="1">
        <v>150.15</v>
      </c>
      <c r="F616" s="1" t="s">
        <v>8</v>
      </c>
      <c r="G616" s="1" t="s">
        <v>9</v>
      </c>
      <c r="H616" s="1" t="s">
        <v>10</v>
      </c>
    </row>
    <row r="617" spans="1:8" x14ac:dyDescent="0.3">
      <c r="A617" s="1">
        <v>3</v>
      </c>
      <c r="B617" s="1" t="s">
        <v>405</v>
      </c>
      <c r="C617" s="1" t="s">
        <v>418</v>
      </c>
      <c r="D617" s="1" t="s">
        <v>419</v>
      </c>
      <c r="E617" s="1">
        <v>241.02</v>
      </c>
      <c r="F617" s="1" t="s">
        <v>8</v>
      </c>
      <c r="G617" s="1" t="s">
        <v>9</v>
      </c>
      <c r="H617" s="1" t="s">
        <v>10</v>
      </c>
    </row>
    <row r="618" spans="1:8" x14ac:dyDescent="0.3">
      <c r="A618" s="1">
        <v>3</v>
      </c>
      <c r="B618" s="1" t="s">
        <v>405</v>
      </c>
      <c r="C618" s="1" t="s">
        <v>420</v>
      </c>
      <c r="D618" s="1" t="s">
        <v>421</v>
      </c>
      <c r="E618" s="1">
        <v>1738</v>
      </c>
      <c r="F618" s="1" t="s">
        <v>8</v>
      </c>
      <c r="G618" s="1" t="s">
        <v>9</v>
      </c>
      <c r="H618" s="1" t="s">
        <v>10</v>
      </c>
    </row>
    <row r="619" spans="1:8" x14ac:dyDescent="0.3">
      <c r="A619" s="1">
        <v>3</v>
      </c>
      <c r="B619" s="1" t="s">
        <v>405</v>
      </c>
      <c r="C619" s="1" t="s">
        <v>422</v>
      </c>
      <c r="D619" s="1" t="s">
        <v>423</v>
      </c>
      <c r="E619" s="1">
        <v>2545.04</v>
      </c>
      <c r="F619" s="1" t="s">
        <v>8</v>
      </c>
      <c r="G619" s="1" t="s">
        <v>9</v>
      </c>
      <c r="H619" s="1" t="s">
        <v>10</v>
      </c>
    </row>
    <row r="620" spans="1:8" x14ac:dyDescent="0.3">
      <c r="A620" s="1">
        <v>3</v>
      </c>
      <c r="B620" s="1" t="s">
        <v>405</v>
      </c>
      <c r="C620" s="1" t="s">
        <v>424</v>
      </c>
      <c r="D620" s="1" t="s">
        <v>425</v>
      </c>
      <c r="E620" s="1">
        <v>917.82</v>
      </c>
      <c r="F620" s="1" t="s">
        <v>8</v>
      </c>
      <c r="G620" s="1" t="s">
        <v>9</v>
      </c>
      <c r="H620" s="1" t="s">
        <v>10</v>
      </c>
    </row>
    <row r="621" spans="1:8" x14ac:dyDescent="0.3">
      <c r="A621" s="1">
        <v>3</v>
      </c>
      <c r="B621" s="1" t="s">
        <v>405</v>
      </c>
      <c r="C621" s="1" t="s">
        <v>426</v>
      </c>
      <c r="D621" s="1" t="s">
        <v>427</v>
      </c>
      <c r="E621" s="1">
        <v>2008.5</v>
      </c>
      <c r="F621" s="1" t="s">
        <v>8</v>
      </c>
      <c r="G621" s="1" t="s">
        <v>9</v>
      </c>
      <c r="H621" s="1" t="s">
        <v>10</v>
      </c>
    </row>
    <row r="622" spans="1:8" x14ac:dyDescent="0.3">
      <c r="A622" s="1">
        <v>3</v>
      </c>
      <c r="B622" s="1" t="s">
        <v>405</v>
      </c>
      <c r="C622" s="1" t="s">
        <v>4674</v>
      </c>
      <c r="D622" s="1" t="s">
        <v>4675</v>
      </c>
      <c r="E622" s="1">
        <v>472.8</v>
      </c>
      <c r="F622" s="1" t="s">
        <v>8</v>
      </c>
      <c r="G622" s="1" t="s">
        <v>9</v>
      </c>
      <c r="H622" s="1" t="s">
        <v>10</v>
      </c>
    </row>
    <row r="623" spans="1:8" x14ac:dyDescent="0.3">
      <c r="A623" s="1">
        <v>3</v>
      </c>
      <c r="B623" s="1" t="s">
        <v>405</v>
      </c>
      <c r="C623" s="1" t="s">
        <v>4676</v>
      </c>
      <c r="D623" s="1" t="s">
        <v>4677</v>
      </c>
      <c r="E623" s="1">
        <v>2008.5</v>
      </c>
      <c r="F623" s="1" t="s">
        <v>8</v>
      </c>
      <c r="G623" s="1" t="s">
        <v>9</v>
      </c>
      <c r="H623" s="1" t="s">
        <v>10</v>
      </c>
    </row>
    <row r="624" spans="1:8" x14ac:dyDescent="0.3">
      <c r="A624" s="1">
        <v>423</v>
      </c>
      <c r="B624" s="1" t="s">
        <v>428</v>
      </c>
      <c r="C624" s="1" t="s">
        <v>429</v>
      </c>
      <c r="D624" s="1" t="s">
        <v>430</v>
      </c>
      <c r="E624" s="1">
        <v>570</v>
      </c>
      <c r="F624" s="1" t="s">
        <v>8</v>
      </c>
      <c r="G624" s="1" t="s">
        <v>9</v>
      </c>
      <c r="H624" s="1" t="s">
        <v>10</v>
      </c>
    </row>
    <row r="625" spans="1:8" x14ac:dyDescent="0.3">
      <c r="A625" s="1">
        <v>423</v>
      </c>
      <c r="B625" s="1" t="s">
        <v>428</v>
      </c>
      <c r="C625" s="1" t="s">
        <v>431</v>
      </c>
      <c r="D625" s="1" t="s">
        <v>432</v>
      </c>
      <c r="E625" s="1">
        <v>130.4</v>
      </c>
      <c r="F625" s="1" t="s">
        <v>8</v>
      </c>
      <c r="G625" s="1" t="s">
        <v>9</v>
      </c>
      <c r="H625" s="1" t="s">
        <v>10</v>
      </c>
    </row>
    <row r="626" spans="1:8" x14ac:dyDescent="0.3">
      <c r="A626" s="1">
        <v>426</v>
      </c>
      <c r="B626" s="1" t="s">
        <v>433</v>
      </c>
      <c r="C626" s="1" t="s">
        <v>434</v>
      </c>
      <c r="D626" s="1" t="s">
        <v>435</v>
      </c>
      <c r="E626" s="1">
        <v>222.49</v>
      </c>
      <c r="F626" s="1" t="s">
        <v>8</v>
      </c>
      <c r="G626" s="1" t="s">
        <v>9</v>
      </c>
      <c r="H626" s="1" t="s">
        <v>10</v>
      </c>
    </row>
    <row r="627" spans="1:8" x14ac:dyDescent="0.3">
      <c r="A627" s="1">
        <v>426</v>
      </c>
      <c r="B627" s="1" t="s">
        <v>433</v>
      </c>
      <c r="C627" s="1" t="s">
        <v>436</v>
      </c>
      <c r="D627" s="1" t="s">
        <v>437</v>
      </c>
      <c r="E627" s="1">
        <v>383.48</v>
      </c>
      <c r="F627" s="1" t="s">
        <v>8</v>
      </c>
      <c r="G627" s="1" t="s">
        <v>9</v>
      </c>
      <c r="H627" s="1" t="s">
        <v>10</v>
      </c>
    </row>
    <row r="628" spans="1:8" x14ac:dyDescent="0.3">
      <c r="A628" s="1">
        <v>426</v>
      </c>
      <c r="B628" s="1" t="s">
        <v>433</v>
      </c>
      <c r="C628" s="1" t="s">
        <v>438</v>
      </c>
      <c r="D628" s="1" t="s">
        <v>439</v>
      </c>
      <c r="E628" s="1">
        <v>602.25</v>
      </c>
      <c r="F628" s="1" t="s">
        <v>8</v>
      </c>
      <c r="G628" s="1" t="s">
        <v>9</v>
      </c>
      <c r="H628" s="1" t="s">
        <v>10</v>
      </c>
    </row>
    <row r="629" spans="1:8" x14ac:dyDescent="0.3">
      <c r="A629" s="1">
        <v>426</v>
      </c>
      <c r="B629" s="1" t="s">
        <v>433</v>
      </c>
      <c r="C629" s="1" t="s">
        <v>440</v>
      </c>
      <c r="D629" s="1" t="s">
        <v>441</v>
      </c>
      <c r="E629" s="1">
        <v>43.69</v>
      </c>
      <c r="F629" s="1" t="s">
        <v>8</v>
      </c>
      <c r="G629" s="1" t="s">
        <v>9</v>
      </c>
      <c r="H629" s="1" t="s">
        <v>10</v>
      </c>
    </row>
    <row r="630" spans="1:8" x14ac:dyDescent="0.3">
      <c r="A630" s="1">
        <v>426</v>
      </c>
      <c r="B630" s="1" t="s">
        <v>433</v>
      </c>
      <c r="C630" s="1" t="s">
        <v>442</v>
      </c>
      <c r="D630" s="1" t="s">
        <v>443</v>
      </c>
      <c r="E630" s="1">
        <v>297.52</v>
      </c>
      <c r="F630" s="1" t="s">
        <v>8</v>
      </c>
      <c r="G630" s="1" t="s">
        <v>9</v>
      </c>
      <c r="H630" s="1" t="s">
        <v>10</v>
      </c>
    </row>
    <row r="631" spans="1:8" x14ac:dyDescent="0.3">
      <c r="A631" s="1">
        <v>426</v>
      </c>
      <c r="B631" s="1" t="s">
        <v>433</v>
      </c>
      <c r="C631" s="1" t="s">
        <v>444</v>
      </c>
      <c r="D631" s="1" t="s">
        <v>445</v>
      </c>
      <c r="E631" s="1">
        <v>910.38</v>
      </c>
      <c r="F631" s="1" t="s">
        <v>8</v>
      </c>
      <c r="G631" s="1" t="s">
        <v>9</v>
      </c>
      <c r="H631" s="1" t="s">
        <v>10</v>
      </c>
    </row>
    <row r="632" spans="1:8" x14ac:dyDescent="0.3">
      <c r="A632" s="1">
        <v>426</v>
      </c>
      <c r="B632" s="1" t="s">
        <v>433</v>
      </c>
      <c r="C632" s="1" t="s">
        <v>446</v>
      </c>
      <c r="D632" s="1" t="s">
        <v>447</v>
      </c>
      <c r="E632" s="1">
        <v>572.4</v>
      </c>
      <c r="F632" s="1" t="s">
        <v>8</v>
      </c>
      <c r="G632" s="1" t="s">
        <v>9</v>
      </c>
      <c r="H632" s="1" t="s">
        <v>10</v>
      </c>
    </row>
    <row r="633" spans="1:8" x14ac:dyDescent="0.3">
      <c r="A633" s="1">
        <v>426</v>
      </c>
      <c r="B633" s="1" t="s">
        <v>433</v>
      </c>
      <c r="C633" s="1" t="s">
        <v>448</v>
      </c>
      <c r="D633" s="1" t="s">
        <v>449</v>
      </c>
      <c r="E633" s="1">
        <v>75.7</v>
      </c>
      <c r="F633" s="1" t="s">
        <v>8</v>
      </c>
      <c r="G633" s="1" t="s">
        <v>9</v>
      </c>
      <c r="H633" s="1" t="s">
        <v>10</v>
      </c>
    </row>
    <row r="634" spans="1:8" x14ac:dyDescent="0.3">
      <c r="A634" s="1">
        <v>426</v>
      </c>
      <c r="B634" s="1" t="s">
        <v>433</v>
      </c>
      <c r="C634" s="1" t="s">
        <v>450</v>
      </c>
      <c r="D634" s="1" t="s">
        <v>451</v>
      </c>
      <c r="E634" s="1">
        <v>85.9</v>
      </c>
      <c r="F634" s="1" t="s">
        <v>8</v>
      </c>
      <c r="G634" s="1" t="s">
        <v>13</v>
      </c>
      <c r="H634" s="1" t="s">
        <v>10</v>
      </c>
    </row>
    <row r="635" spans="1:8" x14ac:dyDescent="0.3">
      <c r="A635" s="1">
        <v>426</v>
      </c>
      <c r="B635" s="1" t="s">
        <v>433</v>
      </c>
      <c r="C635" s="1" t="s">
        <v>452</v>
      </c>
      <c r="D635" s="1" t="s">
        <v>453</v>
      </c>
      <c r="E635" s="1">
        <v>119.63</v>
      </c>
      <c r="F635" s="1" t="s">
        <v>8</v>
      </c>
      <c r="G635" s="1" t="s">
        <v>13</v>
      </c>
      <c r="H635" s="1" t="s">
        <v>10</v>
      </c>
    </row>
    <row r="636" spans="1:8" x14ac:dyDescent="0.3">
      <c r="A636" s="1">
        <v>426</v>
      </c>
      <c r="B636" s="1" t="s">
        <v>433</v>
      </c>
      <c r="C636" s="1" t="s">
        <v>454</v>
      </c>
      <c r="D636" s="1" t="s">
        <v>455</v>
      </c>
      <c r="E636" s="1">
        <v>20</v>
      </c>
      <c r="F636" s="1" t="s">
        <v>8</v>
      </c>
      <c r="G636" s="1" t="s">
        <v>9</v>
      </c>
      <c r="H636" s="1" t="s">
        <v>10</v>
      </c>
    </row>
    <row r="637" spans="1:8" x14ac:dyDescent="0.3">
      <c r="A637" s="1">
        <v>426</v>
      </c>
      <c r="B637" s="1" t="s">
        <v>433</v>
      </c>
      <c r="C637" s="1" t="s">
        <v>456</v>
      </c>
      <c r="D637" s="1" t="s">
        <v>457</v>
      </c>
      <c r="E637" s="1">
        <v>242.8</v>
      </c>
      <c r="F637" s="1" t="s">
        <v>11</v>
      </c>
      <c r="G637" s="1" t="s">
        <v>9</v>
      </c>
      <c r="H637" s="1" t="s">
        <v>10</v>
      </c>
    </row>
    <row r="638" spans="1:8" x14ac:dyDescent="0.3">
      <c r="A638" s="1">
        <v>426</v>
      </c>
      <c r="B638" s="1" t="s">
        <v>433</v>
      </c>
      <c r="C638" s="1" t="s">
        <v>458</v>
      </c>
      <c r="D638" s="1" t="s">
        <v>459</v>
      </c>
      <c r="E638" s="1">
        <v>155.29</v>
      </c>
      <c r="F638" s="1" t="s">
        <v>8</v>
      </c>
      <c r="G638" s="1" t="s">
        <v>13</v>
      </c>
      <c r="H638" s="1" t="s">
        <v>10</v>
      </c>
    </row>
    <row r="639" spans="1:8" x14ac:dyDescent="0.3">
      <c r="A639" s="1">
        <v>426</v>
      </c>
      <c r="B639" s="1" t="s">
        <v>433</v>
      </c>
      <c r="C639" s="1" t="s">
        <v>460</v>
      </c>
      <c r="D639" s="1" t="s">
        <v>461</v>
      </c>
      <c r="E639" s="1">
        <v>199.89</v>
      </c>
      <c r="F639" s="1" t="s">
        <v>8</v>
      </c>
      <c r="G639" s="1" t="s">
        <v>13</v>
      </c>
      <c r="H639" s="1" t="s">
        <v>10</v>
      </c>
    </row>
    <row r="640" spans="1:8" x14ac:dyDescent="0.3">
      <c r="A640" s="1">
        <v>426</v>
      </c>
      <c r="B640" s="1" t="s">
        <v>433</v>
      </c>
      <c r="C640" s="1" t="s">
        <v>462</v>
      </c>
      <c r="D640" s="1" t="s">
        <v>463</v>
      </c>
      <c r="E640" s="1">
        <v>872.25</v>
      </c>
      <c r="F640" s="1" t="s">
        <v>8</v>
      </c>
      <c r="G640" s="1" t="s">
        <v>9</v>
      </c>
      <c r="H640" s="1" t="s">
        <v>10</v>
      </c>
    </row>
    <row r="641" spans="1:8" x14ac:dyDescent="0.3">
      <c r="A641" s="1">
        <v>426</v>
      </c>
      <c r="B641" s="1" t="s">
        <v>433</v>
      </c>
      <c r="C641" s="1" t="s">
        <v>464</v>
      </c>
      <c r="D641" s="1" t="s">
        <v>465</v>
      </c>
      <c r="E641" s="1">
        <v>174.75</v>
      </c>
      <c r="F641" s="1" t="s">
        <v>8</v>
      </c>
      <c r="G641" s="1" t="s">
        <v>9</v>
      </c>
      <c r="H641" s="1" t="s">
        <v>10</v>
      </c>
    </row>
    <row r="642" spans="1:8" x14ac:dyDescent="0.3">
      <c r="A642" s="1">
        <v>426</v>
      </c>
      <c r="B642" s="1" t="s">
        <v>433</v>
      </c>
      <c r="C642" s="1" t="s">
        <v>466</v>
      </c>
      <c r="D642" s="1" t="s">
        <v>467</v>
      </c>
      <c r="E642" s="1">
        <v>398.76</v>
      </c>
      <c r="F642" s="1" t="s">
        <v>8</v>
      </c>
      <c r="G642" s="1" t="s">
        <v>9</v>
      </c>
      <c r="H642" s="1" t="s">
        <v>10</v>
      </c>
    </row>
    <row r="643" spans="1:8" x14ac:dyDescent="0.3">
      <c r="A643" s="1">
        <v>426</v>
      </c>
      <c r="B643" s="1" t="s">
        <v>433</v>
      </c>
      <c r="C643" s="1" t="s">
        <v>468</v>
      </c>
      <c r="D643" s="1" t="s">
        <v>469</v>
      </c>
      <c r="E643" s="1">
        <v>315.97000000000003</v>
      </c>
      <c r="F643" s="1" t="s">
        <v>8</v>
      </c>
      <c r="G643" s="1" t="s">
        <v>9</v>
      </c>
      <c r="H643" s="1" t="s">
        <v>10</v>
      </c>
    </row>
    <row r="644" spans="1:8" x14ac:dyDescent="0.3">
      <c r="A644" s="1">
        <v>426</v>
      </c>
      <c r="B644" s="1" t="s">
        <v>433</v>
      </c>
      <c r="C644" s="1" t="s">
        <v>470</v>
      </c>
      <c r="D644" s="1" t="s">
        <v>471</v>
      </c>
      <c r="E644" s="1">
        <v>69.760000000000005</v>
      </c>
      <c r="F644" s="1" t="s">
        <v>8</v>
      </c>
      <c r="G644" s="1" t="s">
        <v>9</v>
      </c>
      <c r="H644" s="1" t="s">
        <v>10</v>
      </c>
    </row>
    <row r="645" spans="1:8" x14ac:dyDescent="0.3">
      <c r="A645" s="1">
        <v>426</v>
      </c>
      <c r="B645" s="1" t="s">
        <v>433</v>
      </c>
      <c r="C645" s="1" t="s">
        <v>472</v>
      </c>
      <c r="D645" s="1" t="s">
        <v>473</v>
      </c>
      <c r="E645" s="1">
        <v>242.8</v>
      </c>
      <c r="F645" s="1" t="s">
        <v>8</v>
      </c>
      <c r="G645" s="1" t="s">
        <v>9</v>
      </c>
      <c r="H645" s="1" t="s">
        <v>10</v>
      </c>
    </row>
    <row r="646" spans="1:8" x14ac:dyDescent="0.3">
      <c r="A646" s="1">
        <v>426</v>
      </c>
      <c r="B646" s="1" t="s">
        <v>433</v>
      </c>
      <c r="C646" s="1" t="s">
        <v>474</v>
      </c>
      <c r="D646" s="1" t="s">
        <v>475</v>
      </c>
      <c r="E646" s="1">
        <v>316.8</v>
      </c>
      <c r="F646" s="1" t="s">
        <v>8</v>
      </c>
      <c r="G646" s="1" t="s">
        <v>13</v>
      </c>
      <c r="H646" s="1" t="s">
        <v>10</v>
      </c>
    </row>
    <row r="647" spans="1:8" x14ac:dyDescent="0.3">
      <c r="A647" s="1">
        <v>426</v>
      </c>
      <c r="B647" s="1" t="s">
        <v>433</v>
      </c>
      <c r="C647" s="1" t="s">
        <v>476</v>
      </c>
      <c r="D647" s="1" t="s">
        <v>477</v>
      </c>
      <c r="E647" s="1">
        <v>544.29999999999995</v>
      </c>
      <c r="F647" s="1" t="s">
        <v>8</v>
      </c>
      <c r="G647" s="1" t="s">
        <v>9</v>
      </c>
      <c r="H647" s="1" t="s">
        <v>10</v>
      </c>
    </row>
    <row r="648" spans="1:8" x14ac:dyDescent="0.3">
      <c r="A648" s="1">
        <v>426</v>
      </c>
      <c r="B648" s="1" t="s">
        <v>433</v>
      </c>
      <c r="C648" s="1" t="s">
        <v>478</v>
      </c>
      <c r="D648" s="1" t="s">
        <v>479</v>
      </c>
      <c r="E648" s="1">
        <v>1260</v>
      </c>
      <c r="F648" s="1" t="s">
        <v>8</v>
      </c>
      <c r="G648" s="1" t="s">
        <v>13</v>
      </c>
      <c r="H648" s="1" t="s">
        <v>10</v>
      </c>
    </row>
    <row r="649" spans="1:8" x14ac:dyDescent="0.3">
      <c r="A649" s="1">
        <v>426</v>
      </c>
      <c r="B649" s="1" t="s">
        <v>433</v>
      </c>
      <c r="C649" s="1" t="s">
        <v>480</v>
      </c>
      <c r="D649" s="1" t="s">
        <v>481</v>
      </c>
      <c r="E649" s="1">
        <v>110.33</v>
      </c>
      <c r="F649" s="1" t="s">
        <v>8</v>
      </c>
      <c r="G649" s="1" t="s">
        <v>13</v>
      </c>
      <c r="H649" s="1" t="s">
        <v>10</v>
      </c>
    </row>
    <row r="650" spans="1:8" x14ac:dyDescent="0.3">
      <c r="A650" s="1">
        <v>426</v>
      </c>
      <c r="B650" s="1" t="s">
        <v>433</v>
      </c>
      <c r="C650" s="1" t="s">
        <v>482</v>
      </c>
      <c r="D650" s="1" t="s">
        <v>483</v>
      </c>
      <c r="E650" s="1">
        <v>11.9</v>
      </c>
      <c r="F650" s="1" t="s">
        <v>8</v>
      </c>
      <c r="G650" s="1" t="s">
        <v>13</v>
      </c>
      <c r="H650" s="1" t="s">
        <v>10</v>
      </c>
    </row>
    <row r="651" spans="1:8" x14ac:dyDescent="0.3">
      <c r="A651" s="1">
        <v>426</v>
      </c>
      <c r="B651" s="1" t="s">
        <v>433</v>
      </c>
      <c r="C651" s="1" t="s">
        <v>484</v>
      </c>
      <c r="D651" s="1" t="s">
        <v>485</v>
      </c>
      <c r="E651" s="1">
        <v>122.51</v>
      </c>
      <c r="F651" s="1" t="s">
        <v>8</v>
      </c>
      <c r="G651" s="1" t="s">
        <v>9</v>
      </c>
      <c r="H651" s="1" t="s">
        <v>10</v>
      </c>
    </row>
    <row r="652" spans="1:8" x14ac:dyDescent="0.3">
      <c r="A652" s="1">
        <v>426</v>
      </c>
      <c r="B652" s="1" t="s">
        <v>433</v>
      </c>
      <c r="C652" s="1" t="s">
        <v>486</v>
      </c>
      <c r="D652" s="1" t="s">
        <v>487</v>
      </c>
      <c r="E652" s="1">
        <v>267.49</v>
      </c>
      <c r="F652" s="1" t="s">
        <v>8</v>
      </c>
      <c r="G652" s="1" t="s">
        <v>9</v>
      </c>
      <c r="H652" s="1" t="s">
        <v>10</v>
      </c>
    </row>
    <row r="653" spans="1:8" x14ac:dyDescent="0.3">
      <c r="A653" s="1">
        <v>426</v>
      </c>
      <c r="B653" s="1" t="s">
        <v>433</v>
      </c>
      <c r="C653" s="1" t="s">
        <v>488</v>
      </c>
      <c r="D653" s="1" t="s">
        <v>489</v>
      </c>
      <c r="E653" s="1">
        <v>222.51</v>
      </c>
      <c r="F653" s="1" t="s">
        <v>8</v>
      </c>
      <c r="G653" s="1" t="s">
        <v>9</v>
      </c>
      <c r="H653" s="1" t="s">
        <v>10</v>
      </c>
    </row>
    <row r="654" spans="1:8" x14ac:dyDescent="0.3">
      <c r="A654" s="1">
        <v>426</v>
      </c>
      <c r="B654" s="1" t="s">
        <v>433</v>
      </c>
      <c r="C654" s="1" t="s">
        <v>490</v>
      </c>
      <c r="D654" s="1" t="s">
        <v>491</v>
      </c>
      <c r="E654" s="1">
        <v>1806.28</v>
      </c>
      <c r="F654" s="1" t="s">
        <v>8</v>
      </c>
      <c r="G654" s="1" t="s">
        <v>9</v>
      </c>
      <c r="H654" s="1" t="s">
        <v>10</v>
      </c>
    </row>
    <row r="655" spans="1:8" x14ac:dyDescent="0.3">
      <c r="A655" s="1">
        <v>426</v>
      </c>
      <c r="B655" s="1" t="s">
        <v>433</v>
      </c>
      <c r="C655" s="1" t="s">
        <v>492</v>
      </c>
      <c r="D655" s="1" t="s">
        <v>493</v>
      </c>
      <c r="E655" s="1">
        <v>675.88</v>
      </c>
      <c r="F655" s="1" t="s">
        <v>8</v>
      </c>
      <c r="G655" s="1" t="s">
        <v>9</v>
      </c>
      <c r="H655" s="1" t="s">
        <v>10</v>
      </c>
    </row>
    <row r="656" spans="1:8" x14ac:dyDescent="0.3">
      <c r="A656" s="1">
        <v>426</v>
      </c>
      <c r="B656" s="1" t="s">
        <v>433</v>
      </c>
      <c r="C656" s="1" t="s">
        <v>494</v>
      </c>
      <c r="D656" s="1" t="s">
        <v>495</v>
      </c>
      <c r="E656" s="1">
        <v>753.43</v>
      </c>
      <c r="F656" s="1" t="s">
        <v>8</v>
      </c>
      <c r="G656" s="1" t="s">
        <v>13</v>
      </c>
      <c r="H656" s="1" t="s">
        <v>10</v>
      </c>
    </row>
    <row r="657" spans="1:8" x14ac:dyDescent="0.3">
      <c r="A657" s="1">
        <v>426</v>
      </c>
      <c r="B657" s="1" t="s">
        <v>433</v>
      </c>
      <c r="C657" s="1" t="s">
        <v>496</v>
      </c>
      <c r="D657" s="1" t="s">
        <v>497</v>
      </c>
      <c r="E657" s="1">
        <v>724.24</v>
      </c>
      <c r="F657" s="1" t="s">
        <v>8</v>
      </c>
      <c r="G657" s="1" t="s">
        <v>9</v>
      </c>
      <c r="H657" s="1" t="s">
        <v>10</v>
      </c>
    </row>
    <row r="658" spans="1:8" x14ac:dyDescent="0.3">
      <c r="A658" s="1">
        <v>426</v>
      </c>
      <c r="B658" s="1" t="s">
        <v>433</v>
      </c>
      <c r="C658" s="1" t="s">
        <v>498</v>
      </c>
      <c r="D658" s="1" t="s">
        <v>499</v>
      </c>
      <c r="E658" s="1">
        <v>63</v>
      </c>
      <c r="F658" s="1" t="s">
        <v>8</v>
      </c>
      <c r="G658" s="1" t="s">
        <v>13</v>
      </c>
      <c r="H658" s="1" t="s">
        <v>10</v>
      </c>
    </row>
    <row r="659" spans="1:8" x14ac:dyDescent="0.3">
      <c r="A659" s="1">
        <v>426</v>
      </c>
      <c r="B659" s="1" t="s">
        <v>433</v>
      </c>
      <c r="C659" s="1" t="s">
        <v>500</v>
      </c>
      <c r="D659" s="1" t="s">
        <v>501</v>
      </c>
      <c r="E659" s="1">
        <v>89.21</v>
      </c>
      <c r="F659" s="1" t="s">
        <v>8</v>
      </c>
      <c r="G659" s="1" t="s">
        <v>13</v>
      </c>
      <c r="H659" s="1" t="s">
        <v>10</v>
      </c>
    </row>
    <row r="660" spans="1:8" x14ac:dyDescent="0.3">
      <c r="A660" s="1">
        <v>426</v>
      </c>
      <c r="B660" s="1" t="s">
        <v>433</v>
      </c>
      <c r="C660" s="1" t="s">
        <v>502</v>
      </c>
      <c r="D660" s="1" t="s">
        <v>503</v>
      </c>
      <c r="E660" s="1">
        <v>169.9</v>
      </c>
      <c r="F660" s="1" t="s">
        <v>8</v>
      </c>
      <c r="G660" s="1" t="s">
        <v>13</v>
      </c>
      <c r="H660" s="1" t="s">
        <v>10</v>
      </c>
    </row>
    <row r="661" spans="1:8" x14ac:dyDescent="0.3">
      <c r="A661" s="1">
        <v>426</v>
      </c>
      <c r="B661" s="1" t="s">
        <v>433</v>
      </c>
      <c r="C661" s="1" t="s">
        <v>504</v>
      </c>
      <c r="D661" s="1" t="s">
        <v>505</v>
      </c>
      <c r="E661" s="1">
        <v>7.15</v>
      </c>
      <c r="F661" s="1" t="s">
        <v>8</v>
      </c>
      <c r="G661" s="1" t="s">
        <v>13</v>
      </c>
      <c r="H661" s="1" t="s">
        <v>10</v>
      </c>
    </row>
    <row r="662" spans="1:8" x14ac:dyDescent="0.3">
      <c r="A662" s="1">
        <v>426</v>
      </c>
      <c r="B662" s="1" t="s">
        <v>433</v>
      </c>
      <c r="C662" s="1" t="s">
        <v>506</v>
      </c>
      <c r="D662" s="1" t="s">
        <v>507</v>
      </c>
      <c r="E662" s="1">
        <v>323.42</v>
      </c>
      <c r="F662" s="1" t="s">
        <v>8</v>
      </c>
      <c r="G662" s="1" t="s">
        <v>13</v>
      </c>
      <c r="H662" s="1" t="s">
        <v>10</v>
      </c>
    </row>
    <row r="663" spans="1:8" x14ac:dyDescent="0.3">
      <c r="A663" s="1">
        <v>426</v>
      </c>
      <c r="B663" s="1" t="s">
        <v>433</v>
      </c>
      <c r="C663" s="1" t="s">
        <v>508</v>
      </c>
      <c r="D663" s="1" t="s">
        <v>509</v>
      </c>
      <c r="E663" s="1">
        <v>93.02</v>
      </c>
      <c r="F663" s="1" t="s">
        <v>8</v>
      </c>
      <c r="G663" s="1" t="s">
        <v>13</v>
      </c>
      <c r="H663" s="1" t="s">
        <v>10</v>
      </c>
    </row>
    <row r="664" spans="1:8" x14ac:dyDescent="0.3">
      <c r="A664" s="1">
        <v>426</v>
      </c>
      <c r="B664" s="1" t="s">
        <v>433</v>
      </c>
      <c r="C664" s="1" t="s">
        <v>510</v>
      </c>
      <c r="D664" s="1" t="s">
        <v>511</v>
      </c>
      <c r="E664" s="1">
        <v>274.5</v>
      </c>
      <c r="F664" s="1" t="s">
        <v>8</v>
      </c>
      <c r="G664" s="1" t="s">
        <v>9</v>
      </c>
      <c r="H664" s="1" t="s">
        <v>10</v>
      </c>
    </row>
    <row r="665" spans="1:8" x14ac:dyDescent="0.3">
      <c r="A665" s="1">
        <v>426</v>
      </c>
      <c r="B665" s="1" t="s">
        <v>433</v>
      </c>
      <c r="C665" s="1" t="s">
        <v>512</v>
      </c>
      <c r="D665" s="1" t="s">
        <v>513</v>
      </c>
      <c r="E665" s="1">
        <v>193.76</v>
      </c>
      <c r="F665" s="1" t="s">
        <v>8</v>
      </c>
      <c r="G665" s="1" t="s">
        <v>9</v>
      </c>
      <c r="H665" s="1" t="s">
        <v>10</v>
      </c>
    </row>
    <row r="666" spans="1:8" x14ac:dyDescent="0.3">
      <c r="A666" s="1">
        <v>426</v>
      </c>
      <c r="B666" s="1" t="s">
        <v>433</v>
      </c>
      <c r="C666" s="1" t="s">
        <v>514</v>
      </c>
      <c r="D666" s="1" t="s">
        <v>515</v>
      </c>
      <c r="E666" s="1">
        <v>132</v>
      </c>
      <c r="F666" s="1" t="s">
        <v>8</v>
      </c>
      <c r="G666" s="1" t="s">
        <v>13</v>
      </c>
      <c r="H666" s="1" t="s">
        <v>10</v>
      </c>
    </row>
    <row r="667" spans="1:8" x14ac:dyDescent="0.3">
      <c r="A667" s="1">
        <v>426</v>
      </c>
      <c r="B667" s="1" t="s">
        <v>433</v>
      </c>
      <c r="C667" s="1" t="s">
        <v>516</v>
      </c>
      <c r="D667" s="1" t="s">
        <v>517</v>
      </c>
      <c r="E667" s="1">
        <v>240.02</v>
      </c>
      <c r="F667" s="1" t="s">
        <v>8</v>
      </c>
      <c r="G667" s="1" t="s">
        <v>13</v>
      </c>
      <c r="H667" s="1" t="s">
        <v>10</v>
      </c>
    </row>
    <row r="668" spans="1:8" x14ac:dyDescent="0.3">
      <c r="A668" s="1">
        <v>426</v>
      </c>
      <c r="B668" s="1" t="s">
        <v>433</v>
      </c>
      <c r="C668" s="1" t="s">
        <v>516</v>
      </c>
      <c r="D668" s="1" t="s">
        <v>517</v>
      </c>
      <c r="E668" s="1">
        <v>240.02</v>
      </c>
      <c r="F668" s="1" t="s">
        <v>8</v>
      </c>
      <c r="G668" s="1" t="s">
        <v>13</v>
      </c>
      <c r="H668" s="1" t="s">
        <v>10</v>
      </c>
    </row>
    <row r="669" spans="1:8" x14ac:dyDescent="0.3">
      <c r="A669" s="1">
        <v>426</v>
      </c>
      <c r="B669" s="1" t="s">
        <v>433</v>
      </c>
      <c r="C669" s="1" t="s">
        <v>518</v>
      </c>
      <c r="D669" s="1" t="s">
        <v>519</v>
      </c>
      <c r="E669" s="1">
        <v>21.77</v>
      </c>
      <c r="F669" s="1" t="s">
        <v>8</v>
      </c>
      <c r="G669" s="1" t="s">
        <v>13</v>
      </c>
      <c r="H669" s="1" t="s">
        <v>10</v>
      </c>
    </row>
    <row r="670" spans="1:8" x14ac:dyDescent="0.3">
      <c r="A670" s="1">
        <v>426</v>
      </c>
      <c r="B670" s="1" t="s">
        <v>433</v>
      </c>
      <c r="C670" s="1" t="s">
        <v>520</v>
      </c>
      <c r="D670" s="1" t="s">
        <v>521</v>
      </c>
      <c r="E670" s="1">
        <v>150.26</v>
      </c>
      <c r="F670" s="1" t="s">
        <v>8</v>
      </c>
      <c r="G670" s="1" t="s">
        <v>9</v>
      </c>
      <c r="H670" s="1" t="s">
        <v>10</v>
      </c>
    </row>
    <row r="671" spans="1:8" x14ac:dyDescent="0.3">
      <c r="A671" s="1">
        <v>426</v>
      </c>
      <c r="B671" s="1" t="s">
        <v>433</v>
      </c>
      <c r="C671" s="1" t="s">
        <v>522</v>
      </c>
      <c r="D671" s="1" t="s">
        <v>523</v>
      </c>
      <c r="E671" s="1">
        <v>112.25</v>
      </c>
      <c r="F671" s="1" t="s">
        <v>8</v>
      </c>
      <c r="G671" s="1" t="s">
        <v>13</v>
      </c>
      <c r="H671" s="1" t="s">
        <v>10</v>
      </c>
    </row>
    <row r="672" spans="1:8" x14ac:dyDescent="0.3">
      <c r="A672" s="1">
        <v>426</v>
      </c>
      <c r="B672" s="1" t="s">
        <v>433</v>
      </c>
      <c r="C672" s="1" t="s">
        <v>522</v>
      </c>
      <c r="D672" s="1" t="s">
        <v>523</v>
      </c>
      <c r="E672" s="1">
        <v>112.25</v>
      </c>
      <c r="F672" s="1" t="s">
        <v>8</v>
      </c>
      <c r="G672" s="1" t="s">
        <v>13</v>
      </c>
      <c r="H672" s="1" t="s">
        <v>10</v>
      </c>
    </row>
    <row r="673" spans="1:8" x14ac:dyDescent="0.3">
      <c r="A673" s="1">
        <v>426</v>
      </c>
      <c r="B673" s="1" t="s">
        <v>433</v>
      </c>
      <c r="C673" s="1" t="s">
        <v>524</v>
      </c>
      <c r="D673" s="1" t="s">
        <v>525</v>
      </c>
      <c r="E673" s="1">
        <v>415.9</v>
      </c>
      <c r="F673" s="1" t="s">
        <v>8</v>
      </c>
      <c r="G673" s="1" t="s">
        <v>9</v>
      </c>
      <c r="H673" s="1" t="s">
        <v>10</v>
      </c>
    </row>
    <row r="674" spans="1:8" x14ac:dyDescent="0.3">
      <c r="A674" s="1">
        <v>426</v>
      </c>
      <c r="B674" s="1" t="s">
        <v>433</v>
      </c>
      <c r="C674" s="1" t="s">
        <v>526</v>
      </c>
      <c r="D674" s="1" t="s">
        <v>527</v>
      </c>
      <c r="E674" s="1">
        <v>633.04</v>
      </c>
      <c r="F674" s="1" t="s">
        <v>8</v>
      </c>
      <c r="G674" s="1" t="s">
        <v>13</v>
      </c>
      <c r="H674" s="1" t="s">
        <v>10</v>
      </c>
    </row>
    <row r="675" spans="1:8" x14ac:dyDescent="0.3">
      <c r="A675" s="1">
        <v>426</v>
      </c>
      <c r="B675" s="1" t="s">
        <v>433</v>
      </c>
      <c r="C675" s="1" t="s">
        <v>4678</v>
      </c>
      <c r="D675" s="1" t="s">
        <v>4679</v>
      </c>
      <c r="E675" s="1">
        <v>474</v>
      </c>
      <c r="F675" s="1" t="s">
        <v>8</v>
      </c>
      <c r="G675" s="1" t="s">
        <v>13</v>
      </c>
      <c r="H675" s="1" t="s">
        <v>10</v>
      </c>
    </row>
    <row r="676" spans="1:8" x14ac:dyDescent="0.3">
      <c r="A676" s="1">
        <v>426</v>
      </c>
      <c r="B676" s="1" t="s">
        <v>433</v>
      </c>
      <c r="C676" s="1" t="s">
        <v>4680</v>
      </c>
      <c r="D676" s="1" t="s">
        <v>4681</v>
      </c>
      <c r="E676" s="1">
        <v>724.24</v>
      </c>
      <c r="F676" s="1" t="s">
        <v>8</v>
      </c>
      <c r="G676" s="1" t="s">
        <v>9</v>
      </c>
      <c r="H676" s="1" t="s">
        <v>10</v>
      </c>
    </row>
    <row r="677" spans="1:8" x14ac:dyDescent="0.3">
      <c r="A677" s="1">
        <v>426</v>
      </c>
      <c r="B677" s="1" t="s">
        <v>433</v>
      </c>
      <c r="C677" s="1" t="s">
        <v>4682</v>
      </c>
      <c r="D677" s="1" t="s">
        <v>4683</v>
      </c>
      <c r="E677" s="1">
        <v>199</v>
      </c>
      <c r="F677" s="1" t="s">
        <v>8</v>
      </c>
      <c r="G677" s="1" t="s">
        <v>13</v>
      </c>
      <c r="H677" s="1" t="s">
        <v>10</v>
      </c>
    </row>
    <row r="678" spans="1:8" x14ac:dyDescent="0.3">
      <c r="A678" s="1">
        <v>426</v>
      </c>
      <c r="B678" s="1" t="s">
        <v>433</v>
      </c>
      <c r="C678" s="1" t="s">
        <v>4684</v>
      </c>
      <c r="D678" s="1" t="s">
        <v>4685</v>
      </c>
      <c r="E678" s="1">
        <v>132</v>
      </c>
      <c r="F678" s="1" t="s">
        <v>8</v>
      </c>
      <c r="G678" s="1" t="s">
        <v>13</v>
      </c>
      <c r="H678" s="1" t="s">
        <v>10</v>
      </c>
    </row>
    <row r="679" spans="1:8" x14ac:dyDescent="0.3">
      <c r="A679" s="1">
        <v>426</v>
      </c>
      <c r="B679" s="1" t="s">
        <v>433</v>
      </c>
      <c r="C679" s="1" t="s">
        <v>4686</v>
      </c>
      <c r="D679" s="1" t="s">
        <v>4687</v>
      </c>
      <c r="E679" s="1">
        <v>103.25</v>
      </c>
      <c r="F679" s="1" t="s">
        <v>8</v>
      </c>
      <c r="G679" s="1" t="s">
        <v>13</v>
      </c>
      <c r="H679" s="1" t="s">
        <v>10</v>
      </c>
    </row>
    <row r="680" spans="1:8" x14ac:dyDescent="0.3">
      <c r="A680" s="1">
        <v>426</v>
      </c>
      <c r="B680" s="1" t="s">
        <v>433</v>
      </c>
      <c r="C680" s="1" t="s">
        <v>4688</v>
      </c>
      <c r="D680" s="1" t="s">
        <v>4689</v>
      </c>
      <c r="E680" s="1">
        <v>174.75</v>
      </c>
      <c r="F680" s="1" t="s">
        <v>8</v>
      </c>
      <c r="G680" s="1" t="s">
        <v>9</v>
      </c>
      <c r="H680" s="1" t="s">
        <v>10</v>
      </c>
    </row>
    <row r="681" spans="1:8" x14ac:dyDescent="0.3">
      <c r="A681" s="1">
        <v>426</v>
      </c>
      <c r="B681" s="1" t="s">
        <v>433</v>
      </c>
      <c r="C681" s="1" t="s">
        <v>4690</v>
      </c>
      <c r="D681" s="1" t="s">
        <v>4691</v>
      </c>
      <c r="E681" s="1">
        <v>548.54</v>
      </c>
      <c r="F681" s="1" t="s">
        <v>8</v>
      </c>
      <c r="G681" s="1" t="s">
        <v>9</v>
      </c>
      <c r="H681" s="1" t="s">
        <v>10</v>
      </c>
    </row>
    <row r="682" spans="1:8" x14ac:dyDescent="0.3">
      <c r="A682" s="1">
        <v>426</v>
      </c>
      <c r="B682" s="1" t="s">
        <v>433</v>
      </c>
      <c r="C682" s="1" t="s">
        <v>4692</v>
      </c>
      <c r="D682" s="1" t="s">
        <v>4693</v>
      </c>
      <c r="E682" s="1">
        <v>249</v>
      </c>
      <c r="F682" s="1" t="s">
        <v>8</v>
      </c>
      <c r="G682" s="1" t="s">
        <v>13</v>
      </c>
      <c r="H682" s="1" t="s">
        <v>10</v>
      </c>
    </row>
    <row r="683" spans="1:8" x14ac:dyDescent="0.3">
      <c r="A683" s="1">
        <v>426</v>
      </c>
      <c r="B683" s="1" t="s">
        <v>433</v>
      </c>
      <c r="C683" s="1" t="s">
        <v>4694</v>
      </c>
      <c r="D683" s="1" t="s">
        <v>4695</v>
      </c>
      <c r="E683" s="1">
        <v>170.4</v>
      </c>
      <c r="F683" s="1" t="s">
        <v>8</v>
      </c>
      <c r="G683" s="1" t="s">
        <v>13</v>
      </c>
      <c r="H683" s="1" t="s">
        <v>10</v>
      </c>
    </row>
    <row r="684" spans="1:8" x14ac:dyDescent="0.3">
      <c r="A684" s="1">
        <v>471</v>
      </c>
      <c r="B684" s="1" t="s">
        <v>529</v>
      </c>
      <c r="C684" s="1" t="s">
        <v>530</v>
      </c>
      <c r="D684" s="1" t="s">
        <v>531</v>
      </c>
      <c r="E684" s="1">
        <v>149.94999999999999</v>
      </c>
      <c r="F684" s="1" t="s">
        <v>8</v>
      </c>
      <c r="G684" s="1" t="s">
        <v>9</v>
      </c>
      <c r="H684" s="1" t="s">
        <v>10</v>
      </c>
    </row>
    <row r="685" spans="1:8" x14ac:dyDescent="0.3">
      <c r="A685" s="1">
        <v>471</v>
      </c>
      <c r="B685" s="1" t="s">
        <v>529</v>
      </c>
      <c r="C685" s="1" t="s">
        <v>532</v>
      </c>
      <c r="D685" s="1" t="s">
        <v>533</v>
      </c>
      <c r="E685" s="1">
        <v>41.17</v>
      </c>
      <c r="F685" s="1" t="s">
        <v>8</v>
      </c>
      <c r="G685" s="1" t="s">
        <v>9</v>
      </c>
      <c r="H685" s="1" t="s">
        <v>10</v>
      </c>
    </row>
    <row r="686" spans="1:8" x14ac:dyDescent="0.3">
      <c r="A686" s="1">
        <v>471</v>
      </c>
      <c r="B686" s="1" t="s">
        <v>529</v>
      </c>
      <c r="C686" s="1" t="s">
        <v>534</v>
      </c>
      <c r="D686" s="1" t="s">
        <v>535</v>
      </c>
      <c r="E686" s="1">
        <v>4175.88</v>
      </c>
      <c r="F686" s="1" t="s">
        <v>8</v>
      </c>
      <c r="G686" s="1" t="s">
        <v>13</v>
      </c>
      <c r="H686" s="1" t="s">
        <v>10</v>
      </c>
    </row>
    <row r="687" spans="1:8" x14ac:dyDescent="0.3">
      <c r="A687" s="1">
        <v>471</v>
      </c>
      <c r="B687" s="1" t="s">
        <v>529</v>
      </c>
      <c r="C687" s="1" t="s">
        <v>536</v>
      </c>
      <c r="D687" s="1" t="s">
        <v>537</v>
      </c>
      <c r="E687" s="1">
        <v>149.9</v>
      </c>
      <c r="F687" s="1" t="s">
        <v>8</v>
      </c>
      <c r="G687" s="1" t="s">
        <v>9</v>
      </c>
      <c r="H687" s="1" t="s">
        <v>10</v>
      </c>
    </row>
    <row r="688" spans="1:8" x14ac:dyDescent="0.3">
      <c r="A688" s="1">
        <v>471</v>
      </c>
      <c r="B688" s="1" t="s">
        <v>529</v>
      </c>
      <c r="C688" s="1" t="s">
        <v>538</v>
      </c>
      <c r="D688" s="1" t="s">
        <v>539</v>
      </c>
      <c r="E688" s="1">
        <v>50.92</v>
      </c>
      <c r="F688" s="1" t="s">
        <v>8</v>
      </c>
      <c r="G688" s="1" t="s">
        <v>9</v>
      </c>
      <c r="H688" s="1" t="s">
        <v>10</v>
      </c>
    </row>
    <row r="689" spans="1:8" x14ac:dyDescent="0.3">
      <c r="A689" s="1">
        <v>471</v>
      </c>
      <c r="B689" s="1" t="s">
        <v>529</v>
      </c>
      <c r="C689" s="1" t="s">
        <v>540</v>
      </c>
      <c r="D689" s="1" t="s">
        <v>541</v>
      </c>
      <c r="E689" s="1">
        <v>100.64</v>
      </c>
      <c r="F689" s="1" t="s">
        <v>8</v>
      </c>
      <c r="G689" s="1" t="s">
        <v>9</v>
      </c>
      <c r="H689" s="1" t="s">
        <v>10</v>
      </c>
    </row>
    <row r="690" spans="1:8" x14ac:dyDescent="0.3">
      <c r="A690" s="1">
        <v>471</v>
      </c>
      <c r="B690" s="1" t="s">
        <v>529</v>
      </c>
      <c r="C690" s="1" t="s">
        <v>542</v>
      </c>
      <c r="D690" s="1" t="s">
        <v>543</v>
      </c>
      <c r="E690" s="1">
        <v>339.9</v>
      </c>
      <c r="F690" s="1" t="s">
        <v>8</v>
      </c>
      <c r="G690" s="1" t="s">
        <v>9</v>
      </c>
      <c r="H690" s="1" t="s">
        <v>10</v>
      </c>
    </row>
    <row r="691" spans="1:8" x14ac:dyDescent="0.3">
      <c r="A691" s="1">
        <v>471</v>
      </c>
      <c r="B691" s="1" t="s">
        <v>529</v>
      </c>
      <c r="C691" s="1" t="s">
        <v>544</v>
      </c>
      <c r="D691" s="1" t="s">
        <v>545</v>
      </c>
      <c r="E691" s="1">
        <v>79.900000000000006</v>
      </c>
      <c r="F691" s="1" t="s">
        <v>8</v>
      </c>
      <c r="G691" s="1" t="s">
        <v>9</v>
      </c>
      <c r="H691" s="1" t="s">
        <v>10</v>
      </c>
    </row>
    <row r="692" spans="1:8" x14ac:dyDescent="0.3">
      <c r="A692" s="1">
        <v>471</v>
      </c>
      <c r="B692" s="1" t="s">
        <v>529</v>
      </c>
      <c r="C692" s="1" t="s">
        <v>546</v>
      </c>
      <c r="D692" s="1" t="s">
        <v>547</v>
      </c>
      <c r="E692" s="1">
        <v>20.64</v>
      </c>
      <c r="F692" s="1" t="s">
        <v>8</v>
      </c>
      <c r="G692" s="1" t="s">
        <v>9</v>
      </c>
      <c r="H692" s="1" t="s">
        <v>10</v>
      </c>
    </row>
    <row r="693" spans="1:8" x14ac:dyDescent="0.3">
      <c r="A693" s="1">
        <v>471</v>
      </c>
      <c r="B693" s="1" t="s">
        <v>529</v>
      </c>
      <c r="C693" s="1" t="s">
        <v>548</v>
      </c>
      <c r="D693" s="1" t="s">
        <v>549</v>
      </c>
      <c r="E693" s="1">
        <v>53.08</v>
      </c>
      <c r="F693" s="1" t="s">
        <v>8</v>
      </c>
      <c r="G693" s="1" t="s">
        <v>9</v>
      </c>
      <c r="H693" s="1" t="s">
        <v>10</v>
      </c>
    </row>
    <row r="694" spans="1:8" x14ac:dyDescent="0.3">
      <c r="A694" s="1">
        <v>471</v>
      </c>
      <c r="B694" s="1" t="s">
        <v>529</v>
      </c>
      <c r="C694" s="1" t="s">
        <v>550</v>
      </c>
      <c r="D694" s="1" t="s">
        <v>551</v>
      </c>
      <c r="E694" s="1">
        <v>359.8</v>
      </c>
      <c r="F694" s="1" t="s">
        <v>8</v>
      </c>
      <c r="G694" s="1" t="s">
        <v>9</v>
      </c>
      <c r="H694" s="1" t="s">
        <v>10</v>
      </c>
    </row>
    <row r="695" spans="1:8" x14ac:dyDescent="0.3">
      <c r="A695" s="1">
        <v>471</v>
      </c>
      <c r="B695" s="1" t="s">
        <v>529</v>
      </c>
      <c r="C695" s="1" t="s">
        <v>552</v>
      </c>
      <c r="D695" s="1" t="s">
        <v>553</v>
      </c>
      <c r="E695" s="1">
        <v>179.9</v>
      </c>
      <c r="F695" s="1" t="s">
        <v>8</v>
      </c>
      <c r="G695" s="1" t="s">
        <v>9</v>
      </c>
      <c r="H695" s="1" t="s">
        <v>10</v>
      </c>
    </row>
    <row r="696" spans="1:8" x14ac:dyDescent="0.3">
      <c r="A696" s="1">
        <v>471</v>
      </c>
      <c r="B696" s="1" t="s">
        <v>529</v>
      </c>
      <c r="C696" s="1" t="s">
        <v>554</v>
      </c>
      <c r="D696" s="1" t="s">
        <v>555</v>
      </c>
      <c r="E696" s="1">
        <v>179.8</v>
      </c>
      <c r="F696" s="1" t="s">
        <v>8</v>
      </c>
      <c r="G696" s="1" t="s">
        <v>9</v>
      </c>
      <c r="H696" s="1" t="s">
        <v>10</v>
      </c>
    </row>
    <row r="697" spans="1:8" x14ac:dyDescent="0.3">
      <c r="A697" s="1">
        <v>471</v>
      </c>
      <c r="B697" s="1" t="s">
        <v>529</v>
      </c>
      <c r="C697" s="1" t="s">
        <v>556</v>
      </c>
      <c r="D697" s="1" t="s">
        <v>557</v>
      </c>
      <c r="E697" s="1">
        <v>79.900000000000006</v>
      </c>
      <c r="F697" s="1" t="s">
        <v>8</v>
      </c>
      <c r="G697" s="1" t="s">
        <v>9</v>
      </c>
      <c r="H697" s="1" t="s">
        <v>10</v>
      </c>
    </row>
    <row r="698" spans="1:8" x14ac:dyDescent="0.3">
      <c r="A698" s="1">
        <v>471</v>
      </c>
      <c r="B698" s="1" t="s">
        <v>529</v>
      </c>
      <c r="C698" s="1" t="s">
        <v>558</v>
      </c>
      <c r="D698" s="1" t="s">
        <v>559</v>
      </c>
      <c r="E698" s="1">
        <v>52.25</v>
      </c>
      <c r="F698" s="1" t="s">
        <v>8</v>
      </c>
      <c r="G698" s="1" t="s">
        <v>9</v>
      </c>
      <c r="H698" s="1" t="s">
        <v>10</v>
      </c>
    </row>
    <row r="699" spans="1:8" x14ac:dyDescent="0.3">
      <c r="A699" s="1">
        <v>471</v>
      </c>
      <c r="B699" s="1" t="s">
        <v>529</v>
      </c>
      <c r="C699" s="1" t="s">
        <v>560</v>
      </c>
      <c r="D699" s="1" t="s">
        <v>561</v>
      </c>
      <c r="E699" s="1">
        <v>94.95</v>
      </c>
      <c r="F699" s="1" t="s">
        <v>8</v>
      </c>
      <c r="G699" s="1" t="s">
        <v>9</v>
      </c>
      <c r="H699" s="1" t="s">
        <v>10</v>
      </c>
    </row>
    <row r="700" spans="1:8" x14ac:dyDescent="0.3">
      <c r="A700" s="1">
        <v>471</v>
      </c>
      <c r="B700" s="1" t="s">
        <v>529</v>
      </c>
      <c r="C700" s="1" t="s">
        <v>562</v>
      </c>
      <c r="D700" s="1" t="s">
        <v>563</v>
      </c>
      <c r="E700" s="1">
        <v>239.9</v>
      </c>
      <c r="F700" s="1" t="s">
        <v>8</v>
      </c>
      <c r="G700" s="1" t="s">
        <v>9</v>
      </c>
      <c r="H700" s="1" t="s">
        <v>10</v>
      </c>
    </row>
    <row r="701" spans="1:8" x14ac:dyDescent="0.3">
      <c r="A701" s="1">
        <v>471</v>
      </c>
      <c r="B701" s="1" t="s">
        <v>529</v>
      </c>
      <c r="C701" s="1" t="s">
        <v>564</v>
      </c>
      <c r="D701" s="1" t="s">
        <v>565</v>
      </c>
      <c r="E701" s="1">
        <v>149.9</v>
      </c>
      <c r="F701" s="1" t="s">
        <v>8</v>
      </c>
      <c r="G701" s="1" t="s">
        <v>9</v>
      </c>
      <c r="H701" s="1" t="s">
        <v>10</v>
      </c>
    </row>
    <row r="702" spans="1:8" x14ac:dyDescent="0.3">
      <c r="A702" s="1">
        <v>471</v>
      </c>
      <c r="B702" s="1" t="s">
        <v>529</v>
      </c>
      <c r="C702" s="1" t="s">
        <v>566</v>
      </c>
      <c r="D702" s="1" t="s">
        <v>567</v>
      </c>
      <c r="E702" s="1">
        <v>129.9</v>
      </c>
      <c r="F702" s="1" t="s">
        <v>8</v>
      </c>
      <c r="G702" s="1" t="s">
        <v>9</v>
      </c>
      <c r="H702" s="1" t="s">
        <v>10</v>
      </c>
    </row>
    <row r="703" spans="1:8" x14ac:dyDescent="0.3">
      <c r="A703" s="1">
        <v>471</v>
      </c>
      <c r="B703" s="1" t="s">
        <v>529</v>
      </c>
      <c r="C703" s="1" t="s">
        <v>568</v>
      </c>
      <c r="D703" s="1" t="s">
        <v>569</v>
      </c>
      <c r="E703" s="1">
        <v>61.06</v>
      </c>
      <c r="F703" s="1" t="s">
        <v>8</v>
      </c>
      <c r="G703" s="1" t="s">
        <v>9</v>
      </c>
      <c r="H703" s="1" t="s">
        <v>10</v>
      </c>
    </row>
    <row r="704" spans="1:8" x14ac:dyDescent="0.3">
      <c r="A704" s="1">
        <v>471</v>
      </c>
      <c r="B704" s="1" t="s">
        <v>529</v>
      </c>
      <c r="C704" s="1" t="s">
        <v>570</v>
      </c>
      <c r="D704" s="1" t="s">
        <v>571</v>
      </c>
      <c r="E704" s="1">
        <v>29.85</v>
      </c>
      <c r="F704" s="1" t="s">
        <v>8</v>
      </c>
      <c r="G704" s="1" t="s">
        <v>9</v>
      </c>
      <c r="H704" s="1" t="s">
        <v>10</v>
      </c>
    </row>
    <row r="705" spans="1:8" x14ac:dyDescent="0.3">
      <c r="A705" s="1">
        <v>471</v>
      </c>
      <c r="B705" s="1" t="s">
        <v>529</v>
      </c>
      <c r="C705" s="1" t="s">
        <v>572</v>
      </c>
      <c r="D705" s="1" t="s">
        <v>573</v>
      </c>
      <c r="E705" s="1">
        <v>35</v>
      </c>
      <c r="F705" s="1" t="s">
        <v>8</v>
      </c>
      <c r="G705" s="1" t="s">
        <v>9</v>
      </c>
      <c r="H705" s="1" t="s">
        <v>10</v>
      </c>
    </row>
    <row r="706" spans="1:8" x14ac:dyDescent="0.3">
      <c r="A706" s="1">
        <v>471</v>
      </c>
      <c r="B706" s="1" t="s">
        <v>529</v>
      </c>
      <c r="C706" s="1" t="s">
        <v>574</v>
      </c>
      <c r="D706" s="1" t="s">
        <v>575</v>
      </c>
      <c r="E706" s="1">
        <v>21.9</v>
      </c>
      <c r="F706" s="1" t="s">
        <v>11</v>
      </c>
      <c r="G706" s="1" t="s">
        <v>9</v>
      </c>
      <c r="H706" s="1" t="s">
        <v>10</v>
      </c>
    </row>
    <row r="707" spans="1:8" x14ac:dyDescent="0.3">
      <c r="A707" s="1">
        <v>471</v>
      </c>
      <c r="B707" s="1" t="s">
        <v>529</v>
      </c>
      <c r="C707" s="1" t="s">
        <v>4696</v>
      </c>
      <c r="D707" s="1" t="s">
        <v>4697</v>
      </c>
      <c r="E707" s="1">
        <v>159.9</v>
      </c>
      <c r="F707" s="1" t="s">
        <v>8</v>
      </c>
      <c r="G707" s="1" t="s">
        <v>9</v>
      </c>
      <c r="H707" s="1" t="s">
        <v>10</v>
      </c>
    </row>
    <row r="708" spans="1:8" x14ac:dyDescent="0.3">
      <c r="A708" s="1">
        <v>472</v>
      </c>
      <c r="B708" s="1" t="s">
        <v>576</v>
      </c>
      <c r="C708" s="1" t="s">
        <v>577</v>
      </c>
      <c r="D708" s="1" t="s">
        <v>578</v>
      </c>
      <c r="E708" s="1">
        <v>269.89999999999998</v>
      </c>
      <c r="F708" s="1" t="s">
        <v>8</v>
      </c>
      <c r="G708" s="1" t="s">
        <v>9</v>
      </c>
      <c r="H708" s="1" t="s">
        <v>10</v>
      </c>
    </row>
    <row r="709" spans="1:8" x14ac:dyDescent="0.3">
      <c r="A709" s="1">
        <v>472</v>
      </c>
      <c r="B709" s="1" t="s">
        <v>576</v>
      </c>
      <c r="C709" s="1" t="s">
        <v>579</v>
      </c>
      <c r="D709" s="1" t="s">
        <v>580</v>
      </c>
      <c r="E709" s="1">
        <v>66.290000000000006</v>
      </c>
      <c r="F709" s="1" t="s">
        <v>8</v>
      </c>
      <c r="G709" s="1" t="s">
        <v>9</v>
      </c>
      <c r="H709" s="1" t="s">
        <v>10</v>
      </c>
    </row>
    <row r="710" spans="1:8" x14ac:dyDescent="0.3">
      <c r="A710" s="1">
        <v>472</v>
      </c>
      <c r="B710" s="1" t="s">
        <v>576</v>
      </c>
      <c r="C710" s="1" t="s">
        <v>581</v>
      </c>
      <c r="D710" s="1" t="s">
        <v>582</v>
      </c>
      <c r="E710" s="1">
        <v>66.290000000000006</v>
      </c>
      <c r="F710" s="1" t="s">
        <v>8</v>
      </c>
      <c r="G710" s="1" t="s">
        <v>9</v>
      </c>
      <c r="H710" s="1" t="s">
        <v>10</v>
      </c>
    </row>
    <row r="711" spans="1:8" x14ac:dyDescent="0.3">
      <c r="A711" s="1">
        <v>472</v>
      </c>
      <c r="B711" s="1" t="s">
        <v>576</v>
      </c>
      <c r="C711" s="1" t="s">
        <v>583</v>
      </c>
      <c r="D711" s="1" t="s">
        <v>584</v>
      </c>
      <c r="E711" s="1">
        <v>79.900000000000006</v>
      </c>
      <c r="F711" s="1" t="s">
        <v>8</v>
      </c>
      <c r="G711" s="1" t="s">
        <v>9</v>
      </c>
      <c r="H711" s="1" t="s">
        <v>10</v>
      </c>
    </row>
    <row r="712" spans="1:8" x14ac:dyDescent="0.3">
      <c r="A712" s="1">
        <v>472</v>
      </c>
      <c r="B712" s="1" t="s">
        <v>576</v>
      </c>
      <c r="C712" s="1" t="s">
        <v>585</v>
      </c>
      <c r="D712" s="1" t="s">
        <v>586</v>
      </c>
      <c r="E712" s="1">
        <v>221.9</v>
      </c>
      <c r="F712" s="1" t="s">
        <v>8</v>
      </c>
      <c r="G712" s="1" t="s">
        <v>9</v>
      </c>
      <c r="H712" s="1" t="s">
        <v>10</v>
      </c>
    </row>
    <row r="713" spans="1:8" x14ac:dyDescent="0.3">
      <c r="A713" s="1">
        <v>472</v>
      </c>
      <c r="B713" s="1" t="s">
        <v>576</v>
      </c>
      <c r="C713" s="1" t="s">
        <v>587</v>
      </c>
      <c r="D713" s="1" t="s">
        <v>588</v>
      </c>
      <c r="E713" s="1">
        <v>79.900000000000006</v>
      </c>
      <c r="F713" s="1" t="s">
        <v>8</v>
      </c>
      <c r="G713" s="1" t="s">
        <v>9</v>
      </c>
      <c r="H713" s="1" t="s">
        <v>10</v>
      </c>
    </row>
    <row r="714" spans="1:8" x14ac:dyDescent="0.3">
      <c r="A714" s="1">
        <v>472</v>
      </c>
      <c r="B714" s="1" t="s">
        <v>576</v>
      </c>
      <c r="C714" s="1" t="s">
        <v>589</v>
      </c>
      <c r="D714" s="1" t="s">
        <v>590</v>
      </c>
      <c r="E714" s="1">
        <v>199.9</v>
      </c>
      <c r="F714" s="1" t="s">
        <v>8</v>
      </c>
      <c r="G714" s="1" t="s">
        <v>9</v>
      </c>
      <c r="H714" s="1" t="s">
        <v>10</v>
      </c>
    </row>
    <row r="715" spans="1:8" x14ac:dyDescent="0.3">
      <c r="A715" s="1">
        <v>472</v>
      </c>
      <c r="B715" s="1" t="s">
        <v>576</v>
      </c>
      <c r="C715" s="1" t="s">
        <v>591</v>
      </c>
      <c r="D715" s="1" t="s">
        <v>592</v>
      </c>
      <c r="E715" s="1">
        <v>79.900000000000006</v>
      </c>
      <c r="F715" s="1" t="s">
        <v>8</v>
      </c>
      <c r="G715" s="1" t="s">
        <v>9</v>
      </c>
      <c r="H715" s="1" t="s">
        <v>10</v>
      </c>
    </row>
    <row r="716" spans="1:8" x14ac:dyDescent="0.3">
      <c r="A716" s="1">
        <v>472</v>
      </c>
      <c r="B716" s="1" t="s">
        <v>576</v>
      </c>
      <c r="C716" s="1" t="s">
        <v>593</v>
      </c>
      <c r="D716" s="1" t="s">
        <v>594</v>
      </c>
      <c r="E716" s="1">
        <v>4175.88</v>
      </c>
      <c r="F716" s="1" t="s">
        <v>8</v>
      </c>
      <c r="G716" s="1" t="s">
        <v>13</v>
      </c>
      <c r="H716" s="1" t="s">
        <v>10</v>
      </c>
    </row>
    <row r="717" spans="1:8" x14ac:dyDescent="0.3">
      <c r="A717" s="1">
        <v>472</v>
      </c>
      <c r="B717" s="1" t="s">
        <v>576</v>
      </c>
      <c r="C717" s="1" t="s">
        <v>595</v>
      </c>
      <c r="D717" s="1" t="s">
        <v>596</v>
      </c>
      <c r="E717" s="1">
        <v>38.86</v>
      </c>
      <c r="F717" s="1" t="s">
        <v>8</v>
      </c>
      <c r="G717" s="1" t="s">
        <v>9</v>
      </c>
      <c r="H717" s="1" t="s">
        <v>10</v>
      </c>
    </row>
    <row r="718" spans="1:8" x14ac:dyDescent="0.3">
      <c r="A718" s="1">
        <v>472</v>
      </c>
      <c r="B718" s="1" t="s">
        <v>576</v>
      </c>
      <c r="C718" s="1" t="s">
        <v>157</v>
      </c>
      <c r="D718" s="1" t="s">
        <v>597</v>
      </c>
      <c r="E718" s="1">
        <v>149.9</v>
      </c>
      <c r="F718" s="1" t="s">
        <v>8</v>
      </c>
      <c r="G718" s="1" t="s">
        <v>9</v>
      </c>
      <c r="H718" s="1" t="s">
        <v>10</v>
      </c>
    </row>
    <row r="719" spans="1:8" x14ac:dyDescent="0.3">
      <c r="A719" s="1">
        <v>472</v>
      </c>
      <c r="B719" s="1" t="s">
        <v>576</v>
      </c>
      <c r="C719" s="1" t="s">
        <v>598</v>
      </c>
      <c r="D719" s="1" t="s">
        <v>599</v>
      </c>
      <c r="E719" s="1">
        <v>159.9</v>
      </c>
      <c r="F719" s="1" t="s">
        <v>8</v>
      </c>
      <c r="G719" s="1" t="s">
        <v>9</v>
      </c>
      <c r="H719" s="1" t="s">
        <v>10</v>
      </c>
    </row>
    <row r="720" spans="1:8" x14ac:dyDescent="0.3">
      <c r="A720" s="1">
        <v>472</v>
      </c>
      <c r="B720" s="1" t="s">
        <v>576</v>
      </c>
      <c r="C720" s="1" t="s">
        <v>600</v>
      </c>
      <c r="D720" s="1" t="s">
        <v>601</v>
      </c>
      <c r="E720" s="1">
        <v>79.900000000000006</v>
      </c>
      <c r="F720" s="1" t="s">
        <v>8</v>
      </c>
      <c r="G720" s="1" t="s">
        <v>9</v>
      </c>
      <c r="H720" s="1" t="s">
        <v>10</v>
      </c>
    </row>
    <row r="721" spans="1:8" x14ac:dyDescent="0.3">
      <c r="A721" s="1">
        <v>472</v>
      </c>
      <c r="B721" s="1" t="s">
        <v>576</v>
      </c>
      <c r="C721" s="1" t="s">
        <v>602</v>
      </c>
      <c r="D721" s="1" t="s">
        <v>603</v>
      </c>
      <c r="E721" s="1">
        <v>79.900000000000006</v>
      </c>
      <c r="F721" s="1" t="s">
        <v>8</v>
      </c>
      <c r="G721" s="1" t="s">
        <v>9</v>
      </c>
      <c r="H721" s="1" t="s">
        <v>10</v>
      </c>
    </row>
    <row r="722" spans="1:8" x14ac:dyDescent="0.3">
      <c r="A722" s="1">
        <v>472</v>
      </c>
      <c r="B722" s="1" t="s">
        <v>576</v>
      </c>
      <c r="C722" s="1" t="s">
        <v>604</v>
      </c>
      <c r="D722" s="1" t="s">
        <v>605</v>
      </c>
      <c r="E722" s="1">
        <v>249.9</v>
      </c>
      <c r="F722" s="1" t="s">
        <v>8</v>
      </c>
      <c r="G722" s="1" t="s">
        <v>9</v>
      </c>
      <c r="H722" s="1" t="s">
        <v>10</v>
      </c>
    </row>
    <row r="723" spans="1:8" x14ac:dyDescent="0.3">
      <c r="A723" s="1">
        <v>472</v>
      </c>
      <c r="B723" s="1" t="s">
        <v>576</v>
      </c>
      <c r="C723" s="1" t="s">
        <v>606</v>
      </c>
      <c r="D723" s="1" t="s">
        <v>607</v>
      </c>
      <c r="E723" s="1">
        <v>79.900000000000006</v>
      </c>
      <c r="F723" s="1" t="s">
        <v>8</v>
      </c>
      <c r="G723" s="1" t="s">
        <v>9</v>
      </c>
      <c r="H723" s="1" t="s">
        <v>10</v>
      </c>
    </row>
    <row r="724" spans="1:8" x14ac:dyDescent="0.3">
      <c r="A724" s="1">
        <v>472</v>
      </c>
      <c r="B724" s="1" t="s">
        <v>576</v>
      </c>
      <c r="C724" s="1" t="s">
        <v>608</v>
      </c>
      <c r="D724" s="1" t="s">
        <v>609</v>
      </c>
      <c r="E724" s="1">
        <v>179.9</v>
      </c>
      <c r="F724" s="1" t="s">
        <v>8</v>
      </c>
      <c r="G724" s="1" t="s">
        <v>9</v>
      </c>
      <c r="H724" s="1" t="s">
        <v>10</v>
      </c>
    </row>
    <row r="725" spans="1:8" x14ac:dyDescent="0.3">
      <c r="A725" s="1">
        <v>472</v>
      </c>
      <c r="B725" s="1" t="s">
        <v>576</v>
      </c>
      <c r="C725" s="1" t="s">
        <v>610</v>
      </c>
      <c r="D725" s="1" t="s">
        <v>611</v>
      </c>
      <c r="E725" s="1">
        <v>189.9</v>
      </c>
      <c r="F725" s="1" t="s">
        <v>8</v>
      </c>
      <c r="G725" s="1" t="s">
        <v>9</v>
      </c>
      <c r="H725" s="1" t="s">
        <v>10</v>
      </c>
    </row>
    <row r="726" spans="1:8" x14ac:dyDescent="0.3">
      <c r="A726" s="1">
        <v>472</v>
      </c>
      <c r="B726" s="1" t="s">
        <v>576</v>
      </c>
      <c r="C726" s="1" t="s">
        <v>612</v>
      </c>
      <c r="D726" s="1" t="s">
        <v>613</v>
      </c>
      <c r="E726" s="1">
        <v>219.9</v>
      </c>
      <c r="F726" s="1" t="s">
        <v>8</v>
      </c>
      <c r="G726" s="1" t="s">
        <v>9</v>
      </c>
      <c r="H726" s="1" t="s">
        <v>10</v>
      </c>
    </row>
    <row r="727" spans="1:8" x14ac:dyDescent="0.3">
      <c r="A727" s="1">
        <v>472</v>
      </c>
      <c r="B727" s="1" t="s">
        <v>576</v>
      </c>
      <c r="C727" s="1" t="s">
        <v>614</v>
      </c>
      <c r="D727" s="1" t="s">
        <v>615</v>
      </c>
      <c r="E727" s="1">
        <v>79.900000000000006</v>
      </c>
      <c r="F727" s="1" t="s">
        <v>8</v>
      </c>
      <c r="G727" s="1" t="s">
        <v>9</v>
      </c>
      <c r="H727" s="1" t="s">
        <v>10</v>
      </c>
    </row>
    <row r="728" spans="1:8" x14ac:dyDescent="0.3">
      <c r="A728" s="1">
        <v>472</v>
      </c>
      <c r="B728" s="1" t="s">
        <v>576</v>
      </c>
      <c r="C728" s="1" t="s">
        <v>616</v>
      </c>
      <c r="D728" s="1" t="s">
        <v>617</v>
      </c>
      <c r="E728" s="1">
        <v>199.9</v>
      </c>
      <c r="F728" s="1" t="s">
        <v>8</v>
      </c>
      <c r="G728" s="1" t="s">
        <v>9</v>
      </c>
      <c r="H728" s="1" t="s">
        <v>10</v>
      </c>
    </row>
    <row r="729" spans="1:8" x14ac:dyDescent="0.3">
      <c r="A729" s="1">
        <v>472</v>
      </c>
      <c r="B729" s="1" t="s">
        <v>576</v>
      </c>
      <c r="C729" s="1" t="s">
        <v>618</v>
      </c>
      <c r="D729" s="1" t="s">
        <v>619</v>
      </c>
      <c r="E729" s="1">
        <v>289.89999999999998</v>
      </c>
      <c r="F729" s="1" t="s">
        <v>8</v>
      </c>
      <c r="G729" s="1" t="s">
        <v>9</v>
      </c>
      <c r="H729" s="1" t="s">
        <v>10</v>
      </c>
    </row>
    <row r="730" spans="1:8" x14ac:dyDescent="0.3">
      <c r="A730" s="1">
        <v>472</v>
      </c>
      <c r="B730" s="1" t="s">
        <v>576</v>
      </c>
      <c r="C730" s="1" t="s">
        <v>620</v>
      </c>
      <c r="D730" s="1" t="s">
        <v>621</v>
      </c>
      <c r="E730" s="1">
        <v>139.9</v>
      </c>
      <c r="F730" s="1" t="s">
        <v>8</v>
      </c>
      <c r="G730" s="1" t="s">
        <v>9</v>
      </c>
      <c r="H730" s="1" t="s">
        <v>10</v>
      </c>
    </row>
    <row r="731" spans="1:8" x14ac:dyDescent="0.3">
      <c r="A731" s="1">
        <v>472</v>
      </c>
      <c r="B731" s="1" t="s">
        <v>576</v>
      </c>
      <c r="C731" s="1" t="s">
        <v>622</v>
      </c>
      <c r="D731" s="1" t="s">
        <v>623</v>
      </c>
      <c r="E731" s="1">
        <v>30.54</v>
      </c>
      <c r="F731" s="1" t="s">
        <v>8</v>
      </c>
      <c r="G731" s="1" t="s">
        <v>9</v>
      </c>
      <c r="H731" s="1" t="s">
        <v>10</v>
      </c>
    </row>
    <row r="732" spans="1:8" x14ac:dyDescent="0.3">
      <c r="A732" s="1">
        <v>472</v>
      </c>
      <c r="B732" s="1" t="s">
        <v>576</v>
      </c>
      <c r="C732" s="1" t="s">
        <v>624</v>
      </c>
      <c r="D732" s="1" t="s">
        <v>625</v>
      </c>
      <c r="E732" s="1">
        <v>289.89999999999998</v>
      </c>
      <c r="F732" s="1" t="s">
        <v>8</v>
      </c>
      <c r="G732" s="1" t="s">
        <v>9</v>
      </c>
      <c r="H732" s="1" t="s">
        <v>10</v>
      </c>
    </row>
    <row r="733" spans="1:8" x14ac:dyDescent="0.3">
      <c r="A733" s="1">
        <v>472</v>
      </c>
      <c r="B733" s="1" t="s">
        <v>576</v>
      </c>
      <c r="C733" s="1" t="s">
        <v>626</v>
      </c>
      <c r="D733" s="1" t="s">
        <v>627</v>
      </c>
      <c r="E733" s="1">
        <v>259.89999999999998</v>
      </c>
      <c r="F733" s="1" t="s">
        <v>8</v>
      </c>
      <c r="G733" s="1" t="s">
        <v>9</v>
      </c>
      <c r="H733" s="1" t="s">
        <v>10</v>
      </c>
    </row>
    <row r="734" spans="1:8" x14ac:dyDescent="0.3">
      <c r="A734" s="1">
        <v>472</v>
      </c>
      <c r="B734" s="1" t="s">
        <v>576</v>
      </c>
      <c r="C734" s="1" t="s">
        <v>628</v>
      </c>
      <c r="D734" s="1" t="s">
        <v>629</v>
      </c>
      <c r="E734" s="1">
        <v>199.9</v>
      </c>
      <c r="F734" s="1" t="s">
        <v>8</v>
      </c>
      <c r="G734" s="1" t="s">
        <v>9</v>
      </c>
      <c r="H734" s="1" t="s">
        <v>10</v>
      </c>
    </row>
    <row r="735" spans="1:8" x14ac:dyDescent="0.3">
      <c r="A735" s="1">
        <v>472</v>
      </c>
      <c r="B735" s="1" t="s">
        <v>576</v>
      </c>
      <c r="C735" s="1" t="s">
        <v>630</v>
      </c>
      <c r="D735" s="1" t="s">
        <v>631</v>
      </c>
      <c r="E735" s="1">
        <v>339.9</v>
      </c>
      <c r="F735" s="1" t="s">
        <v>8</v>
      </c>
      <c r="G735" s="1" t="s">
        <v>9</v>
      </c>
      <c r="H735" s="1" t="s">
        <v>10</v>
      </c>
    </row>
    <row r="736" spans="1:8" x14ac:dyDescent="0.3">
      <c r="A736" s="1">
        <v>472</v>
      </c>
      <c r="B736" s="1" t="s">
        <v>576</v>
      </c>
      <c r="C736" s="1" t="s">
        <v>632</v>
      </c>
      <c r="D736" s="1" t="s">
        <v>633</v>
      </c>
      <c r="E736" s="1">
        <v>159.9</v>
      </c>
      <c r="F736" s="1" t="s">
        <v>8</v>
      </c>
      <c r="G736" s="1" t="s">
        <v>9</v>
      </c>
      <c r="H736" s="1" t="s">
        <v>10</v>
      </c>
    </row>
    <row r="737" spans="1:8" x14ac:dyDescent="0.3">
      <c r="A737" s="1">
        <v>472</v>
      </c>
      <c r="B737" s="1" t="s">
        <v>576</v>
      </c>
      <c r="C737" s="1" t="s">
        <v>634</v>
      </c>
      <c r="D737" s="1" t="s">
        <v>635</v>
      </c>
      <c r="E737" s="1">
        <v>109.9</v>
      </c>
      <c r="F737" s="1" t="s">
        <v>8</v>
      </c>
      <c r="G737" s="1" t="s">
        <v>9</v>
      </c>
      <c r="H737" s="1" t="s">
        <v>10</v>
      </c>
    </row>
    <row r="738" spans="1:8" x14ac:dyDescent="0.3">
      <c r="A738" s="1">
        <v>472</v>
      </c>
      <c r="B738" s="1" t="s">
        <v>576</v>
      </c>
      <c r="C738" s="1" t="s">
        <v>636</v>
      </c>
      <c r="D738" s="1" t="s">
        <v>637</v>
      </c>
      <c r="E738" s="1">
        <v>18.850000000000001</v>
      </c>
      <c r="F738" s="1" t="s">
        <v>8</v>
      </c>
      <c r="G738" s="1" t="s">
        <v>9</v>
      </c>
      <c r="H738" s="1" t="s">
        <v>10</v>
      </c>
    </row>
    <row r="739" spans="1:8" x14ac:dyDescent="0.3">
      <c r="A739" s="1">
        <v>472</v>
      </c>
      <c r="B739" s="1" t="s">
        <v>576</v>
      </c>
      <c r="C739" s="1" t="s">
        <v>638</v>
      </c>
      <c r="D739" s="1" t="s">
        <v>639</v>
      </c>
      <c r="E739" s="1">
        <v>509.8</v>
      </c>
      <c r="F739" s="1" t="s">
        <v>8</v>
      </c>
      <c r="G739" s="1" t="s">
        <v>9</v>
      </c>
      <c r="H739" s="1" t="s">
        <v>10</v>
      </c>
    </row>
    <row r="740" spans="1:8" x14ac:dyDescent="0.3">
      <c r="A740" s="1">
        <v>472</v>
      </c>
      <c r="B740" s="1" t="s">
        <v>576</v>
      </c>
      <c r="C740" s="1" t="s">
        <v>640</v>
      </c>
      <c r="D740" s="1" t="s">
        <v>641</v>
      </c>
      <c r="E740" s="1">
        <v>79.900000000000006</v>
      </c>
      <c r="F740" s="1" t="s">
        <v>8</v>
      </c>
      <c r="G740" s="1" t="s">
        <v>9</v>
      </c>
      <c r="H740" s="1" t="s">
        <v>10</v>
      </c>
    </row>
    <row r="741" spans="1:8" x14ac:dyDescent="0.3">
      <c r="A741" s="1">
        <v>472</v>
      </c>
      <c r="B741" s="1" t="s">
        <v>576</v>
      </c>
      <c r="C741" s="1" t="s">
        <v>642</v>
      </c>
      <c r="D741" s="1" t="s">
        <v>643</v>
      </c>
      <c r="E741" s="1">
        <v>219.9</v>
      </c>
      <c r="F741" s="1" t="s">
        <v>8</v>
      </c>
      <c r="G741" s="1" t="s">
        <v>9</v>
      </c>
      <c r="H741" s="1" t="s">
        <v>10</v>
      </c>
    </row>
    <row r="742" spans="1:8" x14ac:dyDescent="0.3">
      <c r="A742" s="1">
        <v>472</v>
      </c>
      <c r="B742" s="1" t="s">
        <v>576</v>
      </c>
      <c r="C742" s="1" t="s">
        <v>644</v>
      </c>
      <c r="D742" s="1" t="s">
        <v>645</v>
      </c>
      <c r="E742" s="1">
        <v>79.900000000000006</v>
      </c>
      <c r="F742" s="1" t="s">
        <v>8</v>
      </c>
      <c r="G742" s="1" t="s">
        <v>9</v>
      </c>
      <c r="H742" s="1" t="s">
        <v>10</v>
      </c>
    </row>
    <row r="743" spans="1:8" x14ac:dyDescent="0.3">
      <c r="A743" s="1">
        <v>472</v>
      </c>
      <c r="B743" s="1" t="s">
        <v>576</v>
      </c>
      <c r="C743" s="1" t="s">
        <v>646</v>
      </c>
      <c r="D743" s="1" t="s">
        <v>647</v>
      </c>
      <c r="E743" s="1">
        <v>149.9</v>
      </c>
      <c r="F743" s="1" t="s">
        <v>8</v>
      </c>
      <c r="G743" s="1" t="s">
        <v>9</v>
      </c>
      <c r="H743" s="1" t="s">
        <v>10</v>
      </c>
    </row>
    <row r="744" spans="1:8" x14ac:dyDescent="0.3">
      <c r="A744" s="1">
        <v>472</v>
      </c>
      <c r="B744" s="1" t="s">
        <v>576</v>
      </c>
      <c r="C744" s="1" t="s">
        <v>648</v>
      </c>
      <c r="D744" s="1" t="s">
        <v>649</v>
      </c>
      <c r="E744" s="1">
        <v>159.80000000000001</v>
      </c>
      <c r="F744" s="1" t="s">
        <v>8</v>
      </c>
      <c r="G744" s="1" t="s">
        <v>9</v>
      </c>
      <c r="H744" s="1" t="s">
        <v>10</v>
      </c>
    </row>
    <row r="745" spans="1:8" x14ac:dyDescent="0.3">
      <c r="A745" s="1">
        <v>472</v>
      </c>
      <c r="B745" s="1" t="s">
        <v>576</v>
      </c>
      <c r="C745" s="1" t="s">
        <v>650</v>
      </c>
      <c r="D745" s="1" t="s">
        <v>651</v>
      </c>
      <c r="E745" s="1">
        <v>239.9</v>
      </c>
      <c r="F745" s="1" t="s">
        <v>8</v>
      </c>
      <c r="G745" s="1" t="s">
        <v>9</v>
      </c>
      <c r="H745" s="1" t="s">
        <v>10</v>
      </c>
    </row>
    <row r="746" spans="1:8" x14ac:dyDescent="0.3">
      <c r="A746" s="1">
        <v>472</v>
      </c>
      <c r="B746" s="1" t="s">
        <v>576</v>
      </c>
      <c r="C746" s="1" t="s">
        <v>652</v>
      </c>
      <c r="D746" s="1" t="s">
        <v>653</v>
      </c>
      <c r="E746" s="1">
        <v>79.900000000000006</v>
      </c>
      <c r="F746" s="1" t="s">
        <v>8</v>
      </c>
      <c r="G746" s="1" t="s">
        <v>9</v>
      </c>
      <c r="H746" s="1" t="s">
        <v>10</v>
      </c>
    </row>
    <row r="747" spans="1:8" x14ac:dyDescent="0.3">
      <c r="A747" s="1">
        <v>472</v>
      </c>
      <c r="B747" s="1" t="s">
        <v>576</v>
      </c>
      <c r="C747" s="1" t="s">
        <v>654</v>
      </c>
      <c r="D747" s="1" t="s">
        <v>655</v>
      </c>
      <c r="E747" s="1">
        <v>66.3</v>
      </c>
      <c r="F747" s="1" t="s">
        <v>8</v>
      </c>
      <c r="G747" s="1" t="s">
        <v>9</v>
      </c>
      <c r="H747" s="1" t="s">
        <v>10</v>
      </c>
    </row>
    <row r="748" spans="1:8" x14ac:dyDescent="0.3">
      <c r="A748" s="1">
        <v>472</v>
      </c>
      <c r="B748" s="1" t="s">
        <v>576</v>
      </c>
      <c r="C748" s="1" t="s">
        <v>656</v>
      </c>
      <c r="D748" s="1" t="s">
        <v>657</v>
      </c>
      <c r="E748" s="1">
        <v>79.900000000000006</v>
      </c>
      <c r="F748" s="1" t="s">
        <v>8</v>
      </c>
      <c r="G748" s="1" t="s">
        <v>9</v>
      </c>
      <c r="H748" s="1" t="s">
        <v>10</v>
      </c>
    </row>
    <row r="749" spans="1:8" x14ac:dyDescent="0.3">
      <c r="A749" s="1">
        <v>472</v>
      </c>
      <c r="B749" s="1" t="s">
        <v>576</v>
      </c>
      <c r="C749" s="1" t="s">
        <v>658</v>
      </c>
      <c r="D749" s="1" t="s">
        <v>659</v>
      </c>
      <c r="E749" s="1">
        <v>44.91</v>
      </c>
      <c r="F749" s="1" t="s">
        <v>8</v>
      </c>
      <c r="G749" s="1" t="s">
        <v>9</v>
      </c>
      <c r="H749" s="1" t="s">
        <v>10</v>
      </c>
    </row>
    <row r="750" spans="1:8" x14ac:dyDescent="0.3">
      <c r="A750" s="1">
        <v>472</v>
      </c>
      <c r="B750" s="1" t="s">
        <v>576</v>
      </c>
      <c r="C750" s="1" t="s">
        <v>660</v>
      </c>
      <c r="D750" s="1" t="s">
        <v>661</v>
      </c>
      <c r="E750" s="1">
        <v>115.9</v>
      </c>
      <c r="F750" s="1" t="s">
        <v>8</v>
      </c>
      <c r="G750" s="1" t="s">
        <v>9</v>
      </c>
      <c r="H750" s="1" t="s">
        <v>10</v>
      </c>
    </row>
    <row r="751" spans="1:8" x14ac:dyDescent="0.3">
      <c r="A751" s="1">
        <v>472</v>
      </c>
      <c r="B751" s="1" t="s">
        <v>576</v>
      </c>
      <c r="C751" s="1" t="s">
        <v>662</v>
      </c>
      <c r="D751" s="1" t="s">
        <v>663</v>
      </c>
      <c r="E751" s="1">
        <v>129.9</v>
      </c>
      <c r="F751" s="1" t="s">
        <v>8</v>
      </c>
      <c r="G751" s="1" t="s">
        <v>9</v>
      </c>
      <c r="H751" s="1" t="s">
        <v>10</v>
      </c>
    </row>
    <row r="752" spans="1:8" x14ac:dyDescent="0.3">
      <c r="A752" s="1">
        <v>472</v>
      </c>
      <c r="B752" s="1" t="s">
        <v>576</v>
      </c>
      <c r="C752" s="1" t="s">
        <v>4698</v>
      </c>
      <c r="D752" s="1" t="s">
        <v>4699</v>
      </c>
      <c r="E752" s="1">
        <v>159.9</v>
      </c>
      <c r="F752" s="1" t="s">
        <v>8</v>
      </c>
      <c r="G752" s="1" t="s">
        <v>9</v>
      </c>
      <c r="H752" s="1" t="s">
        <v>10</v>
      </c>
    </row>
    <row r="753" spans="1:8" x14ac:dyDescent="0.3">
      <c r="A753" s="1">
        <v>472</v>
      </c>
      <c r="B753" s="1" t="s">
        <v>576</v>
      </c>
      <c r="C753" s="1" t="s">
        <v>4700</v>
      </c>
      <c r="D753" s="1" t="s">
        <v>4701</v>
      </c>
      <c r="E753" s="1">
        <v>199.9</v>
      </c>
      <c r="F753" s="1" t="s">
        <v>8</v>
      </c>
      <c r="G753" s="1" t="s">
        <v>9</v>
      </c>
      <c r="H753" s="1" t="s">
        <v>10</v>
      </c>
    </row>
    <row r="754" spans="1:8" x14ac:dyDescent="0.3">
      <c r="A754" s="1">
        <v>472</v>
      </c>
      <c r="B754" s="1" t="s">
        <v>576</v>
      </c>
      <c r="C754" s="1" t="s">
        <v>664</v>
      </c>
      <c r="D754" s="1" t="s">
        <v>665</v>
      </c>
      <c r="E754" s="1">
        <v>38.82</v>
      </c>
      <c r="F754" s="1" t="s">
        <v>8</v>
      </c>
      <c r="G754" s="1" t="s">
        <v>9</v>
      </c>
      <c r="H754" s="1" t="s">
        <v>10</v>
      </c>
    </row>
    <row r="755" spans="1:8" x14ac:dyDescent="0.3">
      <c r="A755" s="1">
        <v>472</v>
      </c>
      <c r="B755" s="1" t="s">
        <v>576</v>
      </c>
      <c r="C755" s="1" t="s">
        <v>666</v>
      </c>
      <c r="D755" s="1" t="s">
        <v>667</v>
      </c>
      <c r="E755" s="1">
        <v>289.89999999999998</v>
      </c>
      <c r="F755" s="1" t="s">
        <v>8</v>
      </c>
      <c r="G755" s="1" t="s">
        <v>9</v>
      </c>
      <c r="H755" s="1" t="s">
        <v>10</v>
      </c>
    </row>
    <row r="756" spans="1:8" x14ac:dyDescent="0.3">
      <c r="A756" s="1">
        <v>472</v>
      </c>
      <c r="B756" s="1" t="s">
        <v>576</v>
      </c>
      <c r="C756" s="1" t="s">
        <v>668</v>
      </c>
      <c r="D756" s="1" t="s">
        <v>669</v>
      </c>
      <c r="E756" s="1">
        <v>209.9</v>
      </c>
      <c r="F756" s="1" t="s">
        <v>8</v>
      </c>
      <c r="G756" s="1" t="s">
        <v>9</v>
      </c>
      <c r="H756" s="1" t="s">
        <v>10</v>
      </c>
    </row>
    <row r="757" spans="1:8" x14ac:dyDescent="0.3">
      <c r="A757" s="1">
        <v>472</v>
      </c>
      <c r="B757" s="1" t="s">
        <v>576</v>
      </c>
      <c r="C757" s="1" t="s">
        <v>670</v>
      </c>
      <c r="D757" s="1" t="s">
        <v>671</v>
      </c>
      <c r="E757" s="1">
        <v>329.9</v>
      </c>
      <c r="F757" s="1" t="s">
        <v>8</v>
      </c>
      <c r="G757" s="1" t="s">
        <v>9</v>
      </c>
      <c r="H757" s="1" t="s">
        <v>10</v>
      </c>
    </row>
    <row r="758" spans="1:8" x14ac:dyDescent="0.3">
      <c r="A758" s="1">
        <v>472</v>
      </c>
      <c r="B758" s="1" t="s">
        <v>576</v>
      </c>
      <c r="C758" s="1" t="s">
        <v>4702</v>
      </c>
      <c r="D758" s="1" t="s">
        <v>4703</v>
      </c>
      <c r="E758" s="1">
        <v>219.9</v>
      </c>
      <c r="F758" s="1" t="s">
        <v>8</v>
      </c>
      <c r="G758" s="1" t="s">
        <v>9</v>
      </c>
      <c r="H758" s="1" t="s">
        <v>10</v>
      </c>
    </row>
    <row r="759" spans="1:8" x14ac:dyDescent="0.3">
      <c r="A759" s="1">
        <v>472</v>
      </c>
      <c r="B759" s="1" t="s">
        <v>576</v>
      </c>
      <c r="C759" s="1" t="s">
        <v>4704</v>
      </c>
      <c r="D759" s="1" t="s">
        <v>4705</v>
      </c>
      <c r="E759" s="1">
        <v>179.9</v>
      </c>
      <c r="F759" s="1" t="s">
        <v>8</v>
      </c>
      <c r="G759" s="1" t="s">
        <v>9</v>
      </c>
      <c r="H759" s="1" t="s">
        <v>10</v>
      </c>
    </row>
    <row r="760" spans="1:8" x14ac:dyDescent="0.3">
      <c r="A760" s="1">
        <v>472</v>
      </c>
      <c r="B760" s="1" t="s">
        <v>576</v>
      </c>
      <c r="C760" s="1" t="s">
        <v>4706</v>
      </c>
      <c r="D760" s="1" t="s">
        <v>4707</v>
      </c>
      <c r="E760" s="1">
        <v>79.900000000000006</v>
      </c>
      <c r="F760" s="1" t="s">
        <v>8</v>
      </c>
      <c r="G760" s="1" t="s">
        <v>9</v>
      </c>
      <c r="H760" s="1" t="s">
        <v>10</v>
      </c>
    </row>
    <row r="761" spans="1:8" x14ac:dyDescent="0.3">
      <c r="A761" s="1">
        <v>472</v>
      </c>
      <c r="B761" s="1" t="s">
        <v>576</v>
      </c>
      <c r="C761" s="1" t="s">
        <v>4708</v>
      </c>
      <c r="D761" s="1" t="s">
        <v>4709</v>
      </c>
      <c r="E761" s="1">
        <v>289.89999999999998</v>
      </c>
      <c r="F761" s="1" t="s">
        <v>8</v>
      </c>
      <c r="G761" s="1" t="s">
        <v>9</v>
      </c>
      <c r="H761" s="1" t="s">
        <v>10</v>
      </c>
    </row>
    <row r="762" spans="1:8" x14ac:dyDescent="0.3">
      <c r="A762" s="1">
        <v>472</v>
      </c>
      <c r="B762" s="1" t="s">
        <v>576</v>
      </c>
      <c r="C762" s="1" t="s">
        <v>4710</v>
      </c>
      <c r="D762" s="1" t="s">
        <v>4711</v>
      </c>
      <c r="E762" s="1">
        <v>219.9</v>
      </c>
      <c r="F762" s="1" t="s">
        <v>8</v>
      </c>
      <c r="G762" s="1" t="s">
        <v>9</v>
      </c>
      <c r="H762" s="1" t="s">
        <v>10</v>
      </c>
    </row>
    <row r="763" spans="1:8" x14ac:dyDescent="0.3">
      <c r="A763" s="1">
        <v>482</v>
      </c>
      <c r="B763" s="1" t="s">
        <v>672</v>
      </c>
      <c r="C763" s="1" t="s">
        <v>673</v>
      </c>
      <c r="D763" s="1" t="s">
        <v>674</v>
      </c>
      <c r="E763" s="1">
        <v>34.26</v>
      </c>
      <c r="F763" s="1" t="s">
        <v>8</v>
      </c>
      <c r="G763" s="1" t="s">
        <v>9</v>
      </c>
      <c r="H763" s="1" t="s">
        <v>10</v>
      </c>
    </row>
    <row r="764" spans="1:8" x14ac:dyDescent="0.3">
      <c r="A764" s="1">
        <v>482</v>
      </c>
      <c r="B764" s="1" t="s">
        <v>672</v>
      </c>
      <c r="C764" s="1" t="s">
        <v>675</v>
      </c>
      <c r="D764" s="1" t="s">
        <v>676</v>
      </c>
      <c r="E764" s="1">
        <v>29.9</v>
      </c>
      <c r="F764" s="1" t="s">
        <v>8</v>
      </c>
      <c r="G764" s="1" t="s">
        <v>9</v>
      </c>
      <c r="H764" s="1" t="s">
        <v>10</v>
      </c>
    </row>
    <row r="765" spans="1:8" x14ac:dyDescent="0.3">
      <c r="A765" s="1">
        <v>482</v>
      </c>
      <c r="B765" s="1" t="s">
        <v>672</v>
      </c>
      <c r="C765" s="1" t="s">
        <v>677</v>
      </c>
      <c r="D765" s="1" t="s">
        <v>678</v>
      </c>
      <c r="E765" s="1">
        <v>349</v>
      </c>
      <c r="F765" s="1" t="s">
        <v>8</v>
      </c>
      <c r="G765" s="1" t="s">
        <v>13</v>
      </c>
      <c r="H765" s="1" t="s">
        <v>10</v>
      </c>
    </row>
    <row r="766" spans="1:8" x14ac:dyDescent="0.3">
      <c r="A766" s="1">
        <v>482</v>
      </c>
      <c r="B766" s="1" t="s">
        <v>672</v>
      </c>
      <c r="C766" s="1" t="s">
        <v>679</v>
      </c>
      <c r="D766" s="1" t="s">
        <v>680</v>
      </c>
      <c r="E766" s="1">
        <v>40.68</v>
      </c>
      <c r="F766" s="1" t="s">
        <v>8</v>
      </c>
      <c r="G766" s="1" t="s">
        <v>9</v>
      </c>
      <c r="H766" s="1" t="s">
        <v>10</v>
      </c>
    </row>
    <row r="767" spans="1:8" x14ac:dyDescent="0.3">
      <c r="A767" s="1">
        <v>482</v>
      </c>
      <c r="B767" s="1" t="s">
        <v>672</v>
      </c>
      <c r="C767" s="1" t="s">
        <v>681</v>
      </c>
      <c r="D767" s="1" t="s">
        <v>682</v>
      </c>
      <c r="E767" s="1">
        <v>32.99</v>
      </c>
      <c r="F767" s="1" t="s">
        <v>8</v>
      </c>
      <c r="G767" s="1" t="s">
        <v>9</v>
      </c>
      <c r="H767" s="1" t="s">
        <v>10</v>
      </c>
    </row>
    <row r="768" spans="1:8" x14ac:dyDescent="0.3">
      <c r="A768" s="1">
        <v>482</v>
      </c>
      <c r="B768" s="1" t="s">
        <v>672</v>
      </c>
      <c r="C768" s="1" t="s">
        <v>683</v>
      </c>
      <c r="D768" s="1" t="s">
        <v>684</v>
      </c>
      <c r="E768" s="1">
        <v>75.98</v>
      </c>
      <c r="F768" s="1" t="s">
        <v>8</v>
      </c>
      <c r="G768" s="1" t="s">
        <v>9</v>
      </c>
      <c r="H768" s="1" t="s">
        <v>10</v>
      </c>
    </row>
    <row r="769" spans="1:8" x14ac:dyDescent="0.3">
      <c r="A769" s="1">
        <v>482</v>
      </c>
      <c r="B769" s="1" t="s">
        <v>672</v>
      </c>
      <c r="C769" s="1" t="s">
        <v>685</v>
      </c>
      <c r="D769" s="1" t="s">
        <v>686</v>
      </c>
      <c r="E769" s="1">
        <v>38.9</v>
      </c>
      <c r="F769" s="1" t="s">
        <v>8</v>
      </c>
      <c r="G769" s="1" t="s">
        <v>9</v>
      </c>
      <c r="H769" s="1" t="s">
        <v>10</v>
      </c>
    </row>
    <row r="770" spans="1:8" x14ac:dyDescent="0.3">
      <c r="A770" s="1">
        <v>482</v>
      </c>
      <c r="B770" s="1" t="s">
        <v>672</v>
      </c>
      <c r="C770" s="1" t="s">
        <v>687</v>
      </c>
      <c r="D770" s="1" t="s">
        <v>688</v>
      </c>
      <c r="E770" s="1">
        <v>60</v>
      </c>
      <c r="F770" s="1" t="s">
        <v>8</v>
      </c>
      <c r="G770" s="1" t="s">
        <v>9</v>
      </c>
      <c r="H770" s="1" t="s">
        <v>10</v>
      </c>
    </row>
    <row r="771" spans="1:8" x14ac:dyDescent="0.3">
      <c r="A771" s="1">
        <v>482</v>
      </c>
      <c r="B771" s="1" t="s">
        <v>672</v>
      </c>
      <c r="C771" s="1" t="s">
        <v>689</v>
      </c>
      <c r="D771" s="1" t="s">
        <v>690</v>
      </c>
      <c r="E771" s="1">
        <v>38.9</v>
      </c>
      <c r="F771" s="1" t="s">
        <v>8</v>
      </c>
      <c r="G771" s="1" t="s">
        <v>9</v>
      </c>
      <c r="H771" s="1" t="s">
        <v>10</v>
      </c>
    </row>
    <row r="772" spans="1:8" x14ac:dyDescent="0.3">
      <c r="A772" s="1">
        <v>482</v>
      </c>
      <c r="B772" s="1" t="s">
        <v>672</v>
      </c>
      <c r="C772" s="1" t="s">
        <v>691</v>
      </c>
      <c r="D772" s="1" t="s">
        <v>692</v>
      </c>
      <c r="E772" s="1">
        <v>2619.96</v>
      </c>
      <c r="F772" s="1" t="s">
        <v>8</v>
      </c>
      <c r="G772" s="1" t="s">
        <v>13</v>
      </c>
      <c r="H772" s="1" t="s">
        <v>10</v>
      </c>
    </row>
    <row r="773" spans="1:8" x14ac:dyDescent="0.3">
      <c r="A773" s="1">
        <v>482</v>
      </c>
      <c r="B773" s="1" t="s">
        <v>672</v>
      </c>
      <c r="C773" s="1" t="s">
        <v>693</v>
      </c>
      <c r="D773" s="1" t="s">
        <v>694</v>
      </c>
      <c r="E773" s="1">
        <v>69.900000000000006</v>
      </c>
      <c r="F773" s="1" t="s">
        <v>8</v>
      </c>
      <c r="G773" s="1" t="s">
        <v>9</v>
      </c>
      <c r="H773" s="1" t="s">
        <v>10</v>
      </c>
    </row>
    <row r="774" spans="1:8" x14ac:dyDescent="0.3">
      <c r="A774" s="1">
        <v>482</v>
      </c>
      <c r="B774" s="1" t="s">
        <v>672</v>
      </c>
      <c r="C774" s="1" t="s">
        <v>695</v>
      </c>
      <c r="D774" s="1" t="s">
        <v>696</v>
      </c>
      <c r="E774" s="1">
        <v>61.06</v>
      </c>
      <c r="F774" s="1" t="s">
        <v>8</v>
      </c>
      <c r="G774" s="1" t="s">
        <v>9</v>
      </c>
      <c r="H774" s="1" t="s">
        <v>10</v>
      </c>
    </row>
    <row r="775" spans="1:8" x14ac:dyDescent="0.3">
      <c r="A775" s="1">
        <v>482</v>
      </c>
      <c r="B775" s="1" t="s">
        <v>672</v>
      </c>
      <c r="C775" s="1" t="s">
        <v>697</v>
      </c>
      <c r="D775" s="1" t="s">
        <v>698</v>
      </c>
      <c r="E775" s="1">
        <v>30.49</v>
      </c>
      <c r="F775" s="1" t="s">
        <v>8</v>
      </c>
      <c r="G775" s="1" t="s">
        <v>9</v>
      </c>
      <c r="H775" s="1" t="s">
        <v>10</v>
      </c>
    </row>
    <row r="776" spans="1:8" x14ac:dyDescent="0.3">
      <c r="A776" s="1">
        <v>482</v>
      </c>
      <c r="B776" s="1" t="s">
        <v>672</v>
      </c>
      <c r="C776" s="1" t="s">
        <v>699</v>
      </c>
      <c r="D776" s="1" t="s">
        <v>700</v>
      </c>
      <c r="E776" s="1">
        <v>38.6</v>
      </c>
      <c r="F776" s="1" t="s">
        <v>8</v>
      </c>
      <c r="G776" s="1" t="s">
        <v>9</v>
      </c>
      <c r="H776" s="1" t="s">
        <v>10</v>
      </c>
    </row>
    <row r="777" spans="1:8" x14ac:dyDescent="0.3">
      <c r="A777" s="1">
        <v>482</v>
      </c>
      <c r="B777" s="1" t="s">
        <v>672</v>
      </c>
      <c r="C777" s="1" t="s">
        <v>701</v>
      </c>
      <c r="D777" s="1" t="s">
        <v>702</v>
      </c>
      <c r="E777" s="1">
        <v>518.95000000000005</v>
      </c>
      <c r="F777" s="1" t="s">
        <v>8</v>
      </c>
      <c r="G777" s="1" t="s">
        <v>9</v>
      </c>
      <c r="H777" s="1" t="s">
        <v>10</v>
      </c>
    </row>
    <row r="778" spans="1:8" x14ac:dyDescent="0.3">
      <c r="A778" s="1">
        <v>482</v>
      </c>
      <c r="B778" s="1" t="s">
        <v>672</v>
      </c>
      <c r="C778" s="1" t="s">
        <v>703</v>
      </c>
      <c r="D778" s="1" t="s">
        <v>704</v>
      </c>
      <c r="E778" s="1">
        <v>37.020000000000003</v>
      </c>
      <c r="F778" s="1" t="s">
        <v>8</v>
      </c>
      <c r="G778" s="1" t="s">
        <v>9</v>
      </c>
      <c r="H778" s="1" t="s">
        <v>10</v>
      </c>
    </row>
    <row r="779" spans="1:8" x14ac:dyDescent="0.3">
      <c r="A779" s="1">
        <v>482</v>
      </c>
      <c r="B779" s="1" t="s">
        <v>672</v>
      </c>
      <c r="C779" s="1" t="s">
        <v>705</v>
      </c>
      <c r="D779" s="1" t="s">
        <v>706</v>
      </c>
      <c r="E779" s="1">
        <v>58.14</v>
      </c>
      <c r="F779" s="1" t="s">
        <v>8</v>
      </c>
      <c r="G779" s="1" t="s">
        <v>9</v>
      </c>
      <c r="H779" s="1" t="s">
        <v>10</v>
      </c>
    </row>
    <row r="780" spans="1:8" x14ac:dyDescent="0.3">
      <c r="A780" s="1">
        <v>482</v>
      </c>
      <c r="B780" s="1" t="s">
        <v>672</v>
      </c>
      <c r="C780" s="1" t="s">
        <v>707</v>
      </c>
      <c r="D780" s="1" t="s">
        <v>708</v>
      </c>
      <c r="E780" s="1">
        <v>63.97</v>
      </c>
      <c r="F780" s="1" t="s">
        <v>8</v>
      </c>
      <c r="G780" s="1" t="s">
        <v>9</v>
      </c>
      <c r="H780" s="1" t="s">
        <v>10</v>
      </c>
    </row>
    <row r="781" spans="1:8" x14ac:dyDescent="0.3">
      <c r="A781" s="1">
        <v>482</v>
      </c>
      <c r="B781" s="1" t="s">
        <v>672</v>
      </c>
      <c r="C781" s="1" t="s">
        <v>709</v>
      </c>
      <c r="D781" s="1" t="s">
        <v>710</v>
      </c>
      <c r="E781" s="1">
        <v>63.97</v>
      </c>
      <c r="F781" s="1" t="s">
        <v>8</v>
      </c>
      <c r="G781" s="1" t="s">
        <v>9</v>
      </c>
      <c r="H781" s="1" t="s">
        <v>10</v>
      </c>
    </row>
    <row r="782" spans="1:8" x14ac:dyDescent="0.3">
      <c r="A782" s="1">
        <v>482</v>
      </c>
      <c r="B782" s="1" t="s">
        <v>672</v>
      </c>
      <c r="C782" s="1" t="s">
        <v>711</v>
      </c>
      <c r="D782" s="1" t="s">
        <v>712</v>
      </c>
      <c r="E782" s="1">
        <v>38.6</v>
      </c>
      <c r="F782" s="1" t="s">
        <v>8</v>
      </c>
      <c r="G782" s="1" t="s">
        <v>9</v>
      </c>
      <c r="H782" s="1" t="s">
        <v>10</v>
      </c>
    </row>
    <row r="783" spans="1:8" x14ac:dyDescent="0.3">
      <c r="A783" s="1">
        <v>482</v>
      </c>
      <c r="B783" s="1" t="s">
        <v>672</v>
      </c>
      <c r="C783" s="1" t="s">
        <v>713</v>
      </c>
      <c r="D783" s="1" t="s">
        <v>714</v>
      </c>
      <c r="E783" s="1">
        <v>701.73</v>
      </c>
      <c r="F783" s="1" t="s">
        <v>8</v>
      </c>
      <c r="G783" s="1" t="s">
        <v>9</v>
      </c>
      <c r="H783" s="1" t="s">
        <v>10</v>
      </c>
    </row>
    <row r="784" spans="1:8" x14ac:dyDescent="0.3">
      <c r="A784" s="1">
        <v>482</v>
      </c>
      <c r="B784" s="1" t="s">
        <v>672</v>
      </c>
      <c r="C784" s="1" t="s">
        <v>715</v>
      </c>
      <c r="D784" s="1" t="s">
        <v>716</v>
      </c>
      <c r="E784" s="1">
        <v>177.9</v>
      </c>
      <c r="F784" s="1" t="s">
        <v>8</v>
      </c>
      <c r="G784" s="1" t="s">
        <v>9</v>
      </c>
      <c r="H784" s="1" t="s">
        <v>10</v>
      </c>
    </row>
    <row r="785" spans="1:8" x14ac:dyDescent="0.3">
      <c r="A785" s="1">
        <v>482</v>
      </c>
      <c r="B785" s="1" t="s">
        <v>672</v>
      </c>
      <c r="C785" s="1" t="s">
        <v>717</v>
      </c>
      <c r="D785" s="1" t="s">
        <v>718</v>
      </c>
      <c r="E785" s="1">
        <v>559.37</v>
      </c>
      <c r="F785" s="1" t="s">
        <v>8</v>
      </c>
      <c r="G785" s="1" t="s">
        <v>9</v>
      </c>
      <c r="H785" s="1" t="s">
        <v>10</v>
      </c>
    </row>
    <row r="786" spans="1:8" x14ac:dyDescent="0.3">
      <c r="A786" s="1">
        <v>482</v>
      </c>
      <c r="B786" s="1" t="s">
        <v>672</v>
      </c>
      <c r="C786" s="1" t="s">
        <v>719</v>
      </c>
      <c r="D786" s="1" t="s">
        <v>720</v>
      </c>
      <c r="E786" s="1">
        <v>289.89999999999998</v>
      </c>
      <c r="F786" s="1" t="s">
        <v>8</v>
      </c>
      <c r="G786" s="1" t="s">
        <v>9</v>
      </c>
      <c r="H786" s="1" t="s">
        <v>10</v>
      </c>
    </row>
    <row r="787" spans="1:8" x14ac:dyDescent="0.3">
      <c r="A787" s="1">
        <v>482</v>
      </c>
      <c r="B787" s="1" t="s">
        <v>672</v>
      </c>
      <c r="C787" s="1" t="s">
        <v>721</v>
      </c>
      <c r="D787" s="1" t="s">
        <v>722</v>
      </c>
      <c r="E787" s="1">
        <v>79.900000000000006</v>
      </c>
      <c r="F787" s="1" t="s">
        <v>8</v>
      </c>
      <c r="G787" s="1" t="s">
        <v>9</v>
      </c>
      <c r="H787" s="1" t="s">
        <v>10</v>
      </c>
    </row>
    <row r="788" spans="1:8" x14ac:dyDescent="0.3">
      <c r="A788" s="1">
        <v>482</v>
      </c>
      <c r="B788" s="1" t="s">
        <v>672</v>
      </c>
      <c r="C788" s="1" t="s">
        <v>723</v>
      </c>
      <c r="D788" s="1" t="s">
        <v>724</v>
      </c>
      <c r="E788" s="1">
        <v>47.97</v>
      </c>
      <c r="F788" s="1" t="s">
        <v>8</v>
      </c>
      <c r="G788" s="1" t="s">
        <v>9</v>
      </c>
      <c r="H788" s="1" t="s">
        <v>10</v>
      </c>
    </row>
    <row r="789" spans="1:8" x14ac:dyDescent="0.3">
      <c r="A789" s="1">
        <v>482</v>
      </c>
      <c r="B789" s="1" t="s">
        <v>672</v>
      </c>
      <c r="C789" s="1" t="s">
        <v>725</v>
      </c>
      <c r="D789" s="1" t="s">
        <v>726</v>
      </c>
      <c r="E789" s="1">
        <v>82.97</v>
      </c>
      <c r="F789" s="1" t="s">
        <v>8</v>
      </c>
      <c r="G789" s="1" t="s">
        <v>9</v>
      </c>
      <c r="H789" s="1" t="s">
        <v>10</v>
      </c>
    </row>
    <row r="790" spans="1:8" x14ac:dyDescent="0.3">
      <c r="A790" s="1">
        <v>482</v>
      </c>
      <c r="B790" s="1" t="s">
        <v>672</v>
      </c>
      <c r="C790" s="1" t="s">
        <v>727</v>
      </c>
      <c r="D790" s="1" t="s">
        <v>728</v>
      </c>
      <c r="E790" s="1">
        <v>336</v>
      </c>
      <c r="F790" s="1" t="s">
        <v>8</v>
      </c>
      <c r="G790" s="1" t="s">
        <v>9</v>
      </c>
      <c r="H790" s="1" t="s">
        <v>10</v>
      </c>
    </row>
    <row r="791" spans="1:8" x14ac:dyDescent="0.3">
      <c r="A791" s="1">
        <v>482</v>
      </c>
      <c r="B791" s="1" t="s">
        <v>672</v>
      </c>
      <c r="C791" s="1" t="s">
        <v>729</v>
      </c>
      <c r="D791" s="1" t="s">
        <v>730</v>
      </c>
      <c r="E791" s="1">
        <v>288.95</v>
      </c>
      <c r="F791" s="1" t="s">
        <v>8</v>
      </c>
      <c r="G791" s="1" t="s">
        <v>13</v>
      </c>
      <c r="H791" s="1" t="s">
        <v>10</v>
      </c>
    </row>
    <row r="792" spans="1:8" x14ac:dyDescent="0.3">
      <c r="A792" s="1">
        <v>482</v>
      </c>
      <c r="B792" s="1" t="s">
        <v>672</v>
      </c>
      <c r="C792" s="1" t="s">
        <v>731</v>
      </c>
      <c r="D792" s="1" t="s">
        <v>732</v>
      </c>
      <c r="E792" s="1">
        <v>37.020000000000003</v>
      </c>
      <c r="F792" s="1" t="s">
        <v>8</v>
      </c>
      <c r="G792" s="1" t="s">
        <v>9</v>
      </c>
      <c r="H792" s="1" t="s">
        <v>10</v>
      </c>
    </row>
    <row r="793" spans="1:8" x14ac:dyDescent="0.3">
      <c r="A793" s="1">
        <v>482</v>
      </c>
      <c r="B793" s="1" t="s">
        <v>672</v>
      </c>
      <c r="C793" s="1" t="s">
        <v>733</v>
      </c>
      <c r="D793" s="1" t="s">
        <v>734</v>
      </c>
      <c r="E793" s="1">
        <v>38.9</v>
      </c>
      <c r="F793" s="1" t="s">
        <v>8</v>
      </c>
      <c r="G793" s="1" t="s">
        <v>9</v>
      </c>
      <c r="H793" s="1" t="s">
        <v>10</v>
      </c>
    </row>
    <row r="794" spans="1:8" x14ac:dyDescent="0.3">
      <c r="A794" s="1">
        <v>482</v>
      </c>
      <c r="B794" s="1" t="s">
        <v>672</v>
      </c>
      <c r="C794" s="1" t="s">
        <v>735</v>
      </c>
      <c r="D794" s="1" t="s">
        <v>736</v>
      </c>
      <c r="E794" s="1">
        <v>9.9</v>
      </c>
      <c r="F794" s="1" t="s">
        <v>8</v>
      </c>
      <c r="G794" s="1" t="s">
        <v>9</v>
      </c>
      <c r="H794" s="1" t="s">
        <v>10</v>
      </c>
    </row>
    <row r="795" spans="1:8" x14ac:dyDescent="0.3">
      <c r="A795" s="1">
        <v>482</v>
      </c>
      <c r="B795" s="1" t="s">
        <v>672</v>
      </c>
      <c r="C795" s="1" t="s">
        <v>737</v>
      </c>
      <c r="D795" s="1" t="s">
        <v>738</v>
      </c>
      <c r="E795" s="1">
        <v>208</v>
      </c>
      <c r="F795" s="1" t="s">
        <v>8</v>
      </c>
      <c r="G795" s="1" t="s">
        <v>9</v>
      </c>
      <c r="H795" s="1" t="s">
        <v>10</v>
      </c>
    </row>
    <row r="796" spans="1:8" x14ac:dyDescent="0.3">
      <c r="A796" s="1">
        <v>482</v>
      </c>
      <c r="B796" s="1" t="s">
        <v>672</v>
      </c>
      <c r="C796" s="1" t="s">
        <v>739</v>
      </c>
      <c r="D796" s="1" t="s">
        <v>740</v>
      </c>
      <c r="E796" s="1">
        <v>780</v>
      </c>
      <c r="F796" s="1" t="s">
        <v>8</v>
      </c>
      <c r="G796" s="1" t="s">
        <v>13</v>
      </c>
      <c r="H796" s="1" t="s">
        <v>10</v>
      </c>
    </row>
    <row r="797" spans="1:8" x14ac:dyDescent="0.3">
      <c r="A797" s="1">
        <v>482</v>
      </c>
      <c r="B797" s="1" t="s">
        <v>672</v>
      </c>
      <c r="C797" s="1" t="s">
        <v>741</v>
      </c>
      <c r="D797" s="1" t="s">
        <v>742</v>
      </c>
      <c r="E797" s="1">
        <v>66.3</v>
      </c>
      <c r="F797" s="1" t="s">
        <v>8</v>
      </c>
      <c r="G797" s="1" t="s">
        <v>9</v>
      </c>
      <c r="H797" s="1" t="s">
        <v>10</v>
      </c>
    </row>
    <row r="798" spans="1:8" x14ac:dyDescent="0.3">
      <c r="A798" s="1">
        <v>482</v>
      </c>
      <c r="B798" s="1" t="s">
        <v>672</v>
      </c>
      <c r="C798" s="1" t="s">
        <v>743</v>
      </c>
      <c r="D798" s="1" t="s">
        <v>744</v>
      </c>
      <c r="E798" s="1">
        <v>525.95000000000005</v>
      </c>
      <c r="F798" s="1" t="s">
        <v>8</v>
      </c>
      <c r="G798" s="1" t="s">
        <v>13</v>
      </c>
      <c r="H798" s="1" t="s">
        <v>10</v>
      </c>
    </row>
    <row r="799" spans="1:8" x14ac:dyDescent="0.3">
      <c r="A799" s="1">
        <v>482</v>
      </c>
      <c r="B799" s="1" t="s">
        <v>672</v>
      </c>
      <c r="C799" s="1" t="s">
        <v>745</v>
      </c>
      <c r="D799" s="1" t="s">
        <v>746</v>
      </c>
      <c r="E799" s="1">
        <v>35.15</v>
      </c>
      <c r="F799" s="1" t="s">
        <v>8</v>
      </c>
      <c r="G799" s="1" t="s">
        <v>9</v>
      </c>
      <c r="H799" s="1" t="s">
        <v>10</v>
      </c>
    </row>
    <row r="800" spans="1:8" x14ac:dyDescent="0.3">
      <c r="A800" s="1">
        <v>482</v>
      </c>
      <c r="B800" s="1" t="s">
        <v>672</v>
      </c>
      <c r="C800" s="1" t="s">
        <v>747</v>
      </c>
      <c r="D800" s="1" t="s">
        <v>748</v>
      </c>
      <c r="E800" s="1">
        <v>38.86</v>
      </c>
      <c r="F800" s="1" t="s">
        <v>8</v>
      </c>
      <c r="G800" s="1" t="s">
        <v>9</v>
      </c>
      <c r="H800" s="1" t="s">
        <v>10</v>
      </c>
    </row>
    <row r="801" spans="1:8" x14ac:dyDescent="0.3">
      <c r="A801" s="1">
        <v>482</v>
      </c>
      <c r="B801" s="1" t="s">
        <v>672</v>
      </c>
      <c r="C801" s="1" t="s">
        <v>749</v>
      </c>
      <c r="D801" s="1" t="s">
        <v>750</v>
      </c>
      <c r="E801" s="1">
        <v>259.89999999999998</v>
      </c>
      <c r="F801" s="1" t="s">
        <v>8</v>
      </c>
      <c r="G801" s="1" t="s">
        <v>9</v>
      </c>
      <c r="H801" s="1" t="s">
        <v>10</v>
      </c>
    </row>
    <row r="802" spans="1:8" x14ac:dyDescent="0.3">
      <c r="A802" s="1">
        <v>482</v>
      </c>
      <c r="B802" s="1" t="s">
        <v>672</v>
      </c>
      <c r="C802" s="1" t="s">
        <v>751</v>
      </c>
      <c r="D802" s="1" t="s">
        <v>752</v>
      </c>
      <c r="E802" s="1">
        <v>69.900000000000006</v>
      </c>
      <c r="F802" s="1" t="s">
        <v>8</v>
      </c>
      <c r="G802" s="1" t="s">
        <v>9</v>
      </c>
      <c r="H802" s="1" t="s">
        <v>10</v>
      </c>
    </row>
    <row r="803" spans="1:8" x14ac:dyDescent="0.3">
      <c r="A803" s="1">
        <v>482</v>
      </c>
      <c r="B803" s="1" t="s">
        <v>672</v>
      </c>
      <c r="C803" s="1" t="s">
        <v>753</v>
      </c>
      <c r="D803" s="1" t="s">
        <v>754</v>
      </c>
      <c r="E803" s="1">
        <v>93.96</v>
      </c>
      <c r="F803" s="1" t="s">
        <v>8</v>
      </c>
      <c r="G803" s="1" t="s">
        <v>9</v>
      </c>
      <c r="H803" s="1" t="s">
        <v>10</v>
      </c>
    </row>
    <row r="804" spans="1:8" x14ac:dyDescent="0.3">
      <c r="A804" s="1">
        <v>482</v>
      </c>
      <c r="B804" s="1" t="s">
        <v>672</v>
      </c>
      <c r="C804" s="1" t="s">
        <v>755</v>
      </c>
      <c r="D804" s="1" t="s">
        <v>756</v>
      </c>
      <c r="E804" s="1">
        <v>489.8</v>
      </c>
      <c r="F804" s="1" t="s">
        <v>8</v>
      </c>
      <c r="G804" s="1" t="s">
        <v>9</v>
      </c>
      <c r="H804" s="1" t="s">
        <v>10</v>
      </c>
    </row>
    <row r="805" spans="1:8" x14ac:dyDescent="0.3">
      <c r="A805" s="1">
        <v>482</v>
      </c>
      <c r="B805" s="1" t="s">
        <v>672</v>
      </c>
      <c r="C805" s="1" t="s">
        <v>757</v>
      </c>
      <c r="D805" s="1" t="s">
        <v>758</v>
      </c>
      <c r="E805" s="1">
        <v>2700</v>
      </c>
      <c r="F805" s="1" t="s">
        <v>8</v>
      </c>
      <c r="G805" s="1" t="s">
        <v>9</v>
      </c>
      <c r="H805" s="1" t="s">
        <v>10</v>
      </c>
    </row>
    <row r="806" spans="1:8" x14ac:dyDescent="0.3">
      <c r="A806" s="1">
        <v>482</v>
      </c>
      <c r="B806" s="1" t="s">
        <v>672</v>
      </c>
      <c r="C806" s="1" t="s">
        <v>759</v>
      </c>
      <c r="D806" s="1" t="s">
        <v>760</v>
      </c>
      <c r="E806" s="1">
        <v>40.68</v>
      </c>
      <c r="F806" s="1" t="s">
        <v>8</v>
      </c>
      <c r="G806" s="1" t="s">
        <v>9</v>
      </c>
      <c r="H806" s="1" t="s">
        <v>10</v>
      </c>
    </row>
    <row r="807" spans="1:8" x14ac:dyDescent="0.3">
      <c r="A807" s="1">
        <v>482</v>
      </c>
      <c r="B807" s="1" t="s">
        <v>672</v>
      </c>
      <c r="C807" s="1" t="s">
        <v>761</v>
      </c>
      <c r="D807" s="1" t="s">
        <v>762</v>
      </c>
      <c r="E807" s="1">
        <v>69.790000000000006</v>
      </c>
      <c r="F807" s="1" t="s">
        <v>8</v>
      </c>
      <c r="G807" s="1" t="s">
        <v>9</v>
      </c>
      <c r="H807" s="1" t="s">
        <v>10</v>
      </c>
    </row>
    <row r="808" spans="1:8" x14ac:dyDescent="0.3">
      <c r="A808" s="1">
        <v>482</v>
      </c>
      <c r="B808" s="1" t="s">
        <v>672</v>
      </c>
      <c r="C808" s="1" t="s">
        <v>763</v>
      </c>
      <c r="D808" s="1" t="s">
        <v>764</v>
      </c>
      <c r="E808" s="1">
        <v>40.68</v>
      </c>
      <c r="F808" s="1" t="s">
        <v>8</v>
      </c>
      <c r="G808" s="1" t="s">
        <v>9</v>
      </c>
      <c r="H808" s="1" t="s">
        <v>10</v>
      </c>
    </row>
    <row r="809" spans="1:8" x14ac:dyDescent="0.3">
      <c r="A809" s="1">
        <v>482</v>
      </c>
      <c r="B809" s="1" t="s">
        <v>672</v>
      </c>
      <c r="C809" s="1" t="s">
        <v>765</v>
      </c>
      <c r="D809" s="1" t="s">
        <v>766</v>
      </c>
      <c r="E809" s="1">
        <v>64.62</v>
      </c>
      <c r="F809" s="1" t="s">
        <v>8</v>
      </c>
      <c r="G809" s="1" t="s">
        <v>9</v>
      </c>
      <c r="H809" s="1" t="s">
        <v>10</v>
      </c>
    </row>
    <row r="810" spans="1:8" x14ac:dyDescent="0.3">
      <c r="A810" s="1">
        <v>482</v>
      </c>
      <c r="B810" s="1" t="s">
        <v>672</v>
      </c>
      <c r="C810" s="1" t="s">
        <v>767</v>
      </c>
      <c r="D810" s="1" t="s">
        <v>768</v>
      </c>
      <c r="E810" s="1">
        <v>38.9</v>
      </c>
      <c r="F810" s="1" t="s">
        <v>8</v>
      </c>
      <c r="G810" s="1" t="s">
        <v>9</v>
      </c>
      <c r="H810" s="1" t="s">
        <v>10</v>
      </c>
    </row>
    <row r="811" spans="1:8" x14ac:dyDescent="0.3">
      <c r="A811" s="1">
        <v>482</v>
      </c>
      <c r="B811" s="1" t="s">
        <v>672</v>
      </c>
      <c r="C811" s="1" t="s">
        <v>769</v>
      </c>
      <c r="D811" s="1" t="s">
        <v>770</v>
      </c>
      <c r="E811" s="1">
        <v>80.290000000000006</v>
      </c>
      <c r="F811" s="1" t="s">
        <v>8</v>
      </c>
      <c r="G811" s="1" t="s">
        <v>9</v>
      </c>
      <c r="H811" s="1" t="s">
        <v>10</v>
      </c>
    </row>
    <row r="812" spans="1:8" x14ac:dyDescent="0.3">
      <c r="A812" s="1">
        <v>482</v>
      </c>
      <c r="B812" s="1" t="s">
        <v>672</v>
      </c>
      <c r="C812" s="1" t="s">
        <v>771</v>
      </c>
      <c r="D812" s="1" t="s">
        <v>772</v>
      </c>
      <c r="E812" s="1">
        <v>4.5</v>
      </c>
      <c r="F812" s="1" t="s">
        <v>8</v>
      </c>
      <c r="G812" s="1" t="s">
        <v>9</v>
      </c>
      <c r="H812" s="1" t="s">
        <v>10</v>
      </c>
    </row>
    <row r="813" spans="1:8" x14ac:dyDescent="0.3">
      <c r="A813" s="1">
        <v>482</v>
      </c>
      <c r="B813" s="1" t="s">
        <v>672</v>
      </c>
      <c r="C813" s="1" t="s">
        <v>773</v>
      </c>
      <c r="D813" s="1" t="s">
        <v>774</v>
      </c>
      <c r="E813" s="1">
        <v>29.9</v>
      </c>
      <c r="F813" s="1" t="s">
        <v>8</v>
      </c>
      <c r="G813" s="1" t="s">
        <v>9</v>
      </c>
      <c r="H813" s="1" t="s">
        <v>10</v>
      </c>
    </row>
    <row r="814" spans="1:8" x14ac:dyDescent="0.3">
      <c r="A814" s="1">
        <v>482</v>
      </c>
      <c r="B814" s="1" t="s">
        <v>672</v>
      </c>
      <c r="C814" s="1" t="s">
        <v>775</v>
      </c>
      <c r="D814" s="1" t="s">
        <v>776</v>
      </c>
      <c r="E814" s="1">
        <v>38.6</v>
      </c>
      <c r="F814" s="1" t="s">
        <v>8</v>
      </c>
      <c r="G814" s="1" t="s">
        <v>9</v>
      </c>
      <c r="H814" s="1" t="s">
        <v>10</v>
      </c>
    </row>
    <row r="815" spans="1:8" x14ac:dyDescent="0.3">
      <c r="A815" s="1">
        <v>482</v>
      </c>
      <c r="B815" s="1" t="s">
        <v>672</v>
      </c>
      <c r="C815" s="1" t="s">
        <v>777</v>
      </c>
      <c r="D815" s="1" t="s">
        <v>778</v>
      </c>
      <c r="E815" s="1">
        <v>75.55</v>
      </c>
      <c r="F815" s="1" t="s">
        <v>8</v>
      </c>
      <c r="G815" s="1" t="s">
        <v>9</v>
      </c>
      <c r="H815" s="1" t="s">
        <v>10</v>
      </c>
    </row>
    <row r="816" spans="1:8" x14ac:dyDescent="0.3">
      <c r="A816" s="1">
        <v>482</v>
      </c>
      <c r="B816" s="1" t="s">
        <v>672</v>
      </c>
      <c r="C816" s="1" t="s">
        <v>779</v>
      </c>
      <c r="D816" s="1" t="s">
        <v>780</v>
      </c>
      <c r="E816" s="1">
        <v>239.8</v>
      </c>
      <c r="F816" s="1" t="s">
        <v>8</v>
      </c>
      <c r="G816" s="1" t="s">
        <v>9</v>
      </c>
      <c r="H816" s="1" t="s">
        <v>10</v>
      </c>
    </row>
    <row r="817" spans="1:8" x14ac:dyDescent="0.3">
      <c r="A817" s="1">
        <v>482</v>
      </c>
      <c r="B817" s="1" t="s">
        <v>672</v>
      </c>
      <c r="C817" s="1" t="s">
        <v>781</v>
      </c>
      <c r="D817" s="1" t="s">
        <v>782</v>
      </c>
      <c r="E817" s="1">
        <v>33.96</v>
      </c>
      <c r="F817" s="1" t="s">
        <v>8</v>
      </c>
      <c r="G817" s="1" t="s">
        <v>9</v>
      </c>
      <c r="H817" s="1" t="s">
        <v>10</v>
      </c>
    </row>
    <row r="818" spans="1:8" x14ac:dyDescent="0.3">
      <c r="A818" s="1">
        <v>482</v>
      </c>
      <c r="B818" s="1" t="s">
        <v>672</v>
      </c>
      <c r="C818" s="1" t="s">
        <v>642</v>
      </c>
      <c r="D818" s="1" t="s">
        <v>783</v>
      </c>
      <c r="E818" s="1">
        <v>87</v>
      </c>
      <c r="F818" s="1" t="s">
        <v>8</v>
      </c>
      <c r="G818" s="1" t="s">
        <v>9</v>
      </c>
      <c r="H818" s="1" t="s">
        <v>10</v>
      </c>
    </row>
    <row r="819" spans="1:8" x14ac:dyDescent="0.3">
      <c r="A819" s="1">
        <v>482</v>
      </c>
      <c r="B819" s="1" t="s">
        <v>672</v>
      </c>
      <c r="C819" s="1" t="s">
        <v>784</v>
      </c>
      <c r="D819" s="1" t="s">
        <v>785</v>
      </c>
      <c r="E819" s="1">
        <v>64.98</v>
      </c>
      <c r="F819" s="1" t="s">
        <v>8</v>
      </c>
      <c r="G819" s="1" t="s">
        <v>9</v>
      </c>
      <c r="H819" s="1" t="s">
        <v>10</v>
      </c>
    </row>
    <row r="820" spans="1:8" x14ac:dyDescent="0.3">
      <c r="A820" s="1">
        <v>482</v>
      </c>
      <c r="B820" s="1" t="s">
        <v>672</v>
      </c>
      <c r="C820" s="1" t="s">
        <v>786</v>
      </c>
      <c r="D820" s="1" t="s">
        <v>787</v>
      </c>
      <c r="E820" s="1">
        <v>66.87</v>
      </c>
      <c r="F820" s="1" t="s">
        <v>8</v>
      </c>
      <c r="G820" s="1" t="s">
        <v>9</v>
      </c>
      <c r="H820" s="1" t="s">
        <v>10</v>
      </c>
    </row>
    <row r="821" spans="1:8" x14ac:dyDescent="0.3">
      <c r="A821" s="1">
        <v>482</v>
      </c>
      <c r="B821" s="1" t="s">
        <v>672</v>
      </c>
      <c r="C821" s="1" t="s">
        <v>788</v>
      </c>
      <c r="D821" s="1" t="s">
        <v>789</v>
      </c>
      <c r="E821" s="1">
        <v>38.200000000000003</v>
      </c>
      <c r="F821" s="1" t="s">
        <v>8</v>
      </c>
      <c r="G821" s="1" t="s">
        <v>9</v>
      </c>
      <c r="H821" s="1" t="s">
        <v>10</v>
      </c>
    </row>
    <row r="822" spans="1:8" x14ac:dyDescent="0.3">
      <c r="A822" s="1">
        <v>482</v>
      </c>
      <c r="B822" s="1" t="s">
        <v>672</v>
      </c>
      <c r="C822" s="1" t="s">
        <v>656</v>
      </c>
      <c r="D822" s="1" t="s">
        <v>790</v>
      </c>
      <c r="E822" s="1">
        <v>4.5</v>
      </c>
      <c r="F822" s="1" t="s">
        <v>8</v>
      </c>
      <c r="G822" s="1" t="s">
        <v>9</v>
      </c>
      <c r="H822" s="1" t="s">
        <v>10</v>
      </c>
    </row>
    <row r="823" spans="1:8" x14ac:dyDescent="0.3">
      <c r="A823" s="1">
        <v>482</v>
      </c>
      <c r="B823" s="1" t="s">
        <v>672</v>
      </c>
      <c r="C823" s="1" t="s">
        <v>791</v>
      </c>
      <c r="D823" s="1" t="s">
        <v>792</v>
      </c>
      <c r="E823" s="1">
        <v>33.840000000000003</v>
      </c>
      <c r="F823" s="1" t="s">
        <v>8</v>
      </c>
      <c r="G823" s="1" t="s">
        <v>9</v>
      </c>
      <c r="H823" s="1" t="s">
        <v>10</v>
      </c>
    </row>
    <row r="824" spans="1:8" x14ac:dyDescent="0.3">
      <c r="A824" s="1">
        <v>482</v>
      </c>
      <c r="B824" s="1" t="s">
        <v>672</v>
      </c>
      <c r="C824" s="1" t="s">
        <v>793</v>
      </c>
      <c r="D824" s="1" t="s">
        <v>794</v>
      </c>
      <c r="E824" s="1">
        <v>38.86</v>
      </c>
      <c r="F824" s="1" t="s">
        <v>8</v>
      </c>
      <c r="G824" s="1" t="s">
        <v>9</v>
      </c>
      <c r="H824" s="1" t="s">
        <v>10</v>
      </c>
    </row>
    <row r="825" spans="1:8" x14ac:dyDescent="0.3">
      <c r="A825" s="1">
        <v>482</v>
      </c>
      <c r="B825" s="1" t="s">
        <v>672</v>
      </c>
      <c r="C825" s="1" t="s">
        <v>795</v>
      </c>
      <c r="D825" s="1" t="s">
        <v>796</v>
      </c>
      <c r="E825" s="1">
        <v>51.9</v>
      </c>
      <c r="F825" s="1" t="s">
        <v>8</v>
      </c>
      <c r="G825" s="1" t="s">
        <v>13</v>
      </c>
      <c r="H825" s="1" t="s">
        <v>10</v>
      </c>
    </row>
    <row r="826" spans="1:8" x14ac:dyDescent="0.3">
      <c r="A826" s="1">
        <v>482</v>
      </c>
      <c r="B826" s="1" t="s">
        <v>672</v>
      </c>
      <c r="C826" s="1" t="s">
        <v>797</v>
      </c>
      <c r="D826" s="1" t="s">
        <v>798</v>
      </c>
      <c r="E826" s="1">
        <v>38.29</v>
      </c>
      <c r="F826" s="1" t="s">
        <v>8</v>
      </c>
      <c r="G826" s="1" t="s">
        <v>13</v>
      </c>
      <c r="H826" s="1" t="s">
        <v>10</v>
      </c>
    </row>
    <row r="827" spans="1:8" x14ac:dyDescent="0.3">
      <c r="A827" s="1">
        <v>482</v>
      </c>
      <c r="B827" s="1" t="s">
        <v>672</v>
      </c>
      <c r="C827" s="1" t="s">
        <v>799</v>
      </c>
      <c r="D827" s="1" t="s">
        <v>800</v>
      </c>
      <c r="E827" s="1">
        <v>79.8</v>
      </c>
      <c r="F827" s="1" t="s">
        <v>8</v>
      </c>
      <c r="G827" s="1" t="s">
        <v>9</v>
      </c>
      <c r="H827" s="1" t="s">
        <v>10</v>
      </c>
    </row>
    <row r="828" spans="1:8" x14ac:dyDescent="0.3">
      <c r="A828" s="1">
        <v>482</v>
      </c>
      <c r="B828" s="1" t="s">
        <v>672</v>
      </c>
      <c r="C828" s="1" t="s">
        <v>801</v>
      </c>
      <c r="D828" s="1" t="s">
        <v>802</v>
      </c>
      <c r="E828" s="1">
        <v>36.96</v>
      </c>
      <c r="F828" s="1" t="s">
        <v>8</v>
      </c>
      <c r="G828" s="1" t="s">
        <v>9</v>
      </c>
      <c r="H828" s="1" t="s">
        <v>10</v>
      </c>
    </row>
    <row r="829" spans="1:8" x14ac:dyDescent="0.3">
      <c r="A829" s="1">
        <v>482</v>
      </c>
      <c r="B829" s="1" t="s">
        <v>672</v>
      </c>
      <c r="C829" s="1" t="s">
        <v>803</v>
      </c>
      <c r="D829" s="1" t="s">
        <v>804</v>
      </c>
      <c r="E829" s="1">
        <v>79.900000000000006</v>
      </c>
      <c r="F829" s="1" t="s">
        <v>8</v>
      </c>
      <c r="G829" s="1" t="s">
        <v>9</v>
      </c>
      <c r="H829" s="1" t="s">
        <v>10</v>
      </c>
    </row>
    <row r="830" spans="1:8" x14ac:dyDescent="0.3">
      <c r="A830" s="1">
        <v>482</v>
      </c>
      <c r="B830" s="1" t="s">
        <v>672</v>
      </c>
      <c r="C830" s="1" t="s">
        <v>805</v>
      </c>
      <c r="D830" s="1" t="s">
        <v>806</v>
      </c>
      <c r="E830" s="1">
        <v>1</v>
      </c>
      <c r="F830" s="1" t="s">
        <v>8</v>
      </c>
      <c r="G830" s="1" t="s">
        <v>9</v>
      </c>
      <c r="H830" s="1" t="s">
        <v>10</v>
      </c>
    </row>
    <row r="831" spans="1:8" x14ac:dyDescent="0.3">
      <c r="A831" s="1">
        <v>482</v>
      </c>
      <c r="B831" s="1" t="s">
        <v>672</v>
      </c>
      <c r="C831" s="1" t="s">
        <v>807</v>
      </c>
      <c r="D831" s="1" t="s">
        <v>808</v>
      </c>
      <c r="E831" s="1">
        <v>7954</v>
      </c>
      <c r="F831" s="1" t="s">
        <v>8</v>
      </c>
      <c r="G831" s="1" t="s">
        <v>9</v>
      </c>
      <c r="H831" s="1" t="s">
        <v>10</v>
      </c>
    </row>
    <row r="832" spans="1:8" x14ac:dyDescent="0.3">
      <c r="A832" s="1">
        <v>482</v>
      </c>
      <c r="B832" s="1" t="s">
        <v>672</v>
      </c>
      <c r="C832" s="1" t="s">
        <v>809</v>
      </c>
      <c r="D832" s="1" t="s">
        <v>810</v>
      </c>
      <c r="E832" s="1">
        <v>109.95</v>
      </c>
      <c r="F832" s="1" t="s">
        <v>8</v>
      </c>
      <c r="G832" s="1" t="s">
        <v>9</v>
      </c>
      <c r="H832" s="1" t="s">
        <v>10</v>
      </c>
    </row>
    <row r="833" spans="1:8" x14ac:dyDescent="0.3">
      <c r="A833" s="1">
        <v>482</v>
      </c>
      <c r="B833" s="1" t="s">
        <v>672</v>
      </c>
      <c r="C833" s="1" t="s">
        <v>811</v>
      </c>
      <c r="D833" s="1" t="s">
        <v>812</v>
      </c>
      <c r="E833" s="1">
        <v>101.97</v>
      </c>
      <c r="F833" s="1" t="s">
        <v>8</v>
      </c>
      <c r="G833" s="1" t="s">
        <v>9</v>
      </c>
      <c r="H833" s="1" t="s">
        <v>10</v>
      </c>
    </row>
    <row r="834" spans="1:8" x14ac:dyDescent="0.3">
      <c r="A834" s="1">
        <v>482</v>
      </c>
      <c r="B834" s="1" t="s">
        <v>672</v>
      </c>
      <c r="C834" s="1" t="s">
        <v>813</v>
      </c>
      <c r="D834" s="1" t="s">
        <v>814</v>
      </c>
      <c r="E834" s="1">
        <v>86.3</v>
      </c>
      <c r="F834" s="1" t="s">
        <v>8</v>
      </c>
      <c r="G834" s="1" t="s">
        <v>9</v>
      </c>
      <c r="H834" s="1" t="s">
        <v>10</v>
      </c>
    </row>
    <row r="835" spans="1:8" x14ac:dyDescent="0.3">
      <c r="A835" s="1">
        <v>482</v>
      </c>
      <c r="B835" s="1" t="s">
        <v>672</v>
      </c>
      <c r="C835" s="1" t="s">
        <v>815</v>
      </c>
      <c r="D835" s="1" t="s">
        <v>816</v>
      </c>
      <c r="E835" s="1">
        <v>159.9</v>
      </c>
      <c r="F835" s="1" t="s">
        <v>8</v>
      </c>
      <c r="G835" s="1" t="s">
        <v>9</v>
      </c>
      <c r="H835" s="1" t="s">
        <v>10</v>
      </c>
    </row>
    <row r="836" spans="1:8" x14ac:dyDescent="0.3">
      <c r="A836" s="1">
        <v>482</v>
      </c>
      <c r="B836" s="1" t="s">
        <v>672</v>
      </c>
      <c r="C836" s="1" t="s">
        <v>817</v>
      </c>
      <c r="D836" s="1" t="s">
        <v>818</v>
      </c>
      <c r="E836" s="1">
        <v>337</v>
      </c>
      <c r="F836" s="1" t="s">
        <v>8</v>
      </c>
      <c r="G836" s="1" t="s">
        <v>9</v>
      </c>
      <c r="H836" s="1" t="s">
        <v>10</v>
      </c>
    </row>
    <row r="837" spans="1:8" x14ac:dyDescent="0.3">
      <c r="A837" s="1">
        <v>482</v>
      </c>
      <c r="B837" s="1" t="s">
        <v>672</v>
      </c>
      <c r="C837" s="1" t="s">
        <v>817</v>
      </c>
      <c r="D837" s="1" t="s">
        <v>818</v>
      </c>
      <c r="E837" s="1">
        <v>337</v>
      </c>
      <c r="F837" s="1" t="s">
        <v>8</v>
      </c>
      <c r="G837" s="1" t="s">
        <v>9</v>
      </c>
      <c r="H837" s="1" t="s">
        <v>10</v>
      </c>
    </row>
    <row r="838" spans="1:8" x14ac:dyDescent="0.3">
      <c r="A838" s="1">
        <v>482</v>
      </c>
      <c r="B838" s="1" t="s">
        <v>672</v>
      </c>
      <c r="C838" s="1" t="s">
        <v>4712</v>
      </c>
      <c r="D838" s="1" t="s">
        <v>4713</v>
      </c>
      <c r="E838" s="1">
        <v>87.41</v>
      </c>
      <c r="F838" s="1" t="s">
        <v>8</v>
      </c>
      <c r="G838" s="1" t="s">
        <v>9</v>
      </c>
      <c r="H838" s="1" t="s">
        <v>10</v>
      </c>
    </row>
    <row r="839" spans="1:8" x14ac:dyDescent="0.3">
      <c r="A839" s="1">
        <v>482</v>
      </c>
      <c r="B839" s="1" t="s">
        <v>672</v>
      </c>
      <c r="C839" s="1" t="s">
        <v>4714</v>
      </c>
      <c r="D839" s="1" t="s">
        <v>4715</v>
      </c>
      <c r="E839" s="1">
        <v>289.89999999999998</v>
      </c>
      <c r="F839" s="1" t="s">
        <v>8</v>
      </c>
      <c r="G839" s="1" t="s">
        <v>9</v>
      </c>
      <c r="H839" s="1" t="s">
        <v>10</v>
      </c>
    </row>
    <row r="840" spans="1:8" x14ac:dyDescent="0.3">
      <c r="A840" s="1">
        <v>482</v>
      </c>
      <c r="B840" s="1" t="s">
        <v>672</v>
      </c>
      <c r="C840" s="1" t="s">
        <v>4716</v>
      </c>
      <c r="D840" s="1" t="s">
        <v>4717</v>
      </c>
      <c r="E840" s="1">
        <v>35.39</v>
      </c>
      <c r="F840" s="1" t="s">
        <v>8</v>
      </c>
      <c r="G840" s="1" t="s">
        <v>9</v>
      </c>
      <c r="H840" s="1" t="s">
        <v>10</v>
      </c>
    </row>
    <row r="841" spans="1:8" x14ac:dyDescent="0.3">
      <c r="A841" s="1">
        <v>484</v>
      </c>
      <c r="B841" s="1" t="s">
        <v>834</v>
      </c>
      <c r="C841" s="1" t="s">
        <v>835</v>
      </c>
      <c r="D841" s="1" t="s">
        <v>836</v>
      </c>
      <c r="E841" s="1">
        <v>169.9</v>
      </c>
      <c r="F841" s="1" t="s">
        <v>8</v>
      </c>
      <c r="G841" s="1" t="s">
        <v>9</v>
      </c>
      <c r="H841" s="1" t="s">
        <v>10</v>
      </c>
    </row>
    <row r="842" spans="1:8" x14ac:dyDescent="0.3">
      <c r="A842" s="1">
        <v>484</v>
      </c>
      <c r="B842" s="1" t="s">
        <v>834</v>
      </c>
      <c r="C842" s="1" t="s">
        <v>837</v>
      </c>
      <c r="D842" s="1" t="s">
        <v>838</v>
      </c>
      <c r="E842" s="1">
        <v>169.9</v>
      </c>
      <c r="F842" s="1" t="s">
        <v>8</v>
      </c>
      <c r="G842" s="1" t="s">
        <v>9</v>
      </c>
      <c r="H842" s="1" t="s">
        <v>10</v>
      </c>
    </row>
    <row r="843" spans="1:8" x14ac:dyDescent="0.3">
      <c r="A843" s="1">
        <v>484</v>
      </c>
      <c r="B843" s="1" t="s">
        <v>834</v>
      </c>
      <c r="C843" s="1" t="s">
        <v>839</v>
      </c>
      <c r="D843" s="1" t="s">
        <v>840</v>
      </c>
      <c r="E843" s="1">
        <v>38.6</v>
      </c>
      <c r="F843" s="1" t="s">
        <v>8</v>
      </c>
      <c r="G843" s="1" t="s">
        <v>9</v>
      </c>
      <c r="H843" s="1" t="s">
        <v>10</v>
      </c>
    </row>
    <row r="844" spans="1:8" x14ac:dyDescent="0.3">
      <c r="A844" s="1">
        <v>484</v>
      </c>
      <c r="B844" s="1" t="s">
        <v>834</v>
      </c>
      <c r="C844" s="1" t="s">
        <v>841</v>
      </c>
      <c r="D844" s="1" t="s">
        <v>842</v>
      </c>
      <c r="E844" s="1">
        <v>79.900000000000006</v>
      </c>
      <c r="F844" s="1" t="s">
        <v>8</v>
      </c>
      <c r="G844" s="1" t="s">
        <v>9</v>
      </c>
      <c r="H844" s="1" t="s">
        <v>10</v>
      </c>
    </row>
    <row r="845" spans="1:8" x14ac:dyDescent="0.3">
      <c r="A845" s="1">
        <v>484</v>
      </c>
      <c r="B845" s="1" t="s">
        <v>834</v>
      </c>
      <c r="C845" s="1" t="s">
        <v>843</v>
      </c>
      <c r="D845" s="1" t="s">
        <v>844</v>
      </c>
      <c r="E845" s="1">
        <v>30.96</v>
      </c>
      <c r="F845" s="1" t="s">
        <v>8</v>
      </c>
      <c r="G845" s="1" t="s">
        <v>9</v>
      </c>
      <c r="H845" s="1" t="s">
        <v>10</v>
      </c>
    </row>
    <row r="846" spans="1:8" x14ac:dyDescent="0.3">
      <c r="A846" s="1">
        <v>484</v>
      </c>
      <c r="B846" s="1" t="s">
        <v>834</v>
      </c>
      <c r="C846" s="1" t="s">
        <v>845</v>
      </c>
      <c r="D846" s="1" t="s">
        <v>846</v>
      </c>
      <c r="E846" s="1">
        <v>249.9</v>
      </c>
      <c r="F846" s="1" t="s">
        <v>8</v>
      </c>
      <c r="G846" s="1" t="s">
        <v>9</v>
      </c>
      <c r="H846" s="1" t="s">
        <v>10</v>
      </c>
    </row>
    <row r="847" spans="1:8" x14ac:dyDescent="0.3">
      <c r="A847" s="1">
        <v>484</v>
      </c>
      <c r="B847" s="1" t="s">
        <v>834</v>
      </c>
      <c r="C847" s="1" t="s">
        <v>847</v>
      </c>
      <c r="D847" s="1" t="s">
        <v>848</v>
      </c>
      <c r="E847" s="1">
        <v>179.9</v>
      </c>
      <c r="F847" s="1" t="s">
        <v>8</v>
      </c>
      <c r="G847" s="1" t="s">
        <v>9</v>
      </c>
      <c r="H847" s="1" t="s">
        <v>10</v>
      </c>
    </row>
    <row r="848" spans="1:8" x14ac:dyDescent="0.3">
      <c r="A848" s="1">
        <v>484</v>
      </c>
      <c r="B848" s="1" t="s">
        <v>834</v>
      </c>
      <c r="C848" s="1" t="s">
        <v>849</v>
      </c>
      <c r="D848" s="1" t="s">
        <v>850</v>
      </c>
      <c r="E848" s="1">
        <v>4175.88</v>
      </c>
      <c r="F848" s="1" t="s">
        <v>8</v>
      </c>
      <c r="G848" s="1" t="s">
        <v>13</v>
      </c>
      <c r="H848" s="1" t="s">
        <v>10</v>
      </c>
    </row>
    <row r="849" spans="1:8" x14ac:dyDescent="0.3">
      <c r="A849" s="1">
        <v>484</v>
      </c>
      <c r="B849" s="1" t="s">
        <v>834</v>
      </c>
      <c r="C849" s="1" t="s">
        <v>851</v>
      </c>
      <c r="D849" s="1" t="s">
        <v>852</v>
      </c>
      <c r="E849" s="1">
        <v>59.9</v>
      </c>
      <c r="F849" s="1" t="s">
        <v>8</v>
      </c>
      <c r="G849" s="1" t="s">
        <v>9</v>
      </c>
      <c r="H849" s="1" t="s">
        <v>10</v>
      </c>
    </row>
    <row r="850" spans="1:8" x14ac:dyDescent="0.3">
      <c r="A850" s="1">
        <v>484</v>
      </c>
      <c r="B850" s="1" t="s">
        <v>834</v>
      </c>
      <c r="C850" s="1" t="s">
        <v>853</v>
      </c>
      <c r="D850" s="1" t="s">
        <v>854</v>
      </c>
      <c r="E850" s="1">
        <v>329.9</v>
      </c>
      <c r="F850" s="1" t="s">
        <v>8</v>
      </c>
      <c r="G850" s="1" t="s">
        <v>9</v>
      </c>
      <c r="H850" s="1" t="s">
        <v>10</v>
      </c>
    </row>
    <row r="851" spans="1:8" x14ac:dyDescent="0.3">
      <c r="A851" s="1">
        <v>484</v>
      </c>
      <c r="B851" s="1" t="s">
        <v>834</v>
      </c>
      <c r="C851" s="1" t="s">
        <v>855</v>
      </c>
      <c r="D851" s="1" t="s">
        <v>856</v>
      </c>
      <c r="E851" s="1">
        <v>34.04</v>
      </c>
      <c r="F851" s="1" t="s">
        <v>8</v>
      </c>
      <c r="G851" s="1" t="s">
        <v>9</v>
      </c>
      <c r="H851" s="1" t="s">
        <v>10</v>
      </c>
    </row>
    <row r="852" spans="1:8" x14ac:dyDescent="0.3">
      <c r="A852" s="1">
        <v>484</v>
      </c>
      <c r="B852" s="1" t="s">
        <v>834</v>
      </c>
      <c r="C852" s="1" t="s">
        <v>857</v>
      </c>
      <c r="D852" s="1" t="s">
        <v>858</v>
      </c>
      <c r="E852" s="1">
        <v>33.96</v>
      </c>
      <c r="F852" s="1" t="s">
        <v>8</v>
      </c>
      <c r="G852" s="1" t="s">
        <v>9</v>
      </c>
      <c r="H852" s="1" t="s">
        <v>10</v>
      </c>
    </row>
    <row r="853" spans="1:8" x14ac:dyDescent="0.3">
      <c r="A853" s="1">
        <v>484</v>
      </c>
      <c r="B853" s="1" t="s">
        <v>834</v>
      </c>
      <c r="C853" s="1" t="s">
        <v>859</v>
      </c>
      <c r="D853" s="1" t="s">
        <v>860</v>
      </c>
      <c r="E853" s="1">
        <v>114.69</v>
      </c>
      <c r="F853" s="1" t="s">
        <v>8</v>
      </c>
      <c r="G853" s="1" t="s">
        <v>9</v>
      </c>
      <c r="H853" s="1" t="s">
        <v>10</v>
      </c>
    </row>
    <row r="854" spans="1:8" x14ac:dyDescent="0.3">
      <c r="A854" s="1">
        <v>484</v>
      </c>
      <c r="B854" s="1" t="s">
        <v>834</v>
      </c>
      <c r="C854" s="1" t="s">
        <v>861</v>
      </c>
      <c r="D854" s="1" t="s">
        <v>862</v>
      </c>
      <c r="E854" s="1">
        <v>26.12</v>
      </c>
      <c r="F854" s="1" t="s">
        <v>8</v>
      </c>
      <c r="G854" s="1" t="s">
        <v>9</v>
      </c>
      <c r="H854" s="1" t="s">
        <v>10</v>
      </c>
    </row>
    <row r="855" spans="1:8" x14ac:dyDescent="0.3">
      <c r="A855" s="1">
        <v>484</v>
      </c>
      <c r="B855" s="1" t="s">
        <v>834</v>
      </c>
      <c r="C855" s="1" t="s">
        <v>863</v>
      </c>
      <c r="D855" s="1" t="s">
        <v>864</v>
      </c>
      <c r="E855" s="1">
        <v>35</v>
      </c>
      <c r="F855" s="1" t="s">
        <v>8</v>
      </c>
      <c r="G855" s="1" t="s">
        <v>9</v>
      </c>
      <c r="H855" s="1" t="s">
        <v>10</v>
      </c>
    </row>
    <row r="856" spans="1:8" x14ac:dyDescent="0.3">
      <c r="A856" s="1">
        <v>484</v>
      </c>
      <c r="B856" s="1" t="s">
        <v>834</v>
      </c>
      <c r="C856" s="1" t="s">
        <v>865</v>
      </c>
      <c r="D856" s="1" t="s">
        <v>866</v>
      </c>
      <c r="E856" s="1">
        <v>199.9</v>
      </c>
      <c r="F856" s="1" t="s">
        <v>8</v>
      </c>
      <c r="G856" s="1" t="s">
        <v>9</v>
      </c>
      <c r="H856" s="1" t="s">
        <v>10</v>
      </c>
    </row>
    <row r="857" spans="1:8" x14ac:dyDescent="0.3">
      <c r="A857" s="1">
        <v>484</v>
      </c>
      <c r="B857" s="1" t="s">
        <v>834</v>
      </c>
      <c r="C857" s="1" t="s">
        <v>867</v>
      </c>
      <c r="D857" s="1" t="s">
        <v>868</v>
      </c>
      <c r="E857" s="1">
        <v>28.86</v>
      </c>
      <c r="F857" s="1" t="s">
        <v>8</v>
      </c>
      <c r="G857" s="1" t="s">
        <v>9</v>
      </c>
      <c r="H857" s="1" t="s">
        <v>10</v>
      </c>
    </row>
    <row r="858" spans="1:8" x14ac:dyDescent="0.3">
      <c r="A858" s="1">
        <v>484</v>
      </c>
      <c r="B858" s="1" t="s">
        <v>834</v>
      </c>
      <c r="C858" s="1" t="s">
        <v>869</v>
      </c>
      <c r="D858" s="1" t="s">
        <v>870</v>
      </c>
      <c r="E858" s="1">
        <v>61.57</v>
      </c>
      <c r="F858" s="1" t="s">
        <v>8</v>
      </c>
      <c r="G858" s="1" t="s">
        <v>9</v>
      </c>
      <c r="H858" s="1" t="s">
        <v>10</v>
      </c>
    </row>
    <row r="859" spans="1:8" x14ac:dyDescent="0.3">
      <c r="A859" s="1">
        <v>484</v>
      </c>
      <c r="B859" s="1" t="s">
        <v>834</v>
      </c>
      <c r="C859" s="1" t="s">
        <v>871</v>
      </c>
      <c r="D859" s="1" t="s">
        <v>872</v>
      </c>
      <c r="E859" s="1">
        <v>37.67</v>
      </c>
      <c r="F859" s="1" t="s">
        <v>8</v>
      </c>
      <c r="G859" s="1" t="s">
        <v>9</v>
      </c>
      <c r="H859" s="1" t="s">
        <v>10</v>
      </c>
    </row>
    <row r="860" spans="1:8" x14ac:dyDescent="0.3">
      <c r="A860" s="1">
        <v>484</v>
      </c>
      <c r="B860" s="1" t="s">
        <v>834</v>
      </c>
      <c r="C860" s="1" t="s">
        <v>873</v>
      </c>
      <c r="D860" s="1" t="s">
        <v>874</v>
      </c>
      <c r="E860" s="1">
        <v>79.900000000000006</v>
      </c>
      <c r="F860" s="1" t="s">
        <v>8</v>
      </c>
      <c r="G860" s="1" t="s">
        <v>9</v>
      </c>
      <c r="H860" s="1" t="s">
        <v>10</v>
      </c>
    </row>
    <row r="861" spans="1:8" x14ac:dyDescent="0.3">
      <c r="A861" s="1">
        <v>484</v>
      </c>
      <c r="B861" s="1" t="s">
        <v>834</v>
      </c>
      <c r="C861" s="1" t="s">
        <v>875</v>
      </c>
      <c r="D861" s="1" t="s">
        <v>876</v>
      </c>
      <c r="E861" s="1">
        <v>189.9</v>
      </c>
      <c r="F861" s="1" t="s">
        <v>8</v>
      </c>
      <c r="G861" s="1" t="s">
        <v>9</v>
      </c>
      <c r="H861" s="1" t="s">
        <v>10</v>
      </c>
    </row>
    <row r="862" spans="1:8" x14ac:dyDescent="0.3">
      <c r="A862" s="1">
        <v>484</v>
      </c>
      <c r="B862" s="1" t="s">
        <v>834</v>
      </c>
      <c r="C862" s="1" t="s">
        <v>877</v>
      </c>
      <c r="D862" s="1" t="s">
        <v>878</v>
      </c>
      <c r="E862" s="1">
        <v>79.900000000000006</v>
      </c>
      <c r="F862" s="1" t="s">
        <v>8</v>
      </c>
      <c r="G862" s="1" t="s">
        <v>9</v>
      </c>
      <c r="H862" s="1" t="s">
        <v>10</v>
      </c>
    </row>
    <row r="863" spans="1:8" x14ac:dyDescent="0.3">
      <c r="A863" s="1">
        <v>484</v>
      </c>
      <c r="B863" s="1" t="s">
        <v>834</v>
      </c>
      <c r="C863" s="1" t="s">
        <v>879</v>
      </c>
      <c r="D863" s="1" t="s">
        <v>880</v>
      </c>
      <c r="E863" s="1">
        <v>239.9</v>
      </c>
      <c r="F863" s="1" t="s">
        <v>8</v>
      </c>
      <c r="G863" s="1" t="s">
        <v>9</v>
      </c>
      <c r="H863" s="1" t="s">
        <v>10</v>
      </c>
    </row>
    <row r="864" spans="1:8" x14ac:dyDescent="0.3">
      <c r="A864" s="1">
        <v>484</v>
      </c>
      <c r="B864" s="1" t="s">
        <v>834</v>
      </c>
      <c r="C864" s="1" t="s">
        <v>881</v>
      </c>
      <c r="D864" s="1" t="s">
        <v>882</v>
      </c>
      <c r="E864" s="1">
        <v>259.89999999999998</v>
      </c>
      <c r="F864" s="1" t="s">
        <v>8</v>
      </c>
      <c r="G864" s="1" t="s">
        <v>9</v>
      </c>
      <c r="H864" s="1" t="s">
        <v>10</v>
      </c>
    </row>
    <row r="865" spans="1:8" x14ac:dyDescent="0.3">
      <c r="A865" s="1">
        <v>484</v>
      </c>
      <c r="B865" s="1" t="s">
        <v>834</v>
      </c>
      <c r="C865" s="1" t="s">
        <v>883</v>
      </c>
      <c r="D865" s="1" t="s">
        <v>884</v>
      </c>
      <c r="E865" s="1">
        <v>499.8</v>
      </c>
      <c r="F865" s="1" t="s">
        <v>8</v>
      </c>
      <c r="G865" s="1" t="s">
        <v>9</v>
      </c>
      <c r="H865" s="1" t="s">
        <v>10</v>
      </c>
    </row>
    <row r="866" spans="1:8" x14ac:dyDescent="0.3">
      <c r="A866" s="1">
        <v>484</v>
      </c>
      <c r="B866" s="1" t="s">
        <v>834</v>
      </c>
      <c r="C866" s="1" t="s">
        <v>885</v>
      </c>
      <c r="D866" s="1" t="s">
        <v>886</v>
      </c>
      <c r="E866" s="1">
        <v>99.9</v>
      </c>
      <c r="F866" s="1" t="s">
        <v>8</v>
      </c>
      <c r="G866" s="1" t="s">
        <v>9</v>
      </c>
      <c r="H866" s="1" t="s">
        <v>10</v>
      </c>
    </row>
    <row r="867" spans="1:8" x14ac:dyDescent="0.3">
      <c r="A867" s="1">
        <v>484</v>
      </c>
      <c r="B867" s="1" t="s">
        <v>834</v>
      </c>
      <c r="C867" s="1" t="s">
        <v>887</v>
      </c>
      <c r="D867" s="1" t="s">
        <v>888</v>
      </c>
      <c r="E867" s="1">
        <v>49.75</v>
      </c>
      <c r="F867" s="1" t="s">
        <v>8</v>
      </c>
      <c r="G867" s="1" t="s">
        <v>9</v>
      </c>
      <c r="H867" s="1" t="s">
        <v>10</v>
      </c>
    </row>
    <row r="868" spans="1:8" x14ac:dyDescent="0.3">
      <c r="A868" s="1">
        <v>484</v>
      </c>
      <c r="B868" s="1" t="s">
        <v>834</v>
      </c>
      <c r="C868" s="1" t="s">
        <v>889</v>
      </c>
      <c r="D868" s="1" t="s">
        <v>890</v>
      </c>
      <c r="E868" s="1">
        <v>35.15</v>
      </c>
      <c r="F868" s="1" t="s">
        <v>8</v>
      </c>
      <c r="G868" s="1" t="s">
        <v>9</v>
      </c>
      <c r="H868" s="1" t="s">
        <v>10</v>
      </c>
    </row>
    <row r="869" spans="1:8" x14ac:dyDescent="0.3">
      <c r="A869" s="1">
        <v>484</v>
      </c>
      <c r="B869" s="1" t="s">
        <v>834</v>
      </c>
      <c r="C869" s="1" t="s">
        <v>891</v>
      </c>
      <c r="D869" s="1" t="s">
        <v>892</v>
      </c>
      <c r="E869" s="1">
        <v>44.35</v>
      </c>
      <c r="F869" s="1" t="s">
        <v>8</v>
      </c>
      <c r="G869" s="1" t="s">
        <v>9</v>
      </c>
      <c r="H869" s="1" t="s">
        <v>10</v>
      </c>
    </row>
    <row r="870" spans="1:8" x14ac:dyDescent="0.3">
      <c r="A870" s="1">
        <v>484</v>
      </c>
      <c r="B870" s="1" t="s">
        <v>834</v>
      </c>
      <c r="C870" s="1" t="s">
        <v>893</v>
      </c>
      <c r="D870" s="1" t="s">
        <v>894</v>
      </c>
      <c r="E870" s="1">
        <v>199.9</v>
      </c>
      <c r="F870" s="1" t="s">
        <v>8</v>
      </c>
      <c r="G870" s="1" t="s">
        <v>9</v>
      </c>
      <c r="H870" s="1" t="s">
        <v>10</v>
      </c>
    </row>
    <row r="871" spans="1:8" x14ac:dyDescent="0.3">
      <c r="A871" s="1">
        <v>484</v>
      </c>
      <c r="B871" s="1" t="s">
        <v>834</v>
      </c>
      <c r="C871" s="1" t="s">
        <v>895</v>
      </c>
      <c r="D871" s="1" t="s">
        <v>896</v>
      </c>
      <c r="E871" s="1">
        <v>339.9</v>
      </c>
      <c r="F871" s="1" t="s">
        <v>8</v>
      </c>
      <c r="G871" s="1" t="s">
        <v>9</v>
      </c>
      <c r="H871" s="1" t="s">
        <v>10</v>
      </c>
    </row>
    <row r="872" spans="1:8" x14ac:dyDescent="0.3">
      <c r="A872" s="1">
        <v>484</v>
      </c>
      <c r="B872" s="1" t="s">
        <v>834</v>
      </c>
      <c r="C872" s="1" t="s">
        <v>897</v>
      </c>
      <c r="D872" s="1" t="s">
        <v>898</v>
      </c>
      <c r="E872" s="1">
        <v>189.9</v>
      </c>
      <c r="F872" s="1" t="s">
        <v>8</v>
      </c>
      <c r="G872" s="1" t="s">
        <v>9</v>
      </c>
      <c r="H872" s="1" t="s">
        <v>10</v>
      </c>
    </row>
    <row r="873" spans="1:8" x14ac:dyDescent="0.3">
      <c r="A873" s="1">
        <v>484</v>
      </c>
      <c r="B873" s="1" t="s">
        <v>834</v>
      </c>
      <c r="C873" s="1" t="s">
        <v>899</v>
      </c>
      <c r="D873" s="1" t="s">
        <v>900</v>
      </c>
      <c r="E873" s="1">
        <v>129.9</v>
      </c>
      <c r="F873" s="1" t="s">
        <v>8</v>
      </c>
      <c r="G873" s="1" t="s">
        <v>9</v>
      </c>
      <c r="H873" s="1" t="s">
        <v>10</v>
      </c>
    </row>
    <row r="874" spans="1:8" x14ac:dyDescent="0.3">
      <c r="A874" s="1">
        <v>484</v>
      </c>
      <c r="B874" s="1" t="s">
        <v>834</v>
      </c>
      <c r="C874" s="1" t="s">
        <v>901</v>
      </c>
      <c r="D874" s="1" t="s">
        <v>902</v>
      </c>
      <c r="E874" s="1">
        <v>99.9</v>
      </c>
      <c r="F874" s="1" t="s">
        <v>8</v>
      </c>
      <c r="G874" s="1" t="s">
        <v>9</v>
      </c>
      <c r="H874" s="1" t="s">
        <v>10</v>
      </c>
    </row>
    <row r="875" spans="1:8" x14ac:dyDescent="0.3">
      <c r="A875" s="1">
        <v>484</v>
      </c>
      <c r="B875" s="1" t="s">
        <v>834</v>
      </c>
      <c r="C875" s="1" t="s">
        <v>903</v>
      </c>
      <c r="D875" s="1" t="s">
        <v>904</v>
      </c>
      <c r="E875" s="1">
        <v>149.9</v>
      </c>
      <c r="F875" s="1" t="s">
        <v>8</v>
      </c>
      <c r="G875" s="1" t="s">
        <v>9</v>
      </c>
      <c r="H875" s="1" t="s">
        <v>10</v>
      </c>
    </row>
    <row r="876" spans="1:8" x14ac:dyDescent="0.3">
      <c r="A876" s="1">
        <v>484</v>
      </c>
      <c r="B876" s="1" t="s">
        <v>834</v>
      </c>
      <c r="C876" s="1" t="s">
        <v>905</v>
      </c>
      <c r="D876" s="1" t="s">
        <v>906</v>
      </c>
      <c r="E876" s="1">
        <v>78.39</v>
      </c>
      <c r="F876" s="1" t="s">
        <v>8</v>
      </c>
      <c r="G876" s="1" t="s">
        <v>9</v>
      </c>
      <c r="H876" s="1" t="s">
        <v>10</v>
      </c>
    </row>
    <row r="877" spans="1:8" x14ac:dyDescent="0.3">
      <c r="A877" s="1">
        <v>484</v>
      </c>
      <c r="B877" s="1" t="s">
        <v>834</v>
      </c>
      <c r="C877" s="1" t="s">
        <v>907</v>
      </c>
      <c r="D877" s="1" t="s">
        <v>908</v>
      </c>
      <c r="E877" s="1">
        <v>128.79</v>
      </c>
      <c r="F877" s="1" t="s">
        <v>8</v>
      </c>
      <c r="G877" s="1" t="s">
        <v>9</v>
      </c>
      <c r="H877" s="1" t="s">
        <v>10</v>
      </c>
    </row>
    <row r="878" spans="1:8" x14ac:dyDescent="0.3">
      <c r="A878" s="1">
        <v>484</v>
      </c>
      <c r="B878" s="1" t="s">
        <v>834</v>
      </c>
      <c r="C878" s="1" t="s">
        <v>909</v>
      </c>
      <c r="D878" s="1" t="s">
        <v>910</v>
      </c>
      <c r="E878" s="1">
        <v>309.8</v>
      </c>
      <c r="F878" s="1" t="s">
        <v>8</v>
      </c>
      <c r="G878" s="1" t="s">
        <v>9</v>
      </c>
      <c r="H878" s="1" t="s">
        <v>10</v>
      </c>
    </row>
    <row r="879" spans="1:8" x14ac:dyDescent="0.3">
      <c r="A879" s="1">
        <v>484</v>
      </c>
      <c r="B879" s="1" t="s">
        <v>834</v>
      </c>
      <c r="C879" s="1" t="s">
        <v>911</v>
      </c>
      <c r="D879" s="1" t="s">
        <v>912</v>
      </c>
      <c r="E879" s="1">
        <v>68.58</v>
      </c>
      <c r="F879" s="1" t="s">
        <v>8</v>
      </c>
      <c r="G879" s="1" t="s">
        <v>9</v>
      </c>
      <c r="H879" s="1" t="s">
        <v>10</v>
      </c>
    </row>
    <row r="880" spans="1:8" x14ac:dyDescent="0.3">
      <c r="A880" s="1">
        <v>484</v>
      </c>
      <c r="B880" s="1" t="s">
        <v>834</v>
      </c>
      <c r="C880" s="1" t="s">
        <v>913</v>
      </c>
      <c r="D880" s="1" t="s">
        <v>914</v>
      </c>
      <c r="E880" s="1">
        <v>62.06</v>
      </c>
      <c r="F880" s="1" t="s">
        <v>8</v>
      </c>
      <c r="G880" s="1" t="s">
        <v>9</v>
      </c>
      <c r="H880" s="1" t="s">
        <v>10</v>
      </c>
    </row>
    <row r="881" spans="1:8" x14ac:dyDescent="0.3">
      <c r="A881" s="1">
        <v>484</v>
      </c>
      <c r="B881" s="1" t="s">
        <v>834</v>
      </c>
      <c r="C881" s="1" t="s">
        <v>915</v>
      </c>
      <c r="D881" s="1" t="s">
        <v>916</v>
      </c>
      <c r="E881" s="1">
        <v>35.630000000000003</v>
      </c>
      <c r="F881" s="1" t="s">
        <v>8</v>
      </c>
      <c r="G881" s="1" t="s">
        <v>9</v>
      </c>
      <c r="H881" s="1" t="s">
        <v>10</v>
      </c>
    </row>
    <row r="882" spans="1:8" x14ac:dyDescent="0.3">
      <c r="A882" s="1">
        <v>484</v>
      </c>
      <c r="B882" s="1" t="s">
        <v>834</v>
      </c>
      <c r="C882" s="1" t="s">
        <v>917</v>
      </c>
      <c r="D882" s="1" t="s">
        <v>918</v>
      </c>
      <c r="E882" s="1">
        <v>37.020000000000003</v>
      </c>
      <c r="F882" s="1" t="s">
        <v>8</v>
      </c>
      <c r="G882" s="1" t="s">
        <v>9</v>
      </c>
      <c r="H882" s="1" t="s">
        <v>10</v>
      </c>
    </row>
    <row r="883" spans="1:8" x14ac:dyDescent="0.3">
      <c r="A883" s="1">
        <v>484</v>
      </c>
      <c r="B883" s="1" t="s">
        <v>834</v>
      </c>
      <c r="C883" s="1" t="s">
        <v>919</v>
      </c>
      <c r="D883" s="1" t="s">
        <v>920</v>
      </c>
      <c r="E883" s="1">
        <v>107.81</v>
      </c>
      <c r="F883" s="1" t="s">
        <v>8</v>
      </c>
      <c r="G883" s="1" t="s">
        <v>9</v>
      </c>
      <c r="H883" s="1" t="s">
        <v>10</v>
      </c>
    </row>
    <row r="884" spans="1:8" x14ac:dyDescent="0.3">
      <c r="A884" s="1">
        <v>484</v>
      </c>
      <c r="B884" s="1" t="s">
        <v>834</v>
      </c>
      <c r="C884" s="1" t="s">
        <v>921</v>
      </c>
      <c r="D884" s="1" t="s">
        <v>922</v>
      </c>
      <c r="E884" s="1">
        <v>129.9</v>
      </c>
      <c r="F884" s="1" t="s">
        <v>8</v>
      </c>
      <c r="G884" s="1" t="s">
        <v>9</v>
      </c>
      <c r="H884" s="1" t="s">
        <v>10</v>
      </c>
    </row>
    <row r="885" spans="1:8" x14ac:dyDescent="0.3">
      <c r="A885" s="1">
        <v>484</v>
      </c>
      <c r="B885" s="1" t="s">
        <v>834</v>
      </c>
      <c r="C885" s="1" t="s">
        <v>923</v>
      </c>
      <c r="D885" s="1" t="s">
        <v>924</v>
      </c>
      <c r="E885" s="1">
        <v>229.9</v>
      </c>
      <c r="F885" s="1" t="s">
        <v>8</v>
      </c>
      <c r="G885" s="1" t="s">
        <v>9</v>
      </c>
      <c r="H885" s="1" t="s">
        <v>10</v>
      </c>
    </row>
    <row r="886" spans="1:8" x14ac:dyDescent="0.3">
      <c r="A886" s="1">
        <v>484</v>
      </c>
      <c r="B886" s="1" t="s">
        <v>834</v>
      </c>
      <c r="C886" s="1" t="s">
        <v>925</v>
      </c>
      <c r="D886" s="1" t="s">
        <v>926</v>
      </c>
      <c r="E886" s="1">
        <v>99.9</v>
      </c>
      <c r="F886" s="1" t="s">
        <v>8</v>
      </c>
      <c r="G886" s="1" t="s">
        <v>9</v>
      </c>
      <c r="H886" s="1" t="s">
        <v>10</v>
      </c>
    </row>
    <row r="887" spans="1:8" x14ac:dyDescent="0.3">
      <c r="A887" s="1">
        <v>484</v>
      </c>
      <c r="B887" s="1" t="s">
        <v>834</v>
      </c>
      <c r="C887" s="1" t="s">
        <v>927</v>
      </c>
      <c r="D887" s="1" t="s">
        <v>928</v>
      </c>
      <c r="E887" s="1">
        <v>64.709999999999994</v>
      </c>
      <c r="F887" s="1" t="s">
        <v>8</v>
      </c>
      <c r="G887" s="1" t="s">
        <v>9</v>
      </c>
      <c r="H887" s="1" t="s">
        <v>10</v>
      </c>
    </row>
    <row r="888" spans="1:8" x14ac:dyDescent="0.3">
      <c r="A888" s="1">
        <v>484</v>
      </c>
      <c r="B888" s="1" t="s">
        <v>834</v>
      </c>
      <c r="C888" s="1" t="s">
        <v>929</v>
      </c>
      <c r="D888" s="1" t="s">
        <v>930</v>
      </c>
      <c r="E888" s="1">
        <v>78.39</v>
      </c>
      <c r="F888" s="1" t="s">
        <v>8</v>
      </c>
      <c r="G888" s="1" t="s">
        <v>9</v>
      </c>
      <c r="H888" s="1" t="s">
        <v>10</v>
      </c>
    </row>
    <row r="889" spans="1:8" x14ac:dyDescent="0.3">
      <c r="A889" s="1">
        <v>484</v>
      </c>
      <c r="B889" s="1" t="s">
        <v>834</v>
      </c>
      <c r="C889" s="1" t="s">
        <v>931</v>
      </c>
      <c r="D889" s="1" t="s">
        <v>932</v>
      </c>
      <c r="E889" s="1">
        <v>67.989999999999995</v>
      </c>
      <c r="F889" s="1" t="s">
        <v>8</v>
      </c>
      <c r="G889" s="1" t="s">
        <v>9</v>
      </c>
      <c r="H889" s="1" t="s">
        <v>10</v>
      </c>
    </row>
    <row r="890" spans="1:8" x14ac:dyDescent="0.3">
      <c r="A890" s="1">
        <v>484</v>
      </c>
      <c r="B890" s="1" t="s">
        <v>834</v>
      </c>
      <c r="C890" s="1" t="s">
        <v>933</v>
      </c>
      <c r="D890" s="1" t="s">
        <v>934</v>
      </c>
      <c r="E890" s="1">
        <v>229.9</v>
      </c>
      <c r="F890" s="1" t="s">
        <v>8</v>
      </c>
      <c r="G890" s="1" t="s">
        <v>9</v>
      </c>
      <c r="H890" s="1" t="s">
        <v>10</v>
      </c>
    </row>
    <row r="891" spans="1:8" x14ac:dyDescent="0.3">
      <c r="A891" s="1">
        <v>484</v>
      </c>
      <c r="B891" s="1" t="s">
        <v>834</v>
      </c>
      <c r="C891" s="1" t="s">
        <v>935</v>
      </c>
      <c r="D891" s="1" t="s">
        <v>936</v>
      </c>
      <c r="E891" s="1">
        <v>79.900000000000006</v>
      </c>
      <c r="F891" s="1" t="s">
        <v>8</v>
      </c>
      <c r="G891" s="1" t="s">
        <v>9</v>
      </c>
      <c r="H891" s="1" t="s">
        <v>10</v>
      </c>
    </row>
    <row r="892" spans="1:8" x14ac:dyDescent="0.3">
      <c r="A892" s="1">
        <v>484</v>
      </c>
      <c r="B892" s="1" t="s">
        <v>834</v>
      </c>
      <c r="C892" s="1" t="s">
        <v>937</v>
      </c>
      <c r="D892" s="1" t="s">
        <v>938</v>
      </c>
      <c r="E892" s="1">
        <v>169.9</v>
      </c>
      <c r="F892" s="1" t="s">
        <v>8</v>
      </c>
      <c r="G892" s="1" t="s">
        <v>9</v>
      </c>
      <c r="H892" s="1" t="s">
        <v>10</v>
      </c>
    </row>
    <row r="893" spans="1:8" x14ac:dyDescent="0.3">
      <c r="A893" s="1">
        <v>484</v>
      </c>
      <c r="B893" s="1" t="s">
        <v>834</v>
      </c>
      <c r="C893" s="1" t="s">
        <v>939</v>
      </c>
      <c r="D893" s="1" t="s">
        <v>940</v>
      </c>
      <c r="E893" s="1">
        <v>62</v>
      </c>
      <c r="F893" s="1" t="s">
        <v>8</v>
      </c>
      <c r="G893" s="1" t="s">
        <v>9</v>
      </c>
      <c r="H893" s="1" t="s">
        <v>10</v>
      </c>
    </row>
    <row r="894" spans="1:8" x14ac:dyDescent="0.3">
      <c r="A894" s="1">
        <v>484</v>
      </c>
      <c r="B894" s="1" t="s">
        <v>834</v>
      </c>
      <c r="C894" s="1" t="s">
        <v>941</v>
      </c>
      <c r="D894" s="1" t="s">
        <v>942</v>
      </c>
      <c r="E894" s="1">
        <v>169.9</v>
      </c>
      <c r="F894" s="1" t="s">
        <v>8</v>
      </c>
      <c r="G894" s="1" t="s">
        <v>9</v>
      </c>
      <c r="H894" s="1" t="s">
        <v>10</v>
      </c>
    </row>
    <row r="895" spans="1:8" x14ac:dyDescent="0.3">
      <c r="A895" s="1">
        <v>484</v>
      </c>
      <c r="B895" s="1" t="s">
        <v>834</v>
      </c>
      <c r="C895" s="1" t="s">
        <v>943</v>
      </c>
      <c r="D895" s="1" t="s">
        <v>944</v>
      </c>
      <c r="E895" s="1">
        <v>109.9</v>
      </c>
      <c r="F895" s="1" t="s">
        <v>8</v>
      </c>
      <c r="G895" s="1" t="s">
        <v>9</v>
      </c>
      <c r="H895" s="1" t="s">
        <v>10</v>
      </c>
    </row>
    <row r="896" spans="1:8" x14ac:dyDescent="0.3">
      <c r="A896" s="1">
        <v>484</v>
      </c>
      <c r="B896" s="1" t="s">
        <v>834</v>
      </c>
      <c r="C896" s="1" t="s">
        <v>945</v>
      </c>
      <c r="D896" s="1" t="s">
        <v>946</v>
      </c>
      <c r="E896" s="1">
        <v>75.510000000000005</v>
      </c>
      <c r="F896" s="1" t="s">
        <v>8</v>
      </c>
      <c r="G896" s="1" t="s">
        <v>9</v>
      </c>
      <c r="H896" s="1" t="s">
        <v>10</v>
      </c>
    </row>
    <row r="897" spans="1:8" x14ac:dyDescent="0.3">
      <c r="A897" s="1">
        <v>484</v>
      </c>
      <c r="B897" s="1" t="s">
        <v>834</v>
      </c>
      <c r="C897" s="1" t="s">
        <v>947</v>
      </c>
      <c r="D897" s="1" t="s">
        <v>948</v>
      </c>
      <c r="E897" s="1">
        <v>219.9</v>
      </c>
      <c r="F897" s="1" t="s">
        <v>8</v>
      </c>
      <c r="G897" s="1" t="s">
        <v>9</v>
      </c>
      <c r="H897" s="1" t="s">
        <v>10</v>
      </c>
    </row>
    <row r="898" spans="1:8" x14ac:dyDescent="0.3">
      <c r="A898" s="1">
        <v>484</v>
      </c>
      <c r="B898" s="1" t="s">
        <v>834</v>
      </c>
      <c r="C898" s="1" t="s">
        <v>949</v>
      </c>
      <c r="D898" s="1" t="s">
        <v>950</v>
      </c>
      <c r="E898" s="1">
        <v>269.89999999999998</v>
      </c>
      <c r="F898" s="1" t="s">
        <v>8</v>
      </c>
      <c r="G898" s="1" t="s">
        <v>9</v>
      </c>
      <c r="H898" s="1" t="s">
        <v>10</v>
      </c>
    </row>
    <row r="899" spans="1:8" x14ac:dyDescent="0.3">
      <c r="A899" s="1">
        <v>484</v>
      </c>
      <c r="B899" s="1" t="s">
        <v>834</v>
      </c>
      <c r="C899" s="1" t="s">
        <v>951</v>
      </c>
      <c r="D899" s="1" t="s">
        <v>952</v>
      </c>
      <c r="E899" s="1">
        <v>169.9</v>
      </c>
      <c r="F899" s="1" t="s">
        <v>8</v>
      </c>
      <c r="G899" s="1" t="s">
        <v>9</v>
      </c>
      <c r="H899" s="1" t="s">
        <v>10</v>
      </c>
    </row>
    <row r="900" spans="1:8" x14ac:dyDescent="0.3">
      <c r="A900" s="1">
        <v>484</v>
      </c>
      <c r="B900" s="1" t="s">
        <v>834</v>
      </c>
      <c r="C900" s="1" t="s">
        <v>953</v>
      </c>
      <c r="D900" s="1" t="s">
        <v>954</v>
      </c>
      <c r="E900" s="1">
        <v>80.91</v>
      </c>
      <c r="F900" s="1" t="s">
        <v>8</v>
      </c>
      <c r="G900" s="1" t="s">
        <v>9</v>
      </c>
      <c r="H900" s="1" t="s">
        <v>10</v>
      </c>
    </row>
    <row r="901" spans="1:8" x14ac:dyDescent="0.3">
      <c r="A901" s="1">
        <v>484</v>
      </c>
      <c r="B901" s="1" t="s">
        <v>834</v>
      </c>
      <c r="C901" s="1" t="s">
        <v>955</v>
      </c>
      <c r="D901" s="1" t="s">
        <v>956</v>
      </c>
      <c r="E901" s="1">
        <v>199.9</v>
      </c>
      <c r="F901" s="1" t="s">
        <v>8</v>
      </c>
      <c r="G901" s="1" t="s">
        <v>9</v>
      </c>
      <c r="H901" s="1" t="s">
        <v>10</v>
      </c>
    </row>
    <row r="902" spans="1:8" x14ac:dyDescent="0.3">
      <c r="A902" s="1">
        <v>484</v>
      </c>
      <c r="B902" s="1" t="s">
        <v>834</v>
      </c>
      <c r="C902" s="1" t="s">
        <v>957</v>
      </c>
      <c r="D902" s="1" t="s">
        <v>958</v>
      </c>
      <c r="E902" s="1">
        <v>379.8</v>
      </c>
      <c r="F902" s="1" t="s">
        <v>8</v>
      </c>
      <c r="G902" s="1" t="s">
        <v>9</v>
      </c>
      <c r="H902" s="1" t="s">
        <v>10</v>
      </c>
    </row>
    <row r="903" spans="1:8" x14ac:dyDescent="0.3">
      <c r="A903" s="1">
        <v>484</v>
      </c>
      <c r="B903" s="1" t="s">
        <v>834</v>
      </c>
      <c r="C903" s="1" t="s">
        <v>959</v>
      </c>
      <c r="D903" s="1" t="s">
        <v>960</v>
      </c>
      <c r="E903" s="1">
        <v>299.8</v>
      </c>
      <c r="F903" s="1" t="s">
        <v>8</v>
      </c>
      <c r="G903" s="1" t="s">
        <v>9</v>
      </c>
      <c r="H903" s="1" t="s">
        <v>10</v>
      </c>
    </row>
    <row r="904" spans="1:8" x14ac:dyDescent="0.3">
      <c r="A904" s="1">
        <v>484</v>
      </c>
      <c r="B904" s="1" t="s">
        <v>834</v>
      </c>
      <c r="C904" s="1" t="s">
        <v>961</v>
      </c>
      <c r="D904" s="1" t="s">
        <v>962</v>
      </c>
      <c r="E904" s="1">
        <v>25.13</v>
      </c>
      <c r="F904" s="1" t="s">
        <v>8</v>
      </c>
      <c r="G904" s="1" t="s">
        <v>9</v>
      </c>
      <c r="H904" s="1" t="s">
        <v>10</v>
      </c>
    </row>
    <row r="905" spans="1:8" x14ac:dyDescent="0.3">
      <c r="A905" s="1">
        <v>484</v>
      </c>
      <c r="B905" s="1" t="s">
        <v>834</v>
      </c>
      <c r="C905" s="1" t="s">
        <v>963</v>
      </c>
      <c r="D905" s="1" t="s">
        <v>964</v>
      </c>
      <c r="E905" s="1">
        <v>209.9</v>
      </c>
      <c r="F905" s="1" t="s">
        <v>8</v>
      </c>
      <c r="G905" s="1" t="s">
        <v>9</v>
      </c>
      <c r="H905" s="1" t="s">
        <v>10</v>
      </c>
    </row>
    <row r="906" spans="1:8" x14ac:dyDescent="0.3">
      <c r="A906" s="1">
        <v>484</v>
      </c>
      <c r="B906" s="1" t="s">
        <v>834</v>
      </c>
      <c r="C906" s="1" t="s">
        <v>965</v>
      </c>
      <c r="D906" s="1" t="s">
        <v>966</v>
      </c>
      <c r="E906" s="1">
        <v>179.9</v>
      </c>
      <c r="F906" s="1" t="s">
        <v>8</v>
      </c>
      <c r="G906" s="1" t="s">
        <v>9</v>
      </c>
      <c r="H906" s="1" t="s">
        <v>10</v>
      </c>
    </row>
    <row r="907" spans="1:8" x14ac:dyDescent="0.3">
      <c r="A907" s="1">
        <v>484</v>
      </c>
      <c r="B907" s="1" t="s">
        <v>834</v>
      </c>
      <c r="C907" s="1" t="s">
        <v>967</v>
      </c>
      <c r="D907" s="1" t="s">
        <v>968</v>
      </c>
      <c r="E907" s="1">
        <v>61.06</v>
      </c>
      <c r="F907" s="1" t="s">
        <v>8</v>
      </c>
      <c r="G907" s="1" t="s">
        <v>9</v>
      </c>
      <c r="H907" s="1" t="s">
        <v>10</v>
      </c>
    </row>
    <row r="908" spans="1:8" x14ac:dyDescent="0.3">
      <c r="A908" s="1">
        <v>484</v>
      </c>
      <c r="B908" s="1" t="s">
        <v>834</v>
      </c>
      <c r="C908" s="1" t="s">
        <v>969</v>
      </c>
      <c r="D908" s="1" t="s">
        <v>970</v>
      </c>
      <c r="E908" s="1">
        <v>68.2</v>
      </c>
      <c r="F908" s="1" t="s">
        <v>8</v>
      </c>
      <c r="G908" s="1" t="s">
        <v>9</v>
      </c>
      <c r="H908" s="1" t="s">
        <v>10</v>
      </c>
    </row>
    <row r="909" spans="1:8" x14ac:dyDescent="0.3">
      <c r="A909" s="1">
        <v>484</v>
      </c>
      <c r="B909" s="1" t="s">
        <v>834</v>
      </c>
      <c r="C909" s="1" t="s">
        <v>971</v>
      </c>
      <c r="D909" s="1" t="s">
        <v>972</v>
      </c>
      <c r="E909" s="1">
        <v>79.900000000000006</v>
      </c>
      <c r="F909" s="1" t="s">
        <v>8</v>
      </c>
      <c r="G909" s="1" t="s">
        <v>9</v>
      </c>
      <c r="H909" s="1" t="s">
        <v>10</v>
      </c>
    </row>
    <row r="910" spans="1:8" x14ac:dyDescent="0.3">
      <c r="A910" s="1">
        <v>484</v>
      </c>
      <c r="B910" s="1" t="s">
        <v>834</v>
      </c>
      <c r="C910" s="1" t="s">
        <v>973</v>
      </c>
      <c r="D910" s="1" t="s">
        <v>974</v>
      </c>
      <c r="E910" s="1">
        <v>79.900000000000006</v>
      </c>
      <c r="F910" s="1" t="s">
        <v>8</v>
      </c>
      <c r="G910" s="1" t="s">
        <v>9</v>
      </c>
      <c r="H910" s="1" t="s">
        <v>10</v>
      </c>
    </row>
    <row r="911" spans="1:8" x14ac:dyDescent="0.3">
      <c r="A911" s="1">
        <v>484</v>
      </c>
      <c r="B911" s="1" t="s">
        <v>834</v>
      </c>
      <c r="C911" s="1" t="s">
        <v>975</v>
      </c>
      <c r="D911" s="1" t="s">
        <v>976</v>
      </c>
      <c r="E911" s="1">
        <v>33.78</v>
      </c>
      <c r="F911" s="1" t="s">
        <v>8</v>
      </c>
      <c r="G911" s="1" t="s">
        <v>9</v>
      </c>
      <c r="H911" s="1" t="s">
        <v>10</v>
      </c>
    </row>
    <row r="912" spans="1:8" x14ac:dyDescent="0.3">
      <c r="A912" s="1">
        <v>484</v>
      </c>
      <c r="B912" s="1" t="s">
        <v>834</v>
      </c>
      <c r="C912" s="1" t="s">
        <v>977</v>
      </c>
      <c r="D912" s="1" t="s">
        <v>978</v>
      </c>
      <c r="E912" s="1">
        <v>79.900000000000006</v>
      </c>
      <c r="F912" s="1" t="s">
        <v>8</v>
      </c>
      <c r="G912" s="1" t="s">
        <v>9</v>
      </c>
      <c r="H912" s="1" t="s">
        <v>10</v>
      </c>
    </row>
    <row r="913" spans="1:8" x14ac:dyDescent="0.3">
      <c r="A913" s="1">
        <v>484</v>
      </c>
      <c r="B913" s="1" t="s">
        <v>834</v>
      </c>
      <c r="C913" s="1" t="s">
        <v>979</v>
      </c>
      <c r="D913" s="1" t="s">
        <v>980</v>
      </c>
      <c r="E913" s="1">
        <v>810</v>
      </c>
      <c r="F913" s="1" t="s">
        <v>8</v>
      </c>
      <c r="G913" s="1" t="s">
        <v>13</v>
      </c>
      <c r="H913" s="1" t="s">
        <v>10</v>
      </c>
    </row>
    <row r="914" spans="1:8" x14ac:dyDescent="0.3">
      <c r="A914" s="1">
        <v>484</v>
      </c>
      <c r="B914" s="1" t="s">
        <v>834</v>
      </c>
      <c r="C914" s="1" t="s">
        <v>981</v>
      </c>
      <c r="D914" s="1" t="s">
        <v>982</v>
      </c>
      <c r="E914" s="1">
        <v>239.13</v>
      </c>
      <c r="F914" s="1" t="s">
        <v>8</v>
      </c>
      <c r="G914" s="1" t="s">
        <v>9</v>
      </c>
      <c r="H914" s="1" t="s">
        <v>10</v>
      </c>
    </row>
    <row r="915" spans="1:8" x14ac:dyDescent="0.3">
      <c r="A915" s="1">
        <v>484</v>
      </c>
      <c r="B915" s="1" t="s">
        <v>834</v>
      </c>
      <c r="C915" s="1" t="s">
        <v>983</v>
      </c>
      <c r="D915" s="1" t="s">
        <v>984</v>
      </c>
      <c r="E915" s="1">
        <v>219.9</v>
      </c>
      <c r="F915" s="1" t="s">
        <v>8</v>
      </c>
      <c r="G915" s="1" t="s">
        <v>9</v>
      </c>
      <c r="H915" s="1" t="s">
        <v>10</v>
      </c>
    </row>
    <row r="916" spans="1:8" x14ac:dyDescent="0.3">
      <c r="A916" s="1">
        <v>484</v>
      </c>
      <c r="B916" s="1" t="s">
        <v>834</v>
      </c>
      <c r="C916" s="1" t="s">
        <v>985</v>
      </c>
      <c r="D916" s="1" t="s">
        <v>986</v>
      </c>
      <c r="E916" s="1">
        <v>69.91</v>
      </c>
      <c r="F916" s="1" t="s">
        <v>8</v>
      </c>
      <c r="G916" s="1" t="s">
        <v>9</v>
      </c>
      <c r="H916" s="1" t="s">
        <v>10</v>
      </c>
    </row>
    <row r="917" spans="1:8" x14ac:dyDescent="0.3">
      <c r="A917" s="1">
        <v>484</v>
      </c>
      <c r="B917" s="1" t="s">
        <v>834</v>
      </c>
      <c r="C917" s="1" t="s">
        <v>987</v>
      </c>
      <c r="D917" s="1" t="s">
        <v>988</v>
      </c>
      <c r="E917" s="1">
        <v>38.82</v>
      </c>
      <c r="F917" s="1" t="s">
        <v>8</v>
      </c>
      <c r="G917" s="1" t="s">
        <v>9</v>
      </c>
      <c r="H917" s="1" t="s">
        <v>10</v>
      </c>
    </row>
    <row r="918" spans="1:8" x14ac:dyDescent="0.3">
      <c r="A918" s="1">
        <v>484</v>
      </c>
      <c r="B918" s="1" t="s">
        <v>834</v>
      </c>
      <c r="C918" s="1" t="s">
        <v>989</v>
      </c>
      <c r="D918" s="1" t="s">
        <v>990</v>
      </c>
      <c r="E918" s="1">
        <v>279.89999999999998</v>
      </c>
      <c r="F918" s="1" t="s">
        <v>8</v>
      </c>
      <c r="G918" s="1" t="s">
        <v>9</v>
      </c>
      <c r="H918" s="1" t="s">
        <v>10</v>
      </c>
    </row>
    <row r="919" spans="1:8" x14ac:dyDescent="0.3">
      <c r="A919" s="1">
        <v>484</v>
      </c>
      <c r="B919" s="1" t="s">
        <v>834</v>
      </c>
      <c r="C919" s="1" t="s">
        <v>4718</v>
      </c>
      <c r="D919" s="1" t="s">
        <v>4719</v>
      </c>
      <c r="E919" s="1">
        <v>179.9</v>
      </c>
      <c r="F919" s="1" t="s">
        <v>8</v>
      </c>
      <c r="G919" s="1" t="s">
        <v>9</v>
      </c>
      <c r="H919" s="1" t="s">
        <v>10</v>
      </c>
    </row>
    <row r="920" spans="1:8" x14ac:dyDescent="0.3">
      <c r="A920" s="1">
        <v>484</v>
      </c>
      <c r="B920" s="1" t="s">
        <v>834</v>
      </c>
      <c r="C920" s="1" t="s">
        <v>4720</v>
      </c>
      <c r="D920" s="1" t="s">
        <v>4721</v>
      </c>
      <c r="E920" s="1">
        <v>79.900000000000006</v>
      </c>
      <c r="F920" s="1" t="s">
        <v>8</v>
      </c>
      <c r="G920" s="1" t="s">
        <v>9</v>
      </c>
      <c r="H920" s="1" t="s">
        <v>10</v>
      </c>
    </row>
    <row r="921" spans="1:8" x14ac:dyDescent="0.3">
      <c r="A921" s="1">
        <v>484</v>
      </c>
      <c r="B921" s="1" t="s">
        <v>834</v>
      </c>
      <c r="C921" s="1" t="s">
        <v>4722</v>
      </c>
      <c r="D921" s="1" t="s">
        <v>4723</v>
      </c>
      <c r="E921" s="1">
        <v>149.9</v>
      </c>
      <c r="F921" s="1" t="s">
        <v>8</v>
      </c>
      <c r="G921" s="1" t="s">
        <v>9</v>
      </c>
      <c r="H921" s="1" t="s">
        <v>10</v>
      </c>
    </row>
    <row r="922" spans="1:8" x14ac:dyDescent="0.3">
      <c r="A922" s="1">
        <v>484</v>
      </c>
      <c r="B922" s="1" t="s">
        <v>834</v>
      </c>
      <c r="C922" s="1" t="s">
        <v>4724</v>
      </c>
      <c r="D922" s="1" t="s">
        <v>4725</v>
      </c>
      <c r="E922" s="1">
        <v>87</v>
      </c>
      <c r="F922" s="1" t="s">
        <v>8</v>
      </c>
      <c r="G922" s="1" t="s">
        <v>9</v>
      </c>
      <c r="H922" s="1" t="s">
        <v>10</v>
      </c>
    </row>
    <row r="923" spans="1:8" x14ac:dyDescent="0.3">
      <c r="A923" s="1">
        <v>484</v>
      </c>
      <c r="B923" s="1" t="s">
        <v>834</v>
      </c>
      <c r="C923" s="1" t="s">
        <v>4726</v>
      </c>
      <c r="D923" s="1" t="s">
        <v>4727</v>
      </c>
      <c r="E923" s="1">
        <v>219.9</v>
      </c>
      <c r="F923" s="1" t="s">
        <v>8</v>
      </c>
      <c r="G923" s="1" t="s">
        <v>9</v>
      </c>
      <c r="H923" s="1" t="s">
        <v>10</v>
      </c>
    </row>
    <row r="924" spans="1:8" x14ac:dyDescent="0.3">
      <c r="A924" s="1">
        <v>484</v>
      </c>
      <c r="B924" s="1" t="s">
        <v>834</v>
      </c>
      <c r="C924" s="1" t="s">
        <v>4728</v>
      </c>
      <c r="D924" s="1" t="s">
        <v>4729</v>
      </c>
      <c r="E924" s="1">
        <v>220.91</v>
      </c>
      <c r="F924" s="1" t="s">
        <v>8</v>
      </c>
      <c r="G924" s="1" t="s">
        <v>9</v>
      </c>
      <c r="H924" s="1" t="s">
        <v>10</v>
      </c>
    </row>
    <row r="925" spans="1:8" x14ac:dyDescent="0.3">
      <c r="A925" s="1">
        <v>484</v>
      </c>
      <c r="B925" s="1" t="s">
        <v>834</v>
      </c>
      <c r="C925" s="1" t="s">
        <v>4730</v>
      </c>
      <c r="D925" s="1" t="s">
        <v>4731</v>
      </c>
      <c r="E925" s="1">
        <v>93.04</v>
      </c>
      <c r="F925" s="1" t="s">
        <v>8</v>
      </c>
      <c r="G925" s="1" t="s">
        <v>9</v>
      </c>
      <c r="H925" s="1" t="s">
        <v>10</v>
      </c>
    </row>
    <row r="926" spans="1:8" x14ac:dyDescent="0.3">
      <c r="A926" s="1">
        <v>485</v>
      </c>
      <c r="B926" s="1" t="s">
        <v>991</v>
      </c>
      <c r="C926" s="1" t="s">
        <v>992</v>
      </c>
      <c r="D926" s="1" t="s">
        <v>993</v>
      </c>
      <c r="E926" s="1">
        <v>38.82</v>
      </c>
      <c r="F926" s="1" t="s">
        <v>8</v>
      </c>
      <c r="G926" s="1" t="s">
        <v>9</v>
      </c>
      <c r="H926" s="1" t="s">
        <v>10</v>
      </c>
    </row>
    <row r="927" spans="1:8" x14ac:dyDescent="0.3">
      <c r="A927" s="1">
        <v>485</v>
      </c>
      <c r="B927" s="1" t="s">
        <v>991</v>
      </c>
      <c r="C927" s="1" t="s">
        <v>994</v>
      </c>
      <c r="D927" s="1" t="s">
        <v>995</v>
      </c>
      <c r="E927" s="1">
        <v>259.89999999999998</v>
      </c>
      <c r="F927" s="1" t="s">
        <v>8</v>
      </c>
      <c r="G927" s="1" t="s">
        <v>9</v>
      </c>
      <c r="H927" s="1" t="s">
        <v>10</v>
      </c>
    </row>
    <row r="928" spans="1:8" x14ac:dyDescent="0.3">
      <c r="A928" s="1">
        <v>485</v>
      </c>
      <c r="B928" s="1" t="s">
        <v>991</v>
      </c>
      <c r="C928" s="1" t="s">
        <v>996</v>
      </c>
      <c r="D928" s="1" t="s">
        <v>997</v>
      </c>
      <c r="E928" s="1">
        <v>2439.3200000000002</v>
      </c>
      <c r="F928" s="1" t="s">
        <v>8</v>
      </c>
      <c r="G928" s="1" t="s">
        <v>9</v>
      </c>
      <c r="H928" s="1" t="s">
        <v>10</v>
      </c>
    </row>
    <row r="929" spans="1:8" x14ac:dyDescent="0.3">
      <c r="A929" s="1">
        <v>485</v>
      </c>
      <c r="B929" s="1" t="s">
        <v>991</v>
      </c>
      <c r="C929" s="1" t="s">
        <v>998</v>
      </c>
      <c r="D929" s="1" t="s">
        <v>999</v>
      </c>
      <c r="E929" s="1">
        <v>37.020000000000003</v>
      </c>
      <c r="F929" s="1" t="s">
        <v>8</v>
      </c>
      <c r="G929" s="1" t="s">
        <v>9</v>
      </c>
      <c r="H929" s="1" t="s">
        <v>10</v>
      </c>
    </row>
    <row r="930" spans="1:8" x14ac:dyDescent="0.3">
      <c r="A930" s="1">
        <v>485</v>
      </c>
      <c r="B930" s="1" t="s">
        <v>991</v>
      </c>
      <c r="C930" s="1" t="s">
        <v>1000</v>
      </c>
      <c r="D930" s="1" t="s">
        <v>1001</v>
      </c>
      <c r="E930" s="1">
        <v>249.9</v>
      </c>
      <c r="F930" s="1" t="s">
        <v>8</v>
      </c>
      <c r="G930" s="1" t="s">
        <v>9</v>
      </c>
      <c r="H930" s="1" t="s">
        <v>10</v>
      </c>
    </row>
    <row r="931" spans="1:8" x14ac:dyDescent="0.3">
      <c r="A931" s="1">
        <v>485</v>
      </c>
      <c r="B931" s="1" t="s">
        <v>991</v>
      </c>
      <c r="C931" s="1" t="s">
        <v>1002</v>
      </c>
      <c r="D931" s="1" t="s">
        <v>1003</v>
      </c>
      <c r="E931" s="1">
        <v>82.9</v>
      </c>
      <c r="F931" s="1" t="s">
        <v>8</v>
      </c>
      <c r="G931" s="1" t="s">
        <v>9</v>
      </c>
      <c r="H931" s="1" t="s">
        <v>10</v>
      </c>
    </row>
    <row r="932" spans="1:8" x14ac:dyDescent="0.3">
      <c r="A932" s="1">
        <v>485</v>
      </c>
      <c r="B932" s="1" t="s">
        <v>991</v>
      </c>
      <c r="C932" s="1" t="s">
        <v>1004</v>
      </c>
      <c r="D932" s="1" t="s">
        <v>1005</v>
      </c>
      <c r="E932" s="1">
        <v>34.29</v>
      </c>
      <c r="F932" s="1" t="s">
        <v>8</v>
      </c>
      <c r="G932" s="1" t="s">
        <v>9</v>
      </c>
      <c r="H932" s="1" t="s">
        <v>10</v>
      </c>
    </row>
    <row r="933" spans="1:8" x14ac:dyDescent="0.3">
      <c r="A933" s="1">
        <v>485</v>
      </c>
      <c r="B933" s="1" t="s">
        <v>991</v>
      </c>
      <c r="C933" s="1" t="s">
        <v>1006</v>
      </c>
      <c r="D933" s="1" t="s">
        <v>1007</v>
      </c>
      <c r="E933" s="1">
        <v>43.53</v>
      </c>
      <c r="F933" s="1" t="s">
        <v>8</v>
      </c>
      <c r="G933" s="1" t="s">
        <v>9</v>
      </c>
      <c r="H933" s="1" t="s">
        <v>10</v>
      </c>
    </row>
    <row r="934" spans="1:8" x14ac:dyDescent="0.3">
      <c r="A934" s="1">
        <v>485</v>
      </c>
      <c r="B934" s="1" t="s">
        <v>991</v>
      </c>
      <c r="C934" s="1" t="s">
        <v>1008</v>
      </c>
      <c r="D934" s="1" t="s">
        <v>1009</v>
      </c>
      <c r="E934" s="1">
        <v>70.95</v>
      </c>
      <c r="F934" s="1" t="s">
        <v>8</v>
      </c>
      <c r="G934" s="1" t="s">
        <v>9</v>
      </c>
      <c r="H934" s="1" t="s">
        <v>10</v>
      </c>
    </row>
    <row r="935" spans="1:8" x14ac:dyDescent="0.3">
      <c r="A935" s="1">
        <v>485</v>
      </c>
      <c r="B935" s="1" t="s">
        <v>991</v>
      </c>
      <c r="C935" s="1" t="s">
        <v>1010</v>
      </c>
      <c r="D935" s="1" t="s">
        <v>1011</v>
      </c>
      <c r="E935" s="1">
        <v>72.11</v>
      </c>
      <c r="F935" s="1" t="s">
        <v>8</v>
      </c>
      <c r="G935" s="1" t="s">
        <v>9</v>
      </c>
      <c r="H935" s="1" t="s">
        <v>10</v>
      </c>
    </row>
    <row r="936" spans="1:8" x14ac:dyDescent="0.3">
      <c r="A936" s="1">
        <v>485</v>
      </c>
      <c r="B936" s="1" t="s">
        <v>991</v>
      </c>
      <c r="C936" s="1" t="s">
        <v>1012</v>
      </c>
      <c r="D936" s="1" t="s">
        <v>1013</v>
      </c>
      <c r="E936" s="1">
        <v>32.99</v>
      </c>
      <c r="F936" s="1" t="s">
        <v>8</v>
      </c>
      <c r="G936" s="1" t="s">
        <v>9</v>
      </c>
      <c r="H936" s="1" t="s">
        <v>10</v>
      </c>
    </row>
    <row r="937" spans="1:8" x14ac:dyDescent="0.3">
      <c r="A937" s="1">
        <v>485</v>
      </c>
      <c r="B937" s="1" t="s">
        <v>991</v>
      </c>
      <c r="C937" s="1" t="s">
        <v>1014</v>
      </c>
      <c r="D937" s="1" t="s">
        <v>1015</v>
      </c>
      <c r="E937" s="1">
        <v>66.040000000000006</v>
      </c>
      <c r="F937" s="1" t="s">
        <v>8</v>
      </c>
      <c r="G937" s="1" t="s">
        <v>9</v>
      </c>
      <c r="H937" s="1" t="s">
        <v>10</v>
      </c>
    </row>
    <row r="938" spans="1:8" x14ac:dyDescent="0.3">
      <c r="A938" s="1">
        <v>485</v>
      </c>
      <c r="B938" s="1" t="s">
        <v>991</v>
      </c>
      <c r="C938" s="1" t="s">
        <v>1016</v>
      </c>
      <c r="D938" s="1" t="s">
        <v>1017</v>
      </c>
      <c r="E938" s="1">
        <v>4175.88</v>
      </c>
      <c r="F938" s="1" t="s">
        <v>8</v>
      </c>
      <c r="G938" s="1" t="s">
        <v>13</v>
      </c>
      <c r="H938" s="1" t="s">
        <v>10</v>
      </c>
    </row>
    <row r="939" spans="1:8" x14ac:dyDescent="0.3">
      <c r="A939" s="1">
        <v>485</v>
      </c>
      <c r="B939" s="1" t="s">
        <v>991</v>
      </c>
      <c r="C939" s="1" t="s">
        <v>1018</v>
      </c>
      <c r="D939" s="1" t="s">
        <v>1019</v>
      </c>
      <c r="E939" s="1">
        <v>209.9</v>
      </c>
      <c r="F939" s="1" t="s">
        <v>8</v>
      </c>
      <c r="G939" s="1" t="s">
        <v>9</v>
      </c>
      <c r="H939" s="1" t="s">
        <v>10</v>
      </c>
    </row>
    <row r="940" spans="1:8" x14ac:dyDescent="0.3">
      <c r="A940" s="1">
        <v>485</v>
      </c>
      <c r="B940" s="1" t="s">
        <v>991</v>
      </c>
      <c r="C940" s="1" t="s">
        <v>1020</v>
      </c>
      <c r="D940" s="1" t="s">
        <v>1021</v>
      </c>
      <c r="E940" s="1">
        <v>79.900000000000006</v>
      </c>
      <c r="F940" s="1" t="s">
        <v>8</v>
      </c>
      <c r="G940" s="1" t="s">
        <v>9</v>
      </c>
      <c r="H940" s="1" t="s">
        <v>10</v>
      </c>
    </row>
    <row r="941" spans="1:8" x14ac:dyDescent="0.3">
      <c r="A941" s="1">
        <v>485</v>
      </c>
      <c r="B941" s="1" t="s">
        <v>991</v>
      </c>
      <c r="C941" s="1" t="s">
        <v>1022</v>
      </c>
      <c r="D941" s="1" t="s">
        <v>1023</v>
      </c>
      <c r="E941" s="1">
        <v>27.65</v>
      </c>
      <c r="F941" s="1" t="s">
        <v>8</v>
      </c>
      <c r="G941" s="1" t="s">
        <v>9</v>
      </c>
      <c r="H941" s="1" t="s">
        <v>10</v>
      </c>
    </row>
    <row r="942" spans="1:8" x14ac:dyDescent="0.3">
      <c r="A942" s="1">
        <v>485</v>
      </c>
      <c r="B942" s="1" t="s">
        <v>991</v>
      </c>
      <c r="C942" s="1" t="s">
        <v>1024</v>
      </c>
      <c r="D942" s="1" t="s">
        <v>1025</v>
      </c>
      <c r="E942" s="1">
        <v>67.349999999999994</v>
      </c>
      <c r="F942" s="1" t="s">
        <v>8</v>
      </c>
      <c r="G942" s="1" t="s">
        <v>9</v>
      </c>
      <c r="H942" s="1" t="s">
        <v>10</v>
      </c>
    </row>
    <row r="943" spans="1:8" x14ac:dyDescent="0.3">
      <c r="A943" s="1">
        <v>485</v>
      </c>
      <c r="B943" s="1" t="s">
        <v>991</v>
      </c>
      <c r="C943" s="1" t="s">
        <v>1026</v>
      </c>
      <c r="D943" s="1" t="s">
        <v>1027</v>
      </c>
      <c r="E943" s="1">
        <v>45.9</v>
      </c>
      <c r="F943" s="1" t="s">
        <v>8</v>
      </c>
      <c r="G943" s="1" t="s">
        <v>9</v>
      </c>
      <c r="H943" s="1" t="s">
        <v>10</v>
      </c>
    </row>
    <row r="944" spans="1:8" x14ac:dyDescent="0.3">
      <c r="A944" s="1">
        <v>485</v>
      </c>
      <c r="B944" s="1" t="s">
        <v>991</v>
      </c>
      <c r="C944" s="1" t="s">
        <v>1028</v>
      </c>
      <c r="D944" s="1" t="s">
        <v>1029</v>
      </c>
      <c r="E944" s="1">
        <v>143.9</v>
      </c>
      <c r="F944" s="1" t="s">
        <v>8</v>
      </c>
      <c r="G944" s="1" t="s">
        <v>9</v>
      </c>
      <c r="H944" s="1" t="s">
        <v>10</v>
      </c>
    </row>
    <row r="945" spans="1:8" x14ac:dyDescent="0.3">
      <c r="A945" s="1">
        <v>485</v>
      </c>
      <c r="B945" s="1" t="s">
        <v>991</v>
      </c>
      <c r="C945" s="1" t="s">
        <v>1030</v>
      </c>
      <c r="D945" s="1" t="s">
        <v>1031</v>
      </c>
      <c r="E945" s="1">
        <v>169.9</v>
      </c>
      <c r="F945" s="1" t="s">
        <v>8</v>
      </c>
      <c r="G945" s="1" t="s">
        <v>9</v>
      </c>
      <c r="H945" s="1" t="s">
        <v>10</v>
      </c>
    </row>
    <row r="946" spans="1:8" x14ac:dyDescent="0.3">
      <c r="A946" s="1">
        <v>485</v>
      </c>
      <c r="B946" s="1" t="s">
        <v>991</v>
      </c>
      <c r="C946" s="1" t="s">
        <v>1032</v>
      </c>
      <c r="D946" s="1" t="s">
        <v>1033</v>
      </c>
      <c r="E946" s="1">
        <v>40.020000000000003</v>
      </c>
      <c r="F946" s="1" t="s">
        <v>8</v>
      </c>
      <c r="G946" s="1" t="s">
        <v>9</v>
      </c>
      <c r="H946" s="1" t="s">
        <v>10</v>
      </c>
    </row>
    <row r="947" spans="1:8" x14ac:dyDescent="0.3">
      <c r="A947" s="1">
        <v>485</v>
      </c>
      <c r="B947" s="1" t="s">
        <v>991</v>
      </c>
      <c r="C947" s="1" t="s">
        <v>1034</v>
      </c>
      <c r="D947" s="1" t="s">
        <v>1035</v>
      </c>
      <c r="E947" s="1">
        <v>21.96</v>
      </c>
      <c r="F947" s="1" t="s">
        <v>8</v>
      </c>
      <c r="G947" s="1" t="s">
        <v>9</v>
      </c>
      <c r="H947" s="1" t="s">
        <v>10</v>
      </c>
    </row>
    <row r="948" spans="1:8" x14ac:dyDescent="0.3">
      <c r="A948" s="1">
        <v>485</v>
      </c>
      <c r="B948" s="1" t="s">
        <v>991</v>
      </c>
      <c r="C948" s="1" t="s">
        <v>1036</v>
      </c>
      <c r="D948" s="1" t="s">
        <v>1037</v>
      </c>
      <c r="E948" s="1">
        <v>66.290000000000006</v>
      </c>
      <c r="F948" s="1" t="s">
        <v>8</v>
      </c>
      <c r="G948" s="1" t="s">
        <v>9</v>
      </c>
      <c r="H948" s="1" t="s">
        <v>10</v>
      </c>
    </row>
    <row r="949" spans="1:8" x14ac:dyDescent="0.3">
      <c r="A949" s="1">
        <v>485</v>
      </c>
      <c r="B949" s="1" t="s">
        <v>991</v>
      </c>
      <c r="C949" s="1" t="s">
        <v>1038</v>
      </c>
      <c r="D949" s="1" t="s">
        <v>1039</v>
      </c>
      <c r="E949" s="1">
        <v>66.290000000000006</v>
      </c>
      <c r="F949" s="1" t="s">
        <v>8</v>
      </c>
      <c r="G949" s="1" t="s">
        <v>9</v>
      </c>
      <c r="H949" s="1" t="s">
        <v>10</v>
      </c>
    </row>
    <row r="950" spans="1:8" x14ac:dyDescent="0.3">
      <c r="A950" s="1">
        <v>485</v>
      </c>
      <c r="B950" s="1" t="s">
        <v>991</v>
      </c>
      <c r="C950" s="1" t="s">
        <v>1040</v>
      </c>
      <c r="D950" s="1" t="s">
        <v>1041</v>
      </c>
      <c r="E950" s="1">
        <v>72.7</v>
      </c>
      <c r="F950" s="1" t="s">
        <v>8</v>
      </c>
      <c r="G950" s="1" t="s">
        <v>9</v>
      </c>
      <c r="H950" s="1" t="s">
        <v>10</v>
      </c>
    </row>
    <row r="951" spans="1:8" x14ac:dyDescent="0.3">
      <c r="A951" s="1">
        <v>485</v>
      </c>
      <c r="B951" s="1" t="s">
        <v>991</v>
      </c>
      <c r="C951" s="1" t="s">
        <v>1042</v>
      </c>
      <c r="D951" s="1" t="s">
        <v>1043</v>
      </c>
      <c r="E951" s="1">
        <v>139.9</v>
      </c>
      <c r="F951" s="1" t="s">
        <v>8</v>
      </c>
      <c r="G951" s="1" t="s">
        <v>9</v>
      </c>
      <c r="H951" s="1" t="s">
        <v>10</v>
      </c>
    </row>
    <row r="952" spans="1:8" x14ac:dyDescent="0.3">
      <c r="A952" s="1">
        <v>485</v>
      </c>
      <c r="B952" s="1" t="s">
        <v>991</v>
      </c>
      <c r="C952" s="1" t="s">
        <v>1044</v>
      </c>
      <c r="D952" s="1" t="s">
        <v>1045</v>
      </c>
      <c r="E952" s="1">
        <v>154.72</v>
      </c>
      <c r="F952" s="1" t="s">
        <v>8</v>
      </c>
      <c r="G952" s="1" t="s">
        <v>9</v>
      </c>
      <c r="H952" s="1" t="s">
        <v>10</v>
      </c>
    </row>
    <row r="953" spans="1:8" x14ac:dyDescent="0.3">
      <c r="A953" s="1">
        <v>485</v>
      </c>
      <c r="B953" s="1" t="s">
        <v>991</v>
      </c>
      <c r="C953" s="1" t="s">
        <v>1046</v>
      </c>
      <c r="D953" s="1" t="s">
        <v>1047</v>
      </c>
      <c r="E953" s="1">
        <v>539.9</v>
      </c>
      <c r="F953" s="1" t="s">
        <v>8</v>
      </c>
      <c r="G953" s="1" t="s">
        <v>9</v>
      </c>
      <c r="H953" s="1" t="s">
        <v>10</v>
      </c>
    </row>
    <row r="954" spans="1:8" x14ac:dyDescent="0.3">
      <c r="A954" s="1">
        <v>485</v>
      </c>
      <c r="B954" s="1" t="s">
        <v>991</v>
      </c>
      <c r="C954" s="1" t="s">
        <v>1048</v>
      </c>
      <c r="D954" s="1" t="s">
        <v>1049</v>
      </c>
      <c r="E954" s="1">
        <v>149.9</v>
      </c>
      <c r="F954" s="1" t="s">
        <v>8</v>
      </c>
      <c r="G954" s="1" t="s">
        <v>9</v>
      </c>
      <c r="H954" s="1" t="s">
        <v>10</v>
      </c>
    </row>
    <row r="955" spans="1:8" x14ac:dyDescent="0.3">
      <c r="A955" s="1">
        <v>485</v>
      </c>
      <c r="B955" s="1" t="s">
        <v>991</v>
      </c>
      <c r="C955" s="1" t="s">
        <v>1050</v>
      </c>
      <c r="D955" s="1" t="s">
        <v>1051</v>
      </c>
      <c r="E955" s="1">
        <v>43.53</v>
      </c>
      <c r="F955" s="1" t="s">
        <v>8</v>
      </c>
      <c r="G955" s="1" t="s">
        <v>9</v>
      </c>
      <c r="H955" s="1" t="s">
        <v>10</v>
      </c>
    </row>
    <row r="956" spans="1:8" x14ac:dyDescent="0.3">
      <c r="A956" s="1">
        <v>485</v>
      </c>
      <c r="B956" s="1" t="s">
        <v>991</v>
      </c>
      <c r="C956" s="1" t="s">
        <v>1052</v>
      </c>
      <c r="D956" s="1" t="s">
        <v>1053</v>
      </c>
      <c r="E956" s="1">
        <v>30.56</v>
      </c>
      <c r="F956" s="1" t="s">
        <v>8</v>
      </c>
      <c r="G956" s="1" t="s">
        <v>9</v>
      </c>
      <c r="H956" s="1" t="s">
        <v>10</v>
      </c>
    </row>
    <row r="957" spans="1:8" x14ac:dyDescent="0.3">
      <c r="A957" s="1">
        <v>485</v>
      </c>
      <c r="B957" s="1" t="s">
        <v>991</v>
      </c>
      <c r="C957" s="1" t="s">
        <v>1054</v>
      </c>
      <c r="D957" s="1" t="s">
        <v>1055</v>
      </c>
      <c r="E957" s="1">
        <v>114.07</v>
      </c>
      <c r="F957" s="1" t="s">
        <v>8</v>
      </c>
      <c r="G957" s="1" t="s">
        <v>9</v>
      </c>
      <c r="H957" s="1" t="s">
        <v>10</v>
      </c>
    </row>
    <row r="958" spans="1:8" x14ac:dyDescent="0.3">
      <c r="A958" s="1">
        <v>485</v>
      </c>
      <c r="B958" s="1" t="s">
        <v>991</v>
      </c>
      <c r="C958" s="1" t="s">
        <v>1056</v>
      </c>
      <c r="D958" s="1" t="s">
        <v>1057</v>
      </c>
      <c r="E958" s="1">
        <v>34.29</v>
      </c>
      <c r="F958" s="1" t="s">
        <v>8</v>
      </c>
      <c r="G958" s="1" t="s">
        <v>9</v>
      </c>
      <c r="H958" s="1" t="s">
        <v>10</v>
      </c>
    </row>
    <row r="959" spans="1:8" x14ac:dyDescent="0.3">
      <c r="A959" s="1">
        <v>485</v>
      </c>
      <c r="B959" s="1" t="s">
        <v>991</v>
      </c>
      <c r="C959" s="1" t="s">
        <v>1058</v>
      </c>
      <c r="D959" s="1" t="s">
        <v>1059</v>
      </c>
      <c r="E959" s="1">
        <v>116.29</v>
      </c>
      <c r="F959" s="1" t="s">
        <v>8</v>
      </c>
      <c r="G959" s="1" t="s">
        <v>9</v>
      </c>
      <c r="H959" s="1" t="s">
        <v>10</v>
      </c>
    </row>
    <row r="960" spans="1:8" x14ac:dyDescent="0.3">
      <c r="A960" s="1">
        <v>485</v>
      </c>
      <c r="B960" s="1" t="s">
        <v>991</v>
      </c>
      <c r="C960" s="1" t="s">
        <v>1060</v>
      </c>
      <c r="D960" s="1" t="s">
        <v>1061</v>
      </c>
      <c r="E960" s="1">
        <v>45.57</v>
      </c>
      <c r="F960" s="1" t="s">
        <v>8</v>
      </c>
      <c r="G960" s="1" t="s">
        <v>9</v>
      </c>
      <c r="H960" s="1" t="s">
        <v>10</v>
      </c>
    </row>
    <row r="961" spans="1:8" x14ac:dyDescent="0.3">
      <c r="A961" s="1">
        <v>485</v>
      </c>
      <c r="B961" s="1" t="s">
        <v>991</v>
      </c>
      <c r="C961" s="1" t="s">
        <v>1062</v>
      </c>
      <c r="D961" s="1" t="s">
        <v>1063</v>
      </c>
      <c r="E961" s="1">
        <v>15.99</v>
      </c>
      <c r="F961" s="1" t="s">
        <v>8</v>
      </c>
      <c r="G961" s="1" t="s">
        <v>9</v>
      </c>
      <c r="H961" s="1" t="s">
        <v>10</v>
      </c>
    </row>
    <row r="962" spans="1:8" x14ac:dyDescent="0.3">
      <c r="A962" s="1">
        <v>485</v>
      </c>
      <c r="B962" s="1" t="s">
        <v>991</v>
      </c>
      <c r="C962" s="1" t="s">
        <v>1064</v>
      </c>
      <c r="D962" s="1" t="s">
        <v>1065</v>
      </c>
      <c r="E962" s="1">
        <v>38.950000000000003</v>
      </c>
      <c r="F962" s="1" t="s">
        <v>8</v>
      </c>
      <c r="G962" s="1" t="s">
        <v>9</v>
      </c>
      <c r="H962" s="1" t="s">
        <v>10</v>
      </c>
    </row>
    <row r="963" spans="1:8" x14ac:dyDescent="0.3">
      <c r="A963" s="1">
        <v>485</v>
      </c>
      <c r="B963" s="1" t="s">
        <v>991</v>
      </c>
      <c r="C963" s="1" t="s">
        <v>1066</v>
      </c>
      <c r="D963" s="1" t="s">
        <v>1067</v>
      </c>
      <c r="E963" s="1">
        <v>30.46</v>
      </c>
      <c r="F963" s="1" t="s">
        <v>8</v>
      </c>
      <c r="G963" s="1" t="s">
        <v>9</v>
      </c>
      <c r="H963" s="1" t="s">
        <v>10</v>
      </c>
    </row>
    <row r="964" spans="1:8" x14ac:dyDescent="0.3">
      <c r="A964" s="1">
        <v>485</v>
      </c>
      <c r="B964" s="1" t="s">
        <v>991</v>
      </c>
      <c r="C964" s="1" t="s">
        <v>1068</v>
      </c>
      <c r="D964" s="1" t="s">
        <v>1069</v>
      </c>
      <c r="E964" s="1">
        <v>120.42</v>
      </c>
      <c r="F964" s="1" t="s">
        <v>8</v>
      </c>
      <c r="G964" s="1" t="s">
        <v>9</v>
      </c>
      <c r="H964" s="1" t="s">
        <v>10</v>
      </c>
    </row>
    <row r="965" spans="1:8" x14ac:dyDescent="0.3">
      <c r="A965" s="1">
        <v>485</v>
      </c>
      <c r="B965" s="1" t="s">
        <v>991</v>
      </c>
      <c r="C965" s="1" t="s">
        <v>1070</v>
      </c>
      <c r="D965" s="1" t="s">
        <v>1071</v>
      </c>
      <c r="E965" s="1">
        <v>34.29</v>
      </c>
      <c r="F965" s="1" t="s">
        <v>8</v>
      </c>
      <c r="G965" s="1" t="s">
        <v>9</v>
      </c>
      <c r="H965" s="1" t="s">
        <v>10</v>
      </c>
    </row>
    <row r="966" spans="1:8" x14ac:dyDescent="0.3">
      <c r="A966" s="1">
        <v>485</v>
      </c>
      <c r="B966" s="1" t="s">
        <v>991</v>
      </c>
      <c r="C966" s="1" t="s">
        <v>1072</v>
      </c>
      <c r="D966" s="1" t="s">
        <v>1073</v>
      </c>
      <c r="E966" s="1">
        <v>20.83</v>
      </c>
      <c r="F966" s="1" t="s">
        <v>8</v>
      </c>
      <c r="G966" s="1" t="s">
        <v>9</v>
      </c>
      <c r="H966" s="1" t="s">
        <v>10</v>
      </c>
    </row>
    <row r="967" spans="1:8" x14ac:dyDescent="0.3">
      <c r="A967" s="1">
        <v>485</v>
      </c>
      <c r="B967" s="1" t="s">
        <v>991</v>
      </c>
      <c r="C967" s="1" t="s">
        <v>1074</v>
      </c>
      <c r="D967" s="1" t="s">
        <v>1075</v>
      </c>
      <c r="E967" s="1">
        <v>94.9</v>
      </c>
      <c r="F967" s="1" t="s">
        <v>8</v>
      </c>
      <c r="G967" s="1" t="s">
        <v>9</v>
      </c>
      <c r="H967" s="1" t="s">
        <v>10</v>
      </c>
    </row>
    <row r="968" spans="1:8" x14ac:dyDescent="0.3">
      <c r="A968" s="1">
        <v>485</v>
      </c>
      <c r="B968" s="1" t="s">
        <v>991</v>
      </c>
      <c r="C968" s="1" t="s">
        <v>1076</v>
      </c>
      <c r="D968" s="1" t="s">
        <v>1077</v>
      </c>
      <c r="E968" s="1">
        <v>53.91</v>
      </c>
      <c r="F968" s="1" t="s">
        <v>8</v>
      </c>
      <c r="G968" s="1" t="s">
        <v>9</v>
      </c>
      <c r="H968" s="1" t="s">
        <v>10</v>
      </c>
    </row>
    <row r="969" spans="1:8" x14ac:dyDescent="0.3">
      <c r="A969" s="1">
        <v>485</v>
      </c>
      <c r="B969" s="1" t="s">
        <v>991</v>
      </c>
      <c r="C969" s="1" t="s">
        <v>1078</v>
      </c>
      <c r="D969" s="1" t="s">
        <v>1079</v>
      </c>
      <c r="E969" s="1">
        <v>99.9</v>
      </c>
      <c r="F969" s="1" t="s">
        <v>8</v>
      </c>
      <c r="G969" s="1" t="s">
        <v>9</v>
      </c>
      <c r="H969" s="1" t="s">
        <v>10</v>
      </c>
    </row>
    <row r="970" spans="1:8" x14ac:dyDescent="0.3">
      <c r="A970" s="1">
        <v>485</v>
      </c>
      <c r="B970" s="1" t="s">
        <v>991</v>
      </c>
      <c r="C970" s="1" t="s">
        <v>1080</v>
      </c>
      <c r="D970" s="1" t="s">
        <v>1081</v>
      </c>
      <c r="E970" s="1">
        <v>329.9</v>
      </c>
      <c r="F970" s="1" t="s">
        <v>8</v>
      </c>
      <c r="G970" s="1" t="s">
        <v>9</v>
      </c>
      <c r="H970" s="1" t="s">
        <v>10</v>
      </c>
    </row>
    <row r="971" spans="1:8" x14ac:dyDescent="0.3">
      <c r="A971" s="1">
        <v>485</v>
      </c>
      <c r="B971" s="1" t="s">
        <v>991</v>
      </c>
      <c r="C971" s="1" t="s">
        <v>1082</v>
      </c>
      <c r="D971" s="1" t="s">
        <v>1083</v>
      </c>
      <c r="E971" s="1">
        <v>40.020000000000003</v>
      </c>
      <c r="F971" s="1" t="s">
        <v>8</v>
      </c>
      <c r="G971" s="1" t="s">
        <v>9</v>
      </c>
      <c r="H971" s="1" t="s">
        <v>10</v>
      </c>
    </row>
    <row r="972" spans="1:8" x14ac:dyDescent="0.3">
      <c r="A972" s="1">
        <v>485</v>
      </c>
      <c r="B972" s="1" t="s">
        <v>991</v>
      </c>
      <c r="C972" s="1" t="s">
        <v>1084</v>
      </c>
      <c r="D972" s="1" t="s">
        <v>1085</v>
      </c>
      <c r="E972" s="1">
        <v>39.32</v>
      </c>
      <c r="F972" s="1" t="s">
        <v>8</v>
      </c>
      <c r="G972" s="1" t="s">
        <v>9</v>
      </c>
      <c r="H972" s="1" t="s">
        <v>10</v>
      </c>
    </row>
    <row r="973" spans="1:8" x14ac:dyDescent="0.3">
      <c r="A973" s="1">
        <v>485</v>
      </c>
      <c r="B973" s="1" t="s">
        <v>991</v>
      </c>
      <c r="C973" s="1" t="s">
        <v>1086</v>
      </c>
      <c r="D973" s="1" t="s">
        <v>1087</v>
      </c>
      <c r="E973" s="1">
        <v>269.89999999999998</v>
      </c>
      <c r="F973" s="1" t="s">
        <v>8</v>
      </c>
      <c r="G973" s="1" t="s">
        <v>9</v>
      </c>
      <c r="H973" s="1" t="s">
        <v>10</v>
      </c>
    </row>
    <row r="974" spans="1:8" x14ac:dyDescent="0.3">
      <c r="A974" s="1">
        <v>485</v>
      </c>
      <c r="B974" s="1" t="s">
        <v>991</v>
      </c>
      <c r="C974" s="1" t="s">
        <v>1088</v>
      </c>
      <c r="D974" s="1" t="s">
        <v>1089</v>
      </c>
      <c r="E974" s="1">
        <v>139.9</v>
      </c>
      <c r="F974" s="1" t="s">
        <v>8</v>
      </c>
      <c r="G974" s="1" t="s">
        <v>9</v>
      </c>
      <c r="H974" s="1" t="s">
        <v>10</v>
      </c>
    </row>
    <row r="975" spans="1:8" x14ac:dyDescent="0.3">
      <c r="A975" s="1">
        <v>485</v>
      </c>
      <c r="B975" s="1" t="s">
        <v>991</v>
      </c>
      <c r="C975" s="1" t="s">
        <v>1090</v>
      </c>
      <c r="D975" s="1" t="s">
        <v>1091</v>
      </c>
      <c r="E975" s="1">
        <v>167.9</v>
      </c>
      <c r="F975" s="1" t="s">
        <v>8</v>
      </c>
      <c r="G975" s="1" t="s">
        <v>9</v>
      </c>
      <c r="H975" s="1" t="s">
        <v>10</v>
      </c>
    </row>
    <row r="976" spans="1:8" x14ac:dyDescent="0.3">
      <c r="A976" s="1">
        <v>485</v>
      </c>
      <c r="B976" s="1" t="s">
        <v>991</v>
      </c>
      <c r="C976" s="1" t="s">
        <v>1092</v>
      </c>
      <c r="D976" s="1" t="s">
        <v>1093</v>
      </c>
      <c r="E976" s="1">
        <v>38.86</v>
      </c>
      <c r="F976" s="1" t="s">
        <v>8</v>
      </c>
      <c r="G976" s="1" t="s">
        <v>9</v>
      </c>
      <c r="H976" s="1" t="s">
        <v>10</v>
      </c>
    </row>
    <row r="977" spans="1:8" x14ac:dyDescent="0.3">
      <c r="A977" s="1">
        <v>485</v>
      </c>
      <c r="B977" s="1" t="s">
        <v>991</v>
      </c>
      <c r="C977" s="1" t="s">
        <v>1094</v>
      </c>
      <c r="D977" s="1" t="s">
        <v>1095</v>
      </c>
      <c r="E977" s="1">
        <v>67.260000000000005</v>
      </c>
      <c r="F977" s="1" t="s">
        <v>8</v>
      </c>
      <c r="G977" s="1" t="s">
        <v>9</v>
      </c>
      <c r="H977" s="1" t="s">
        <v>10</v>
      </c>
    </row>
    <row r="978" spans="1:8" x14ac:dyDescent="0.3">
      <c r="A978" s="1">
        <v>485</v>
      </c>
      <c r="B978" s="1" t="s">
        <v>991</v>
      </c>
      <c r="C978" s="1" t="s">
        <v>1096</v>
      </c>
      <c r="D978" s="1" t="s">
        <v>1097</v>
      </c>
      <c r="E978" s="1">
        <v>83.72</v>
      </c>
      <c r="F978" s="1" t="s">
        <v>8</v>
      </c>
      <c r="G978" s="1" t="s">
        <v>9</v>
      </c>
      <c r="H978" s="1" t="s">
        <v>10</v>
      </c>
    </row>
    <row r="979" spans="1:8" x14ac:dyDescent="0.3">
      <c r="A979" s="1">
        <v>485</v>
      </c>
      <c r="B979" s="1" t="s">
        <v>991</v>
      </c>
      <c r="C979" s="1" t="s">
        <v>1098</v>
      </c>
      <c r="D979" s="1" t="s">
        <v>1099</v>
      </c>
      <c r="E979" s="1">
        <v>149.9</v>
      </c>
      <c r="F979" s="1" t="s">
        <v>8</v>
      </c>
      <c r="G979" s="1" t="s">
        <v>9</v>
      </c>
      <c r="H979" s="1" t="s">
        <v>10</v>
      </c>
    </row>
    <row r="980" spans="1:8" x14ac:dyDescent="0.3">
      <c r="A980" s="1">
        <v>485</v>
      </c>
      <c r="B980" s="1" t="s">
        <v>991</v>
      </c>
      <c r="C980" s="1" t="s">
        <v>1100</v>
      </c>
      <c r="D980" s="1" t="s">
        <v>1101</v>
      </c>
      <c r="E980" s="1">
        <v>79.900000000000006</v>
      </c>
      <c r="F980" s="1" t="s">
        <v>8</v>
      </c>
      <c r="G980" s="1" t="s">
        <v>9</v>
      </c>
      <c r="H980" s="1" t="s">
        <v>10</v>
      </c>
    </row>
    <row r="981" spans="1:8" x14ac:dyDescent="0.3">
      <c r="A981" s="1">
        <v>485</v>
      </c>
      <c r="B981" s="1" t="s">
        <v>991</v>
      </c>
      <c r="C981" s="1" t="s">
        <v>1102</v>
      </c>
      <c r="D981" s="1" t="s">
        <v>1103</v>
      </c>
      <c r="E981" s="1">
        <v>66.290000000000006</v>
      </c>
      <c r="F981" s="1" t="s">
        <v>8</v>
      </c>
      <c r="G981" s="1" t="s">
        <v>9</v>
      </c>
      <c r="H981" s="1" t="s">
        <v>10</v>
      </c>
    </row>
    <row r="982" spans="1:8" x14ac:dyDescent="0.3">
      <c r="A982" s="1">
        <v>485</v>
      </c>
      <c r="B982" s="1" t="s">
        <v>991</v>
      </c>
      <c r="C982" s="1" t="s">
        <v>1104</v>
      </c>
      <c r="D982" s="1" t="s">
        <v>1105</v>
      </c>
      <c r="E982" s="1">
        <v>339.9</v>
      </c>
      <c r="F982" s="1" t="s">
        <v>8</v>
      </c>
      <c r="G982" s="1" t="s">
        <v>9</v>
      </c>
      <c r="H982" s="1" t="s">
        <v>10</v>
      </c>
    </row>
    <row r="983" spans="1:8" x14ac:dyDescent="0.3">
      <c r="A983" s="1">
        <v>485</v>
      </c>
      <c r="B983" s="1" t="s">
        <v>991</v>
      </c>
      <c r="C983" s="1" t="s">
        <v>1106</v>
      </c>
      <c r="D983" s="1" t="s">
        <v>1107</v>
      </c>
      <c r="E983" s="1">
        <v>32.22</v>
      </c>
      <c r="F983" s="1" t="s">
        <v>8</v>
      </c>
      <c r="G983" s="1" t="s">
        <v>9</v>
      </c>
      <c r="H983" s="1" t="s">
        <v>10</v>
      </c>
    </row>
    <row r="984" spans="1:8" x14ac:dyDescent="0.3">
      <c r="A984" s="1">
        <v>485</v>
      </c>
      <c r="B984" s="1" t="s">
        <v>991</v>
      </c>
      <c r="C984" s="1" t="s">
        <v>1108</v>
      </c>
      <c r="D984" s="1" t="s">
        <v>1109</v>
      </c>
      <c r="E984" s="1">
        <v>79.900000000000006</v>
      </c>
      <c r="F984" s="1" t="s">
        <v>8</v>
      </c>
      <c r="G984" s="1" t="s">
        <v>9</v>
      </c>
      <c r="H984" s="1" t="s">
        <v>10</v>
      </c>
    </row>
    <row r="985" spans="1:8" x14ac:dyDescent="0.3">
      <c r="A985" s="1">
        <v>485</v>
      </c>
      <c r="B985" s="1" t="s">
        <v>991</v>
      </c>
      <c r="C985" s="1" t="s">
        <v>1110</v>
      </c>
      <c r="D985" s="1" t="s">
        <v>1111</v>
      </c>
      <c r="E985" s="1">
        <v>79.900000000000006</v>
      </c>
      <c r="F985" s="1" t="s">
        <v>8</v>
      </c>
      <c r="G985" s="1" t="s">
        <v>9</v>
      </c>
      <c r="H985" s="1" t="s">
        <v>10</v>
      </c>
    </row>
    <row r="986" spans="1:8" x14ac:dyDescent="0.3">
      <c r="A986" s="1">
        <v>485</v>
      </c>
      <c r="B986" s="1" t="s">
        <v>991</v>
      </c>
      <c r="C986" s="1" t="s">
        <v>1112</v>
      </c>
      <c r="D986" s="1" t="s">
        <v>1113</v>
      </c>
      <c r="E986" s="1">
        <v>189.9</v>
      </c>
      <c r="F986" s="1" t="s">
        <v>8</v>
      </c>
      <c r="G986" s="1" t="s">
        <v>9</v>
      </c>
      <c r="H986" s="1" t="s">
        <v>10</v>
      </c>
    </row>
    <row r="987" spans="1:8" x14ac:dyDescent="0.3">
      <c r="A987" s="1">
        <v>485</v>
      </c>
      <c r="B987" s="1" t="s">
        <v>991</v>
      </c>
      <c r="C987" s="1" t="s">
        <v>1114</v>
      </c>
      <c r="D987" s="1" t="s">
        <v>1115</v>
      </c>
      <c r="E987" s="1">
        <v>34.26</v>
      </c>
      <c r="F987" s="1" t="s">
        <v>8</v>
      </c>
      <c r="G987" s="1" t="s">
        <v>9</v>
      </c>
      <c r="H987" s="1" t="s">
        <v>10</v>
      </c>
    </row>
    <row r="988" spans="1:8" x14ac:dyDescent="0.3">
      <c r="A988" s="1">
        <v>485</v>
      </c>
      <c r="B988" s="1" t="s">
        <v>991</v>
      </c>
      <c r="C988" s="1" t="s">
        <v>1116</v>
      </c>
      <c r="D988" s="1" t="s">
        <v>1117</v>
      </c>
      <c r="E988" s="1">
        <v>13.8</v>
      </c>
      <c r="F988" s="1" t="s">
        <v>8</v>
      </c>
      <c r="G988" s="1" t="s">
        <v>9</v>
      </c>
      <c r="H988" s="1" t="s">
        <v>10</v>
      </c>
    </row>
    <row r="989" spans="1:8" x14ac:dyDescent="0.3">
      <c r="A989" s="1">
        <v>485</v>
      </c>
      <c r="B989" s="1" t="s">
        <v>991</v>
      </c>
      <c r="C989" s="1" t="s">
        <v>1118</v>
      </c>
      <c r="D989" s="1" t="s">
        <v>1119</v>
      </c>
      <c r="E989" s="1">
        <v>38.6</v>
      </c>
      <c r="F989" s="1" t="s">
        <v>8</v>
      </c>
      <c r="G989" s="1" t="s">
        <v>9</v>
      </c>
      <c r="H989" s="1" t="s">
        <v>10</v>
      </c>
    </row>
    <row r="990" spans="1:8" x14ac:dyDescent="0.3">
      <c r="A990" s="1">
        <v>485</v>
      </c>
      <c r="B990" s="1" t="s">
        <v>991</v>
      </c>
      <c r="C990" s="1" t="s">
        <v>1120</v>
      </c>
      <c r="D990" s="1" t="s">
        <v>1121</v>
      </c>
      <c r="E990" s="1">
        <v>79.900000000000006</v>
      </c>
      <c r="F990" s="1" t="s">
        <v>8</v>
      </c>
      <c r="G990" s="1" t="s">
        <v>9</v>
      </c>
      <c r="H990" s="1" t="s">
        <v>10</v>
      </c>
    </row>
    <row r="991" spans="1:8" x14ac:dyDescent="0.3">
      <c r="A991" s="1">
        <v>485</v>
      </c>
      <c r="B991" s="1" t="s">
        <v>991</v>
      </c>
      <c r="C991" s="1" t="s">
        <v>1122</v>
      </c>
      <c r="D991" s="1" t="s">
        <v>1123</v>
      </c>
      <c r="E991" s="1">
        <v>58.14</v>
      </c>
      <c r="F991" s="1" t="s">
        <v>8</v>
      </c>
      <c r="G991" s="1" t="s">
        <v>9</v>
      </c>
      <c r="H991" s="1" t="s">
        <v>10</v>
      </c>
    </row>
    <row r="992" spans="1:8" x14ac:dyDescent="0.3">
      <c r="A992" s="1">
        <v>485</v>
      </c>
      <c r="B992" s="1" t="s">
        <v>991</v>
      </c>
      <c r="C992" s="1" t="s">
        <v>1124</v>
      </c>
      <c r="D992" s="1" t="s">
        <v>1125</v>
      </c>
      <c r="E992" s="1">
        <v>219.9</v>
      </c>
      <c r="F992" s="1" t="s">
        <v>8</v>
      </c>
      <c r="G992" s="1" t="s">
        <v>9</v>
      </c>
      <c r="H992" s="1" t="s">
        <v>10</v>
      </c>
    </row>
    <row r="993" spans="1:8" x14ac:dyDescent="0.3">
      <c r="A993" s="1">
        <v>485</v>
      </c>
      <c r="B993" s="1" t="s">
        <v>991</v>
      </c>
      <c r="C993" s="1" t="s">
        <v>1126</v>
      </c>
      <c r="D993" s="1" t="s">
        <v>1127</v>
      </c>
      <c r="E993" s="1">
        <v>339.7</v>
      </c>
      <c r="F993" s="1" t="s">
        <v>8</v>
      </c>
      <c r="G993" s="1" t="s">
        <v>9</v>
      </c>
      <c r="H993" s="1" t="s">
        <v>10</v>
      </c>
    </row>
    <row r="994" spans="1:8" x14ac:dyDescent="0.3">
      <c r="A994" s="1">
        <v>485</v>
      </c>
      <c r="B994" s="1" t="s">
        <v>991</v>
      </c>
      <c r="C994" s="1" t="s">
        <v>1128</v>
      </c>
      <c r="D994" s="1" t="s">
        <v>1129</v>
      </c>
      <c r="E994" s="1">
        <v>109.9</v>
      </c>
      <c r="F994" s="1" t="s">
        <v>8</v>
      </c>
      <c r="G994" s="1" t="s">
        <v>9</v>
      </c>
      <c r="H994" s="1" t="s">
        <v>10</v>
      </c>
    </row>
    <row r="995" spans="1:8" x14ac:dyDescent="0.3">
      <c r="A995" s="1">
        <v>485</v>
      </c>
      <c r="B995" s="1" t="s">
        <v>991</v>
      </c>
      <c r="C995" s="1" t="s">
        <v>1130</v>
      </c>
      <c r="D995" s="1" t="s">
        <v>1131</v>
      </c>
      <c r="E995" s="1">
        <v>143.72999999999999</v>
      </c>
      <c r="F995" s="1" t="s">
        <v>8</v>
      </c>
      <c r="G995" s="1" t="s">
        <v>9</v>
      </c>
      <c r="H995" s="1" t="s">
        <v>10</v>
      </c>
    </row>
    <row r="996" spans="1:8" x14ac:dyDescent="0.3">
      <c r="A996" s="1">
        <v>485</v>
      </c>
      <c r="B996" s="1" t="s">
        <v>991</v>
      </c>
      <c r="C996" s="1" t="s">
        <v>1132</v>
      </c>
      <c r="D996" s="1" t="s">
        <v>1133</v>
      </c>
      <c r="E996" s="1">
        <v>25.5</v>
      </c>
      <c r="F996" s="1" t="s">
        <v>8</v>
      </c>
      <c r="G996" s="1" t="s">
        <v>9</v>
      </c>
      <c r="H996" s="1" t="s">
        <v>10</v>
      </c>
    </row>
    <row r="997" spans="1:8" x14ac:dyDescent="0.3">
      <c r="A997" s="1">
        <v>485</v>
      </c>
      <c r="B997" s="1" t="s">
        <v>991</v>
      </c>
      <c r="C997" s="1" t="s">
        <v>1134</v>
      </c>
      <c r="D997" s="1" t="s">
        <v>1135</v>
      </c>
      <c r="E997" s="1">
        <v>62.8</v>
      </c>
      <c r="F997" s="1" t="s">
        <v>8</v>
      </c>
      <c r="G997" s="1" t="s">
        <v>9</v>
      </c>
      <c r="H997" s="1" t="s">
        <v>10</v>
      </c>
    </row>
    <row r="998" spans="1:8" x14ac:dyDescent="0.3">
      <c r="A998" s="1">
        <v>485</v>
      </c>
      <c r="B998" s="1" t="s">
        <v>991</v>
      </c>
      <c r="C998" s="1" t="s">
        <v>1136</v>
      </c>
      <c r="D998" s="1" t="s">
        <v>1137</v>
      </c>
      <c r="E998" s="1">
        <v>37.020000000000003</v>
      </c>
      <c r="F998" s="1" t="s">
        <v>8</v>
      </c>
      <c r="G998" s="1" t="s">
        <v>9</v>
      </c>
      <c r="H998" s="1" t="s">
        <v>10</v>
      </c>
    </row>
    <row r="999" spans="1:8" x14ac:dyDescent="0.3">
      <c r="A999" s="1">
        <v>485</v>
      </c>
      <c r="B999" s="1" t="s">
        <v>991</v>
      </c>
      <c r="C999" s="1" t="s">
        <v>1138</v>
      </c>
      <c r="D999" s="1" t="s">
        <v>1139</v>
      </c>
      <c r="E999" s="1">
        <v>339.9</v>
      </c>
      <c r="F999" s="1" t="s">
        <v>8</v>
      </c>
      <c r="G999" s="1" t="s">
        <v>9</v>
      </c>
      <c r="H999" s="1" t="s">
        <v>10</v>
      </c>
    </row>
    <row r="1000" spans="1:8" x14ac:dyDescent="0.3">
      <c r="A1000" s="1">
        <v>485</v>
      </c>
      <c r="B1000" s="1" t="s">
        <v>991</v>
      </c>
      <c r="C1000" s="1" t="s">
        <v>1140</v>
      </c>
      <c r="D1000" s="1" t="s">
        <v>1141</v>
      </c>
      <c r="E1000" s="1">
        <v>55.23</v>
      </c>
      <c r="F1000" s="1" t="s">
        <v>8</v>
      </c>
      <c r="G1000" s="1" t="s">
        <v>9</v>
      </c>
      <c r="H1000" s="1" t="s">
        <v>10</v>
      </c>
    </row>
    <row r="1001" spans="1:8" x14ac:dyDescent="0.3">
      <c r="A1001" s="1">
        <v>485</v>
      </c>
      <c r="B1001" s="1" t="s">
        <v>991</v>
      </c>
      <c r="C1001" s="1" t="s">
        <v>1142</v>
      </c>
      <c r="D1001" s="1" t="s">
        <v>1143</v>
      </c>
      <c r="E1001" s="1">
        <v>62</v>
      </c>
      <c r="F1001" s="1" t="s">
        <v>8</v>
      </c>
      <c r="G1001" s="1" t="s">
        <v>9</v>
      </c>
      <c r="H1001" s="1" t="s">
        <v>10</v>
      </c>
    </row>
    <row r="1002" spans="1:8" x14ac:dyDescent="0.3">
      <c r="A1002" s="1">
        <v>485</v>
      </c>
      <c r="B1002" s="1" t="s">
        <v>991</v>
      </c>
      <c r="C1002" s="1" t="s">
        <v>1144</v>
      </c>
      <c r="D1002" s="1" t="s">
        <v>1145</v>
      </c>
      <c r="E1002" s="1">
        <v>199.9</v>
      </c>
      <c r="F1002" s="1" t="s">
        <v>8</v>
      </c>
      <c r="G1002" s="1" t="s">
        <v>9</v>
      </c>
      <c r="H1002" s="1" t="s">
        <v>10</v>
      </c>
    </row>
    <row r="1003" spans="1:8" x14ac:dyDescent="0.3">
      <c r="A1003" s="1">
        <v>485</v>
      </c>
      <c r="B1003" s="1" t="s">
        <v>991</v>
      </c>
      <c r="C1003" s="1" t="s">
        <v>1146</v>
      </c>
      <c r="D1003" s="1" t="s">
        <v>1147</v>
      </c>
      <c r="E1003" s="1">
        <v>139.9</v>
      </c>
      <c r="F1003" s="1" t="s">
        <v>8</v>
      </c>
      <c r="G1003" s="1" t="s">
        <v>9</v>
      </c>
      <c r="H1003" s="1" t="s">
        <v>10</v>
      </c>
    </row>
    <row r="1004" spans="1:8" x14ac:dyDescent="0.3">
      <c r="A1004" s="1">
        <v>485</v>
      </c>
      <c r="B1004" s="1" t="s">
        <v>991</v>
      </c>
      <c r="C1004" s="1" t="s">
        <v>1148</v>
      </c>
      <c r="D1004" s="1" t="s">
        <v>1149</v>
      </c>
      <c r="E1004" s="1">
        <v>74.040000000000006</v>
      </c>
      <c r="F1004" s="1" t="s">
        <v>8</v>
      </c>
      <c r="G1004" s="1" t="s">
        <v>9</v>
      </c>
      <c r="H1004" s="1" t="s">
        <v>10</v>
      </c>
    </row>
    <row r="1005" spans="1:8" x14ac:dyDescent="0.3">
      <c r="A1005" s="1">
        <v>485</v>
      </c>
      <c r="B1005" s="1" t="s">
        <v>991</v>
      </c>
      <c r="C1005" s="1" t="s">
        <v>1150</v>
      </c>
      <c r="D1005" s="1" t="s">
        <v>1151</v>
      </c>
      <c r="E1005" s="1">
        <v>139.9</v>
      </c>
      <c r="F1005" s="1" t="s">
        <v>8</v>
      </c>
      <c r="G1005" s="1" t="s">
        <v>9</v>
      </c>
      <c r="H1005" s="1" t="s">
        <v>10</v>
      </c>
    </row>
    <row r="1006" spans="1:8" x14ac:dyDescent="0.3">
      <c r="A1006" s="1">
        <v>485</v>
      </c>
      <c r="B1006" s="1" t="s">
        <v>991</v>
      </c>
      <c r="C1006" s="1" t="s">
        <v>1152</v>
      </c>
      <c r="D1006" s="1" t="s">
        <v>1153</v>
      </c>
      <c r="E1006" s="1">
        <v>139.9</v>
      </c>
      <c r="F1006" s="1" t="s">
        <v>8</v>
      </c>
      <c r="G1006" s="1" t="s">
        <v>9</v>
      </c>
      <c r="H1006" s="1" t="s">
        <v>10</v>
      </c>
    </row>
    <row r="1007" spans="1:8" x14ac:dyDescent="0.3">
      <c r="A1007" s="1">
        <v>485</v>
      </c>
      <c r="B1007" s="1" t="s">
        <v>991</v>
      </c>
      <c r="C1007" s="1" t="s">
        <v>1154</v>
      </c>
      <c r="D1007" s="1" t="s">
        <v>1155</v>
      </c>
      <c r="E1007" s="1">
        <v>33.380000000000003</v>
      </c>
      <c r="F1007" s="1" t="s">
        <v>8</v>
      </c>
      <c r="G1007" s="1" t="s">
        <v>9</v>
      </c>
      <c r="H1007" s="1" t="s">
        <v>10</v>
      </c>
    </row>
    <row r="1008" spans="1:8" x14ac:dyDescent="0.3">
      <c r="A1008" s="1">
        <v>485</v>
      </c>
      <c r="B1008" s="1" t="s">
        <v>991</v>
      </c>
      <c r="C1008" s="1" t="s">
        <v>1156</v>
      </c>
      <c r="D1008" s="1" t="s">
        <v>1157</v>
      </c>
      <c r="E1008" s="1">
        <v>46.71</v>
      </c>
      <c r="F1008" s="1" t="s">
        <v>8</v>
      </c>
      <c r="G1008" s="1" t="s">
        <v>9</v>
      </c>
      <c r="H1008" s="1" t="s">
        <v>10</v>
      </c>
    </row>
    <row r="1009" spans="1:8" x14ac:dyDescent="0.3">
      <c r="A1009" s="1">
        <v>485</v>
      </c>
      <c r="B1009" s="1" t="s">
        <v>991</v>
      </c>
      <c r="C1009" s="1" t="s">
        <v>1158</v>
      </c>
      <c r="D1009" s="1" t="s">
        <v>1159</v>
      </c>
      <c r="E1009" s="1">
        <v>41.86</v>
      </c>
      <c r="F1009" s="1" t="s">
        <v>8</v>
      </c>
      <c r="G1009" s="1" t="s">
        <v>9</v>
      </c>
      <c r="H1009" s="1" t="s">
        <v>10</v>
      </c>
    </row>
    <row r="1010" spans="1:8" x14ac:dyDescent="0.3">
      <c r="A1010" s="1">
        <v>485</v>
      </c>
      <c r="B1010" s="1" t="s">
        <v>991</v>
      </c>
      <c r="C1010" s="1" t="s">
        <v>1160</v>
      </c>
      <c r="D1010" s="1" t="s">
        <v>1161</v>
      </c>
      <c r="E1010" s="1">
        <v>509.9</v>
      </c>
      <c r="F1010" s="1" t="s">
        <v>8</v>
      </c>
      <c r="G1010" s="1" t="s">
        <v>9</v>
      </c>
      <c r="H1010" s="1" t="s">
        <v>10</v>
      </c>
    </row>
    <row r="1011" spans="1:8" x14ac:dyDescent="0.3">
      <c r="A1011" s="1">
        <v>485</v>
      </c>
      <c r="B1011" s="1" t="s">
        <v>991</v>
      </c>
      <c r="C1011" s="1" t="s">
        <v>1162</v>
      </c>
      <c r="D1011" s="1" t="s">
        <v>1163</v>
      </c>
      <c r="E1011" s="1">
        <v>104.89</v>
      </c>
      <c r="F1011" s="1" t="s">
        <v>8</v>
      </c>
      <c r="G1011" s="1" t="s">
        <v>9</v>
      </c>
      <c r="H1011" s="1" t="s">
        <v>10</v>
      </c>
    </row>
    <row r="1012" spans="1:8" x14ac:dyDescent="0.3">
      <c r="A1012" s="1">
        <v>485</v>
      </c>
      <c r="B1012" s="1" t="s">
        <v>991</v>
      </c>
      <c r="C1012" s="1" t="s">
        <v>1164</v>
      </c>
      <c r="D1012" s="1" t="s">
        <v>1165</v>
      </c>
      <c r="E1012" s="1">
        <v>62.39</v>
      </c>
      <c r="F1012" s="1" t="s">
        <v>8</v>
      </c>
      <c r="G1012" s="1" t="s">
        <v>9</v>
      </c>
      <c r="H1012" s="1" t="s">
        <v>10</v>
      </c>
    </row>
    <row r="1013" spans="1:8" x14ac:dyDescent="0.3">
      <c r="A1013" s="1">
        <v>485</v>
      </c>
      <c r="B1013" s="1" t="s">
        <v>991</v>
      </c>
      <c r="C1013" s="1" t="s">
        <v>1166</v>
      </c>
      <c r="D1013" s="1" t="s">
        <v>1167</v>
      </c>
      <c r="E1013" s="1">
        <v>147.41999999999999</v>
      </c>
      <c r="F1013" s="1" t="s">
        <v>8</v>
      </c>
      <c r="G1013" s="1" t="s">
        <v>9</v>
      </c>
      <c r="H1013" s="1" t="s">
        <v>10</v>
      </c>
    </row>
    <row r="1014" spans="1:8" x14ac:dyDescent="0.3">
      <c r="A1014" s="1">
        <v>485</v>
      </c>
      <c r="B1014" s="1" t="s">
        <v>991</v>
      </c>
      <c r="C1014" s="1" t="s">
        <v>1168</v>
      </c>
      <c r="D1014" s="1" t="s">
        <v>1169</v>
      </c>
      <c r="E1014" s="1">
        <v>129.9</v>
      </c>
      <c r="F1014" s="1" t="s">
        <v>8</v>
      </c>
      <c r="G1014" s="1" t="s">
        <v>9</v>
      </c>
      <c r="H1014" s="1" t="s">
        <v>10</v>
      </c>
    </row>
    <row r="1015" spans="1:8" x14ac:dyDescent="0.3">
      <c r="A1015" s="1">
        <v>485</v>
      </c>
      <c r="B1015" s="1" t="s">
        <v>991</v>
      </c>
      <c r="C1015" s="1" t="s">
        <v>1170</v>
      </c>
      <c r="D1015" s="1" t="s">
        <v>1171</v>
      </c>
      <c r="E1015" s="1">
        <v>79.900000000000006</v>
      </c>
      <c r="F1015" s="1" t="s">
        <v>8</v>
      </c>
      <c r="G1015" s="1" t="s">
        <v>9</v>
      </c>
      <c r="H1015" s="1" t="s">
        <v>10</v>
      </c>
    </row>
    <row r="1016" spans="1:8" x14ac:dyDescent="0.3">
      <c r="A1016" s="1">
        <v>485</v>
      </c>
      <c r="B1016" s="1" t="s">
        <v>991</v>
      </c>
      <c r="C1016" s="1" t="s">
        <v>1172</v>
      </c>
      <c r="D1016" s="1" t="s">
        <v>1173</v>
      </c>
      <c r="E1016" s="1">
        <v>79.900000000000006</v>
      </c>
      <c r="F1016" s="1" t="s">
        <v>8</v>
      </c>
      <c r="G1016" s="1" t="s">
        <v>9</v>
      </c>
      <c r="H1016" s="1" t="s">
        <v>10</v>
      </c>
    </row>
    <row r="1017" spans="1:8" x14ac:dyDescent="0.3">
      <c r="A1017" s="1">
        <v>485</v>
      </c>
      <c r="B1017" s="1" t="s">
        <v>991</v>
      </c>
      <c r="C1017" s="1" t="s">
        <v>1174</v>
      </c>
      <c r="D1017" s="1" t="s">
        <v>1175</v>
      </c>
      <c r="E1017" s="1">
        <v>73.72</v>
      </c>
      <c r="F1017" s="1" t="s">
        <v>8</v>
      </c>
      <c r="G1017" s="1" t="s">
        <v>9</v>
      </c>
      <c r="H1017" s="1" t="s">
        <v>10</v>
      </c>
    </row>
    <row r="1018" spans="1:8" x14ac:dyDescent="0.3">
      <c r="A1018" s="1">
        <v>485</v>
      </c>
      <c r="B1018" s="1" t="s">
        <v>991</v>
      </c>
      <c r="C1018" s="1" t="s">
        <v>1176</v>
      </c>
      <c r="D1018" s="1" t="s">
        <v>1177</v>
      </c>
      <c r="E1018" s="1">
        <v>149.9</v>
      </c>
      <c r="F1018" s="1" t="s">
        <v>8</v>
      </c>
      <c r="G1018" s="1" t="s">
        <v>9</v>
      </c>
      <c r="H1018" s="1" t="s">
        <v>10</v>
      </c>
    </row>
    <row r="1019" spans="1:8" x14ac:dyDescent="0.3">
      <c r="A1019" s="1">
        <v>485</v>
      </c>
      <c r="B1019" s="1" t="s">
        <v>991</v>
      </c>
      <c r="C1019" s="1" t="s">
        <v>1178</v>
      </c>
      <c r="D1019" s="1" t="s">
        <v>1179</v>
      </c>
      <c r="E1019" s="1">
        <v>109.9</v>
      </c>
      <c r="F1019" s="1" t="s">
        <v>8</v>
      </c>
      <c r="G1019" s="1" t="s">
        <v>9</v>
      </c>
      <c r="H1019" s="1" t="s">
        <v>10</v>
      </c>
    </row>
    <row r="1020" spans="1:8" x14ac:dyDescent="0.3">
      <c r="A1020" s="1">
        <v>485</v>
      </c>
      <c r="B1020" s="1" t="s">
        <v>991</v>
      </c>
      <c r="C1020" s="1" t="s">
        <v>1180</v>
      </c>
      <c r="D1020" s="1" t="s">
        <v>1181</v>
      </c>
      <c r="E1020" s="1">
        <v>32.9</v>
      </c>
      <c r="F1020" s="1" t="s">
        <v>8</v>
      </c>
      <c r="G1020" s="1" t="s">
        <v>9</v>
      </c>
      <c r="H1020" s="1" t="s">
        <v>10</v>
      </c>
    </row>
    <row r="1021" spans="1:8" x14ac:dyDescent="0.3">
      <c r="A1021" s="1">
        <v>485</v>
      </c>
      <c r="B1021" s="1" t="s">
        <v>991</v>
      </c>
      <c r="C1021" s="1" t="s">
        <v>1182</v>
      </c>
      <c r="D1021" s="1" t="s">
        <v>1183</v>
      </c>
      <c r="E1021" s="1">
        <v>169.9</v>
      </c>
      <c r="F1021" s="1" t="s">
        <v>8</v>
      </c>
      <c r="G1021" s="1" t="s">
        <v>9</v>
      </c>
      <c r="H1021" s="1" t="s">
        <v>10</v>
      </c>
    </row>
    <row r="1022" spans="1:8" x14ac:dyDescent="0.3">
      <c r="A1022" s="1">
        <v>485</v>
      </c>
      <c r="B1022" s="1" t="s">
        <v>991</v>
      </c>
      <c r="C1022" s="1" t="s">
        <v>1184</v>
      </c>
      <c r="D1022" s="1" t="s">
        <v>1185</v>
      </c>
      <c r="E1022" s="1">
        <v>89.9</v>
      </c>
      <c r="F1022" s="1" t="s">
        <v>8</v>
      </c>
      <c r="G1022" s="1" t="s">
        <v>9</v>
      </c>
      <c r="H1022" s="1" t="s">
        <v>10</v>
      </c>
    </row>
    <row r="1023" spans="1:8" x14ac:dyDescent="0.3">
      <c r="A1023" s="1">
        <v>485</v>
      </c>
      <c r="B1023" s="1" t="s">
        <v>991</v>
      </c>
      <c r="C1023" s="1" t="s">
        <v>1186</v>
      </c>
      <c r="D1023" s="1" t="s">
        <v>1187</v>
      </c>
      <c r="E1023" s="1">
        <v>63.97</v>
      </c>
      <c r="F1023" s="1" t="s">
        <v>8</v>
      </c>
      <c r="G1023" s="1" t="s">
        <v>9</v>
      </c>
      <c r="H1023" s="1" t="s">
        <v>10</v>
      </c>
    </row>
    <row r="1024" spans="1:8" x14ac:dyDescent="0.3">
      <c r="A1024" s="1">
        <v>485</v>
      </c>
      <c r="B1024" s="1" t="s">
        <v>991</v>
      </c>
      <c r="C1024" s="1" t="s">
        <v>1188</v>
      </c>
      <c r="D1024" s="1" t="s">
        <v>1189</v>
      </c>
      <c r="E1024" s="1">
        <v>1322.56</v>
      </c>
      <c r="F1024" s="1" t="s">
        <v>8</v>
      </c>
      <c r="G1024" s="1" t="s">
        <v>9</v>
      </c>
      <c r="H1024" s="1" t="s">
        <v>10</v>
      </c>
    </row>
    <row r="1025" spans="1:8" x14ac:dyDescent="0.3">
      <c r="A1025" s="1">
        <v>485</v>
      </c>
      <c r="B1025" s="1" t="s">
        <v>991</v>
      </c>
      <c r="C1025" s="1" t="s">
        <v>1190</v>
      </c>
      <c r="D1025" s="1" t="s">
        <v>1191</v>
      </c>
      <c r="E1025" s="1">
        <v>149.9</v>
      </c>
      <c r="F1025" s="1" t="s">
        <v>8</v>
      </c>
      <c r="G1025" s="1" t="s">
        <v>9</v>
      </c>
      <c r="H1025" s="1" t="s">
        <v>10</v>
      </c>
    </row>
    <row r="1026" spans="1:8" x14ac:dyDescent="0.3">
      <c r="A1026" s="1">
        <v>485</v>
      </c>
      <c r="B1026" s="1" t="s">
        <v>991</v>
      </c>
      <c r="C1026" s="1" t="s">
        <v>624</v>
      </c>
      <c r="D1026" s="1" t="s">
        <v>1192</v>
      </c>
      <c r="E1026" s="1">
        <v>27.63</v>
      </c>
      <c r="F1026" s="1" t="s">
        <v>8</v>
      </c>
      <c r="G1026" s="1" t="s">
        <v>9</v>
      </c>
      <c r="H1026" s="1" t="s">
        <v>10</v>
      </c>
    </row>
    <row r="1027" spans="1:8" x14ac:dyDescent="0.3">
      <c r="A1027" s="1">
        <v>485</v>
      </c>
      <c r="B1027" s="1" t="s">
        <v>991</v>
      </c>
      <c r="C1027" s="1" t="s">
        <v>1193</v>
      </c>
      <c r="D1027" s="1" t="s">
        <v>1194</v>
      </c>
      <c r="E1027" s="1">
        <v>41.61</v>
      </c>
      <c r="F1027" s="1" t="s">
        <v>8</v>
      </c>
      <c r="G1027" s="1" t="s">
        <v>9</v>
      </c>
      <c r="H1027" s="1" t="s">
        <v>10</v>
      </c>
    </row>
    <row r="1028" spans="1:8" x14ac:dyDescent="0.3">
      <c r="A1028" s="1">
        <v>485</v>
      </c>
      <c r="B1028" s="1" t="s">
        <v>991</v>
      </c>
      <c r="C1028" s="1" t="s">
        <v>1195</v>
      </c>
      <c r="D1028" s="1" t="s">
        <v>1196</v>
      </c>
      <c r="E1028" s="1">
        <v>39.32</v>
      </c>
      <c r="F1028" s="1" t="s">
        <v>8</v>
      </c>
      <c r="G1028" s="1" t="s">
        <v>9</v>
      </c>
      <c r="H1028" s="1" t="s">
        <v>10</v>
      </c>
    </row>
    <row r="1029" spans="1:8" x14ac:dyDescent="0.3">
      <c r="A1029" s="1">
        <v>485</v>
      </c>
      <c r="B1029" s="1" t="s">
        <v>991</v>
      </c>
      <c r="C1029" s="1" t="s">
        <v>1197</v>
      </c>
      <c r="D1029" s="1" t="s">
        <v>1198</v>
      </c>
      <c r="E1029" s="1">
        <v>76</v>
      </c>
      <c r="F1029" s="1" t="s">
        <v>8</v>
      </c>
      <c r="G1029" s="1" t="s">
        <v>9</v>
      </c>
      <c r="H1029" s="1" t="s">
        <v>10</v>
      </c>
    </row>
    <row r="1030" spans="1:8" x14ac:dyDescent="0.3">
      <c r="A1030" s="1">
        <v>485</v>
      </c>
      <c r="B1030" s="1" t="s">
        <v>991</v>
      </c>
      <c r="C1030" s="1" t="s">
        <v>1199</v>
      </c>
      <c r="D1030" s="1" t="s">
        <v>1200</v>
      </c>
      <c r="E1030" s="1">
        <v>79.900000000000006</v>
      </c>
      <c r="F1030" s="1" t="s">
        <v>8</v>
      </c>
      <c r="G1030" s="1" t="s">
        <v>9</v>
      </c>
      <c r="H1030" s="1" t="s">
        <v>10</v>
      </c>
    </row>
    <row r="1031" spans="1:8" x14ac:dyDescent="0.3">
      <c r="A1031" s="1">
        <v>485</v>
      </c>
      <c r="B1031" s="1" t="s">
        <v>991</v>
      </c>
      <c r="C1031" s="1" t="s">
        <v>1201</v>
      </c>
      <c r="D1031" s="1" t="s">
        <v>1202</v>
      </c>
      <c r="E1031" s="1">
        <v>38.950000000000003</v>
      </c>
      <c r="F1031" s="1" t="s">
        <v>8</v>
      </c>
      <c r="G1031" s="1" t="s">
        <v>9</v>
      </c>
      <c r="H1031" s="1" t="s">
        <v>10</v>
      </c>
    </row>
    <row r="1032" spans="1:8" x14ac:dyDescent="0.3">
      <c r="A1032" s="1">
        <v>485</v>
      </c>
      <c r="B1032" s="1" t="s">
        <v>991</v>
      </c>
      <c r="C1032" s="1" t="s">
        <v>1203</v>
      </c>
      <c r="D1032" s="1" t="s">
        <v>1204</v>
      </c>
      <c r="E1032" s="1">
        <v>30.56</v>
      </c>
      <c r="F1032" s="1" t="s">
        <v>8</v>
      </c>
      <c r="G1032" s="1" t="s">
        <v>9</v>
      </c>
      <c r="H1032" s="1" t="s">
        <v>10</v>
      </c>
    </row>
    <row r="1033" spans="1:8" x14ac:dyDescent="0.3">
      <c r="A1033" s="1">
        <v>485</v>
      </c>
      <c r="B1033" s="1" t="s">
        <v>991</v>
      </c>
      <c r="C1033" s="1" t="s">
        <v>1205</v>
      </c>
      <c r="D1033" s="1" t="s">
        <v>1206</v>
      </c>
      <c r="E1033" s="1">
        <v>34.26</v>
      </c>
      <c r="F1033" s="1" t="s">
        <v>8</v>
      </c>
      <c r="G1033" s="1" t="s">
        <v>9</v>
      </c>
      <c r="H1033" s="1" t="s">
        <v>10</v>
      </c>
    </row>
    <row r="1034" spans="1:8" x14ac:dyDescent="0.3">
      <c r="A1034" s="1">
        <v>485</v>
      </c>
      <c r="B1034" s="1" t="s">
        <v>991</v>
      </c>
      <c r="C1034" s="1" t="s">
        <v>1207</v>
      </c>
      <c r="D1034" s="1" t="s">
        <v>1208</v>
      </c>
      <c r="E1034" s="1">
        <v>74.099999999999994</v>
      </c>
      <c r="F1034" s="1" t="s">
        <v>8</v>
      </c>
      <c r="G1034" s="1" t="s">
        <v>9</v>
      </c>
      <c r="H1034" s="1" t="s">
        <v>10</v>
      </c>
    </row>
    <row r="1035" spans="1:8" x14ac:dyDescent="0.3">
      <c r="A1035" s="1">
        <v>485</v>
      </c>
      <c r="B1035" s="1" t="s">
        <v>991</v>
      </c>
      <c r="C1035" s="1" t="s">
        <v>1209</v>
      </c>
      <c r="D1035" s="1" t="s">
        <v>1210</v>
      </c>
      <c r="E1035" s="1">
        <v>30.24</v>
      </c>
      <c r="F1035" s="1" t="s">
        <v>8</v>
      </c>
      <c r="G1035" s="1" t="s">
        <v>9</v>
      </c>
      <c r="H1035" s="1" t="s">
        <v>10</v>
      </c>
    </row>
    <row r="1036" spans="1:8" x14ac:dyDescent="0.3">
      <c r="A1036" s="1">
        <v>485</v>
      </c>
      <c r="B1036" s="1" t="s">
        <v>991</v>
      </c>
      <c r="C1036" s="1" t="s">
        <v>765</v>
      </c>
      <c r="D1036" s="1" t="s">
        <v>1211</v>
      </c>
      <c r="E1036" s="1">
        <v>67.52</v>
      </c>
      <c r="F1036" s="1" t="s">
        <v>8</v>
      </c>
      <c r="G1036" s="1" t="s">
        <v>9</v>
      </c>
      <c r="H1036" s="1" t="s">
        <v>10</v>
      </c>
    </row>
    <row r="1037" spans="1:8" x14ac:dyDescent="0.3">
      <c r="A1037" s="1">
        <v>485</v>
      </c>
      <c r="B1037" s="1" t="s">
        <v>991</v>
      </c>
      <c r="C1037" s="1" t="s">
        <v>640</v>
      </c>
      <c r="D1037" s="1" t="s">
        <v>1212</v>
      </c>
      <c r="E1037" s="1">
        <v>67.900000000000006</v>
      </c>
      <c r="F1037" s="1" t="s">
        <v>8</v>
      </c>
      <c r="G1037" s="1" t="s">
        <v>9</v>
      </c>
      <c r="H1037" s="1" t="s">
        <v>10</v>
      </c>
    </row>
    <row r="1038" spans="1:8" x14ac:dyDescent="0.3">
      <c r="A1038" s="1">
        <v>485</v>
      </c>
      <c r="B1038" s="1" t="s">
        <v>991</v>
      </c>
      <c r="C1038" s="1" t="s">
        <v>1213</v>
      </c>
      <c r="D1038" s="1" t="s">
        <v>1214</v>
      </c>
      <c r="E1038" s="1">
        <v>249.9</v>
      </c>
      <c r="F1038" s="1" t="s">
        <v>8</v>
      </c>
      <c r="G1038" s="1" t="s">
        <v>9</v>
      </c>
      <c r="H1038" s="1" t="s">
        <v>10</v>
      </c>
    </row>
    <row r="1039" spans="1:8" x14ac:dyDescent="0.3">
      <c r="A1039" s="1">
        <v>485</v>
      </c>
      <c r="B1039" s="1" t="s">
        <v>991</v>
      </c>
      <c r="C1039" s="1" t="s">
        <v>1215</v>
      </c>
      <c r="D1039" s="1" t="s">
        <v>1216</v>
      </c>
      <c r="E1039" s="1">
        <v>99.9</v>
      </c>
      <c r="F1039" s="1" t="s">
        <v>8</v>
      </c>
      <c r="G1039" s="1" t="s">
        <v>9</v>
      </c>
      <c r="H1039" s="1" t="s">
        <v>10</v>
      </c>
    </row>
    <row r="1040" spans="1:8" x14ac:dyDescent="0.3">
      <c r="A1040" s="1">
        <v>485</v>
      </c>
      <c r="B1040" s="1" t="s">
        <v>991</v>
      </c>
      <c r="C1040" s="1" t="s">
        <v>1217</v>
      </c>
      <c r="D1040" s="1" t="s">
        <v>1218</v>
      </c>
      <c r="E1040" s="1">
        <v>539.9</v>
      </c>
      <c r="F1040" s="1" t="s">
        <v>8</v>
      </c>
      <c r="G1040" s="1" t="s">
        <v>9</v>
      </c>
      <c r="H1040" s="1" t="s">
        <v>10</v>
      </c>
    </row>
    <row r="1041" spans="1:8" x14ac:dyDescent="0.3">
      <c r="A1041" s="1">
        <v>485</v>
      </c>
      <c r="B1041" s="1" t="s">
        <v>991</v>
      </c>
      <c r="C1041" s="1" t="s">
        <v>1219</v>
      </c>
      <c r="D1041" s="1" t="s">
        <v>1220</v>
      </c>
      <c r="E1041" s="1">
        <v>41.86</v>
      </c>
      <c r="F1041" s="1" t="s">
        <v>8</v>
      </c>
      <c r="G1041" s="1" t="s">
        <v>9</v>
      </c>
      <c r="H1041" s="1" t="s">
        <v>10</v>
      </c>
    </row>
    <row r="1042" spans="1:8" x14ac:dyDescent="0.3">
      <c r="A1042" s="1">
        <v>485</v>
      </c>
      <c r="B1042" s="1" t="s">
        <v>991</v>
      </c>
      <c r="C1042" s="1" t="s">
        <v>1221</v>
      </c>
      <c r="D1042" s="1" t="s">
        <v>1222</v>
      </c>
      <c r="E1042" s="1">
        <v>139.9</v>
      </c>
      <c r="F1042" s="1" t="s">
        <v>8</v>
      </c>
      <c r="G1042" s="1" t="s">
        <v>9</v>
      </c>
      <c r="H1042" s="1" t="s">
        <v>10</v>
      </c>
    </row>
    <row r="1043" spans="1:8" x14ac:dyDescent="0.3">
      <c r="A1043" s="1">
        <v>485</v>
      </c>
      <c r="B1043" s="1" t="s">
        <v>991</v>
      </c>
      <c r="C1043" s="1" t="s">
        <v>1223</v>
      </c>
      <c r="D1043" s="1" t="s">
        <v>1224</v>
      </c>
      <c r="E1043" s="1">
        <v>150.03</v>
      </c>
      <c r="F1043" s="1" t="s">
        <v>8</v>
      </c>
      <c r="G1043" s="1" t="s">
        <v>9</v>
      </c>
      <c r="H1043" s="1" t="s">
        <v>10</v>
      </c>
    </row>
    <row r="1044" spans="1:8" x14ac:dyDescent="0.3">
      <c r="A1044" s="1">
        <v>485</v>
      </c>
      <c r="B1044" s="1" t="s">
        <v>991</v>
      </c>
      <c r="C1044" s="1" t="s">
        <v>1225</v>
      </c>
      <c r="D1044" s="1" t="s">
        <v>1226</v>
      </c>
      <c r="E1044" s="1">
        <v>79.900000000000006</v>
      </c>
      <c r="F1044" s="1" t="s">
        <v>8</v>
      </c>
      <c r="G1044" s="1" t="s">
        <v>9</v>
      </c>
      <c r="H1044" s="1" t="s">
        <v>10</v>
      </c>
    </row>
    <row r="1045" spans="1:8" x14ac:dyDescent="0.3">
      <c r="A1045" s="1">
        <v>485</v>
      </c>
      <c r="B1045" s="1" t="s">
        <v>991</v>
      </c>
      <c r="C1045" s="1" t="s">
        <v>1227</v>
      </c>
      <c r="D1045" s="1" t="s">
        <v>1228</v>
      </c>
      <c r="E1045" s="1">
        <v>259.89999999999998</v>
      </c>
      <c r="F1045" s="1" t="s">
        <v>8</v>
      </c>
      <c r="G1045" s="1" t="s">
        <v>9</v>
      </c>
      <c r="H1045" s="1" t="s">
        <v>10</v>
      </c>
    </row>
    <row r="1046" spans="1:8" x14ac:dyDescent="0.3">
      <c r="A1046" s="1">
        <v>485</v>
      </c>
      <c r="B1046" s="1" t="s">
        <v>991</v>
      </c>
      <c r="C1046" s="1" t="s">
        <v>1229</v>
      </c>
      <c r="D1046" s="1" t="s">
        <v>1230</v>
      </c>
      <c r="E1046" s="1">
        <v>63.96</v>
      </c>
      <c r="F1046" s="1" t="s">
        <v>8</v>
      </c>
      <c r="G1046" s="1" t="s">
        <v>9</v>
      </c>
      <c r="H1046" s="1" t="s">
        <v>10</v>
      </c>
    </row>
    <row r="1047" spans="1:8" x14ac:dyDescent="0.3">
      <c r="A1047" s="1">
        <v>485</v>
      </c>
      <c r="B1047" s="1" t="s">
        <v>991</v>
      </c>
      <c r="C1047" s="1" t="s">
        <v>1231</v>
      </c>
      <c r="D1047" s="1" t="s">
        <v>1232</v>
      </c>
      <c r="E1047" s="1">
        <v>93.33</v>
      </c>
      <c r="F1047" s="1" t="s">
        <v>8</v>
      </c>
      <c r="G1047" s="1" t="s">
        <v>9</v>
      </c>
      <c r="H1047" s="1" t="s">
        <v>10</v>
      </c>
    </row>
    <row r="1048" spans="1:8" x14ac:dyDescent="0.3">
      <c r="A1048" s="1">
        <v>485</v>
      </c>
      <c r="B1048" s="1" t="s">
        <v>991</v>
      </c>
      <c r="C1048" s="1" t="s">
        <v>1233</v>
      </c>
      <c r="D1048" s="1" t="s">
        <v>1234</v>
      </c>
      <c r="E1048" s="1">
        <v>169.9</v>
      </c>
      <c r="F1048" s="1" t="s">
        <v>8</v>
      </c>
      <c r="G1048" s="1" t="s">
        <v>9</v>
      </c>
      <c r="H1048" s="1" t="s">
        <v>10</v>
      </c>
    </row>
    <row r="1049" spans="1:8" x14ac:dyDescent="0.3">
      <c r="A1049" s="1">
        <v>485</v>
      </c>
      <c r="B1049" s="1" t="s">
        <v>991</v>
      </c>
      <c r="C1049" s="1" t="s">
        <v>1235</v>
      </c>
      <c r="D1049" s="1" t="s">
        <v>1236</v>
      </c>
      <c r="E1049" s="1">
        <v>44.96</v>
      </c>
      <c r="F1049" s="1" t="s">
        <v>8</v>
      </c>
      <c r="G1049" s="1" t="s">
        <v>9</v>
      </c>
      <c r="H1049" s="1" t="s">
        <v>10</v>
      </c>
    </row>
    <row r="1050" spans="1:8" x14ac:dyDescent="0.3">
      <c r="A1050" s="1">
        <v>485</v>
      </c>
      <c r="B1050" s="1" t="s">
        <v>991</v>
      </c>
      <c r="C1050" s="1" t="s">
        <v>1237</v>
      </c>
      <c r="D1050" s="1" t="s">
        <v>1238</v>
      </c>
      <c r="E1050" s="1">
        <v>66.260000000000005</v>
      </c>
      <c r="F1050" s="1" t="s">
        <v>8</v>
      </c>
      <c r="G1050" s="1" t="s">
        <v>9</v>
      </c>
      <c r="H1050" s="1" t="s">
        <v>10</v>
      </c>
    </row>
    <row r="1051" spans="1:8" x14ac:dyDescent="0.3">
      <c r="A1051" s="1">
        <v>485</v>
      </c>
      <c r="B1051" s="1" t="s">
        <v>991</v>
      </c>
      <c r="C1051" s="1" t="s">
        <v>1239</v>
      </c>
      <c r="D1051" s="1" t="s">
        <v>1240</v>
      </c>
      <c r="E1051" s="1">
        <v>259.89999999999998</v>
      </c>
      <c r="F1051" s="1" t="s">
        <v>8</v>
      </c>
      <c r="G1051" s="1" t="s">
        <v>9</v>
      </c>
      <c r="H1051" s="1" t="s">
        <v>10</v>
      </c>
    </row>
    <row r="1052" spans="1:8" x14ac:dyDescent="0.3">
      <c r="A1052" s="1">
        <v>485</v>
      </c>
      <c r="B1052" s="1" t="s">
        <v>991</v>
      </c>
      <c r="C1052" s="1" t="s">
        <v>1241</v>
      </c>
      <c r="D1052" s="1" t="s">
        <v>1242</v>
      </c>
      <c r="E1052" s="1">
        <v>79.900000000000006</v>
      </c>
      <c r="F1052" s="1" t="s">
        <v>8</v>
      </c>
      <c r="G1052" s="1" t="s">
        <v>9</v>
      </c>
      <c r="H1052" s="1" t="s">
        <v>10</v>
      </c>
    </row>
    <row r="1053" spans="1:8" x14ac:dyDescent="0.3">
      <c r="A1053" s="1">
        <v>485</v>
      </c>
      <c r="B1053" s="1" t="s">
        <v>991</v>
      </c>
      <c r="C1053" s="1" t="s">
        <v>1243</v>
      </c>
      <c r="D1053" s="1" t="s">
        <v>1244</v>
      </c>
      <c r="E1053" s="1">
        <v>132.58000000000001</v>
      </c>
      <c r="F1053" s="1" t="s">
        <v>8</v>
      </c>
      <c r="G1053" s="1" t="s">
        <v>9</v>
      </c>
      <c r="H1053" s="1" t="s">
        <v>10</v>
      </c>
    </row>
    <row r="1054" spans="1:8" x14ac:dyDescent="0.3">
      <c r="A1054" s="1">
        <v>485</v>
      </c>
      <c r="B1054" s="1" t="s">
        <v>991</v>
      </c>
      <c r="C1054" s="1" t="s">
        <v>1245</v>
      </c>
      <c r="D1054" s="1" t="s">
        <v>1246</v>
      </c>
      <c r="E1054" s="1">
        <v>109.9</v>
      </c>
      <c r="F1054" s="1" t="s">
        <v>8</v>
      </c>
      <c r="G1054" s="1" t="s">
        <v>9</v>
      </c>
      <c r="H1054" s="1" t="s">
        <v>10</v>
      </c>
    </row>
    <row r="1055" spans="1:8" x14ac:dyDescent="0.3">
      <c r="A1055" s="1">
        <v>485</v>
      </c>
      <c r="B1055" s="1" t="s">
        <v>991</v>
      </c>
      <c r="C1055" s="1" t="s">
        <v>1247</v>
      </c>
      <c r="D1055" s="1" t="s">
        <v>1248</v>
      </c>
      <c r="E1055" s="1">
        <v>28.89</v>
      </c>
      <c r="F1055" s="1" t="s">
        <v>8</v>
      </c>
      <c r="G1055" s="1" t="s">
        <v>9</v>
      </c>
      <c r="H1055" s="1" t="s">
        <v>10</v>
      </c>
    </row>
    <row r="1056" spans="1:8" x14ac:dyDescent="0.3">
      <c r="A1056" s="1">
        <v>485</v>
      </c>
      <c r="B1056" s="1" t="s">
        <v>991</v>
      </c>
      <c r="C1056" s="1" t="s">
        <v>1249</v>
      </c>
      <c r="D1056" s="1" t="s">
        <v>1250</v>
      </c>
      <c r="E1056" s="1">
        <v>139.9</v>
      </c>
      <c r="F1056" s="1" t="s">
        <v>8</v>
      </c>
      <c r="G1056" s="1" t="s">
        <v>9</v>
      </c>
      <c r="H1056" s="1" t="s">
        <v>10</v>
      </c>
    </row>
    <row r="1057" spans="1:8" x14ac:dyDescent="0.3">
      <c r="A1057" s="1">
        <v>485</v>
      </c>
      <c r="B1057" s="1" t="s">
        <v>991</v>
      </c>
      <c r="C1057" s="1" t="s">
        <v>1251</v>
      </c>
      <c r="D1057" s="1" t="s">
        <v>1252</v>
      </c>
      <c r="E1057" s="1">
        <v>79.900000000000006</v>
      </c>
      <c r="F1057" s="1" t="s">
        <v>8</v>
      </c>
      <c r="G1057" s="1" t="s">
        <v>9</v>
      </c>
      <c r="H1057" s="1" t="s">
        <v>10</v>
      </c>
    </row>
    <row r="1058" spans="1:8" x14ac:dyDescent="0.3">
      <c r="A1058" s="1">
        <v>485</v>
      </c>
      <c r="B1058" s="1" t="s">
        <v>991</v>
      </c>
      <c r="C1058" s="1" t="s">
        <v>1253</v>
      </c>
      <c r="D1058" s="1" t="s">
        <v>1254</v>
      </c>
      <c r="E1058" s="1">
        <v>329.9</v>
      </c>
      <c r="F1058" s="1" t="s">
        <v>8</v>
      </c>
      <c r="G1058" s="1" t="s">
        <v>9</v>
      </c>
      <c r="H1058" s="1" t="s">
        <v>10</v>
      </c>
    </row>
    <row r="1059" spans="1:8" x14ac:dyDescent="0.3">
      <c r="A1059" s="1">
        <v>485</v>
      </c>
      <c r="B1059" s="1" t="s">
        <v>991</v>
      </c>
      <c r="C1059" s="1" t="s">
        <v>1255</v>
      </c>
      <c r="D1059" s="1" t="s">
        <v>1256</v>
      </c>
      <c r="E1059" s="1">
        <v>139.9</v>
      </c>
      <c r="F1059" s="1" t="s">
        <v>8</v>
      </c>
      <c r="G1059" s="1" t="s">
        <v>9</v>
      </c>
      <c r="H1059" s="1" t="s">
        <v>10</v>
      </c>
    </row>
    <row r="1060" spans="1:8" x14ac:dyDescent="0.3">
      <c r="A1060" s="1">
        <v>485</v>
      </c>
      <c r="B1060" s="1" t="s">
        <v>991</v>
      </c>
      <c r="C1060" s="1" t="s">
        <v>1257</v>
      </c>
      <c r="D1060" s="1" t="s">
        <v>1258</v>
      </c>
      <c r="E1060" s="1">
        <v>79.900000000000006</v>
      </c>
      <c r="F1060" s="1" t="s">
        <v>8</v>
      </c>
      <c r="G1060" s="1" t="s">
        <v>9</v>
      </c>
      <c r="H1060" s="1" t="s">
        <v>10</v>
      </c>
    </row>
    <row r="1061" spans="1:8" x14ac:dyDescent="0.3">
      <c r="A1061" s="1">
        <v>485</v>
      </c>
      <c r="B1061" s="1" t="s">
        <v>991</v>
      </c>
      <c r="C1061" s="1" t="s">
        <v>1259</v>
      </c>
      <c r="D1061" s="1" t="s">
        <v>1260</v>
      </c>
      <c r="E1061" s="1">
        <v>399.9</v>
      </c>
      <c r="F1061" s="1" t="s">
        <v>8</v>
      </c>
      <c r="G1061" s="1" t="s">
        <v>9</v>
      </c>
      <c r="H1061" s="1" t="s">
        <v>10</v>
      </c>
    </row>
    <row r="1062" spans="1:8" x14ac:dyDescent="0.3">
      <c r="A1062" s="1">
        <v>485</v>
      </c>
      <c r="B1062" s="1" t="s">
        <v>991</v>
      </c>
      <c r="C1062" s="1" t="s">
        <v>1261</v>
      </c>
      <c r="D1062" s="1" t="s">
        <v>1262</v>
      </c>
      <c r="E1062" s="1">
        <v>79.900000000000006</v>
      </c>
      <c r="F1062" s="1" t="s">
        <v>8</v>
      </c>
      <c r="G1062" s="1" t="s">
        <v>9</v>
      </c>
      <c r="H1062" s="1" t="s">
        <v>10</v>
      </c>
    </row>
    <row r="1063" spans="1:8" x14ac:dyDescent="0.3">
      <c r="A1063" s="1">
        <v>485</v>
      </c>
      <c r="B1063" s="1" t="s">
        <v>991</v>
      </c>
      <c r="C1063" s="1" t="s">
        <v>1263</v>
      </c>
      <c r="D1063" s="1" t="s">
        <v>1264</v>
      </c>
      <c r="E1063" s="1">
        <v>79.900000000000006</v>
      </c>
      <c r="F1063" s="1" t="s">
        <v>8</v>
      </c>
      <c r="G1063" s="1" t="s">
        <v>9</v>
      </c>
      <c r="H1063" s="1" t="s">
        <v>10</v>
      </c>
    </row>
    <row r="1064" spans="1:8" x14ac:dyDescent="0.3">
      <c r="A1064" s="1">
        <v>485</v>
      </c>
      <c r="B1064" s="1" t="s">
        <v>991</v>
      </c>
      <c r="C1064" s="1" t="s">
        <v>1265</v>
      </c>
      <c r="D1064" s="1" t="s">
        <v>1266</v>
      </c>
      <c r="E1064" s="1">
        <v>359.8</v>
      </c>
      <c r="F1064" s="1" t="s">
        <v>8</v>
      </c>
      <c r="G1064" s="1" t="s">
        <v>9</v>
      </c>
      <c r="H1064" s="1" t="s">
        <v>10</v>
      </c>
    </row>
    <row r="1065" spans="1:8" x14ac:dyDescent="0.3">
      <c r="A1065" s="1">
        <v>485</v>
      </c>
      <c r="B1065" s="1" t="s">
        <v>991</v>
      </c>
      <c r="C1065" s="1" t="s">
        <v>1267</v>
      </c>
      <c r="D1065" s="1" t="s">
        <v>1268</v>
      </c>
      <c r="E1065" s="1">
        <v>810</v>
      </c>
      <c r="F1065" s="1" t="s">
        <v>8</v>
      </c>
      <c r="G1065" s="1" t="s">
        <v>13</v>
      </c>
      <c r="H1065" s="1" t="s">
        <v>10</v>
      </c>
    </row>
    <row r="1066" spans="1:8" x14ac:dyDescent="0.3">
      <c r="A1066" s="1">
        <v>485</v>
      </c>
      <c r="B1066" s="1" t="s">
        <v>991</v>
      </c>
      <c r="C1066" s="1" t="s">
        <v>1269</v>
      </c>
      <c r="D1066" s="1" t="s">
        <v>1270</v>
      </c>
      <c r="E1066" s="1">
        <v>219.9</v>
      </c>
      <c r="F1066" s="1" t="s">
        <v>8</v>
      </c>
      <c r="G1066" s="1" t="s">
        <v>9</v>
      </c>
      <c r="H1066" s="1" t="s">
        <v>10</v>
      </c>
    </row>
    <row r="1067" spans="1:8" x14ac:dyDescent="0.3">
      <c r="A1067" s="1">
        <v>485</v>
      </c>
      <c r="B1067" s="1" t="s">
        <v>991</v>
      </c>
      <c r="C1067" s="1" t="s">
        <v>1271</v>
      </c>
      <c r="D1067" s="1" t="s">
        <v>1272</v>
      </c>
      <c r="E1067" s="1">
        <v>142.38</v>
      </c>
      <c r="F1067" s="1" t="s">
        <v>8</v>
      </c>
      <c r="G1067" s="1" t="s">
        <v>9</v>
      </c>
      <c r="H1067" s="1" t="s">
        <v>10</v>
      </c>
    </row>
    <row r="1068" spans="1:8" x14ac:dyDescent="0.3">
      <c r="A1068" s="1">
        <v>485</v>
      </c>
      <c r="B1068" s="1" t="s">
        <v>991</v>
      </c>
      <c r="C1068" s="1" t="s">
        <v>1273</v>
      </c>
      <c r="D1068" s="1" t="s">
        <v>1274</v>
      </c>
      <c r="E1068" s="1">
        <v>79.900000000000006</v>
      </c>
      <c r="F1068" s="1" t="s">
        <v>8</v>
      </c>
      <c r="G1068" s="1" t="s">
        <v>9</v>
      </c>
      <c r="H1068" s="1" t="s">
        <v>10</v>
      </c>
    </row>
    <row r="1069" spans="1:8" x14ac:dyDescent="0.3">
      <c r="A1069" s="1">
        <v>485</v>
      </c>
      <c r="B1069" s="1" t="s">
        <v>991</v>
      </c>
      <c r="C1069" s="1" t="s">
        <v>1275</v>
      </c>
      <c r="D1069" s="1" t="s">
        <v>1276</v>
      </c>
      <c r="E1069" s="1">
        <v>72.7</v>
      </c>
      <c r="F1069" s="1" t="s">
        <v>8</v>
      </c>
      <c r="G1069" s="1" t="s">
        <v>9</v>
      </c>
      <c r="H1069" s="1" t="s">
        <v>10</v>
      </c>
    </row>
    <row r="1070" spans="1:8" x14ac:dyDescent="0.3">
      <c r="A1070" s="1">
        <v>485</v>
      </c>
      <c r="B1070" s="1" t="s">
        <v>991</v>
      </c>
      <c r="C1070" s="1" t="s">
        <v>1277</v>
      </c>
      <c r="D1070" s="1" t="s">
        <v>1278</v>
      </c>
      <c r="E1070" s="1">
        <v>249.8</v>
      </c>
      <c r="F1070" s="1" t="s">
        <v>8</v>
      </c>
      <c r="G1070" s="1" t="s">
        <v>9</v>
      </c>
      <c r="H1070" s="1" t="s">
        <v>10</v>
      </c>
    </row>
    <row r="1071" spans="1:8" x14ac:dyDescent="0.3">
      <c r="A1071" s="1">
        <v>485</v>
      </c>
      <c r="B1071" s="1" t="s">
        <v>991</v>
      </c>
      <c r="C1071" s="1" t="s">
        <v>1279</v>
      </c>
      <c r="D1071" s="1" t="s">
        <v>1280</v>
      </c>
      <c r="E1071" s="1">
        <v>279.89999999999998</v>
      </c>
      <c r="F1071" s="1" t="s">
        <v>8</v>
      </c>
      <c r="G1071" s="1" t="s">
        <v>9</v>
      </c>
      <c r="H1071" s="1" t="s">
        <v>10</v>
      </c>
    </row>
    <row r="1072" spans="1:8" x14ac:dyDescent="0.3">
      <c r="A1072" s="1">
        <v>485</v>
      </c>
      <c r="B1072" s="1" t="s">
        <v>991</v>
      </c>
      <c r="C1072" s="1" t="s">
        <v>1281</v>
      </c>
      <c r="D1072" s="1" t="s">
        <v>1282</v>
      </c>
      <c r="E1072" s="1">
        <v>129.9</v>
      </c>
      <c r="F1072" s="1" t="s">
        <v>8</v>
      </c>
      <c r="G1072" s="1" t="s">
        <v>9</v>
      </c>
      <c r="H1072" s="1" t="s">
        <v>10</v>
      </c>
    </row>
    <row r="1073" spans="1:8" x14ac:dyDescent="0.3">
      <c r="A1073" s="1">
        <v>485</v>
      </c>
      <c r="B1073" s="1" t="s">
        <v>991</v>
      </c>
      <c r="C1073" s="1" t="s">
        <v>1283</v>
      </c>
      <c r="D1073" s="1" t="s">
        <v>1284</v>
      </c>
      <c r="E1073" s="1">
        <v>21</v>
      </c>
      <c r="F1073" s="1" t="s">
        <v>8</v>
      </c>
      <c r="G1073" s="1" t="s">
        <v>9</v>
      </c>
      <c r="H1073" s="1" t="s">
        <v>10</v>
      </c>
    </row>
    <row r="1074" spans="1:8" x14ac:dyDescent="0.3">
      <c r="A1074" s="1">
        <v>485</v>
      </c>
      <c r="B1074" s="1" t="s">
        <v>991</v>
      </c>
      <c r="C1074" s="1" t="s">
        <v>1285</v>
      </c>
      <c r="D1074" s="1" t="s">
        <v>1286</v>
      </c>
      <c r="E1074" s="1">
        <v>79.900000000000006</v>
      </c>
      <c r="F1074" s="1" t="s">
        <v>8</v>
      </c>
      <c r="G1074" s="1" t="s">
        <v>9</v>
      </c>
      <c r="H1074" s="1" t="s">
        <v>10</v>
      </c>
    </row>
    <row r="1075" spans="1:8" x14ac:dyDescent="0.3">
      <c r="A1075" s="1">
        <v>485</v>
      </c>
      <c r="B1075" s="1" t="s">
        <v>991</v>
      </c>
      <c r="C1075" s="1" t="s">
        <v>1287</v>
      </c>
      <c r="D1075" s="1" t="s">
        <v>1288</v>
      </c>
      <c r="E1075" s="1">
        <v>62.8</v>
      </c>
      <c r="F1075" s="1" t="s">
        <v>8</v>
      </c>
      <c r="G1075" s="1" t="s">
        <v>9</v>
      </c>
      <c r="H1075" s="1" t="s">
        <v>10</v>
      </c>
    </row>
    <row r="1076" spans="1:8" x14ac:dyDescent="0.3">
      <c r="A1076" s="1">
        <v>485</v>
      </c>
      <c r="B1076" s="1" t="s">
        <v>991</v>
      </c>
      <c r="C1076" s="1" t="s">
        <v>1289</v>
      </c>
      <c r="D1076" s="1" t="s">
        <v>1290</v>
      </c>
      <c r="E1076" s="1">
        <v>33.85</v>
      </c>
      <c r="F1076" s="1" t="s">
        <v>8</v>
      </c>
      <c r="G1076" s="1" t="s">
        <v>9</v>
      </c>
      <c r="H1076" s="1" t="s">
        <v>10</v>
      </c>
    </row>
    <row r="1077" spans="1:8" x14ac:dyDescent="0.3">
      <c r="A1077" s="1">
        <v>485</v>
      </c>
      <c r="B1077" s="1" t="s">
        <v>991</v>
      </c>
      <c r="C1077" s="1" t="s">
        <v>1291</v>
      </c>
      <c r="D1077" s="1" t="s">
        <v>1292</v>
      </c>
      <c r="E1077" s="1">
        <v>199.9</v>
      </c>
      <c r="F1077" s="1" t="s">
        <v>8</v>
      </c>
      <c r="G1077" s="1" t="s">
        <v>9</v>
      </c>
      <c r="H1077" s="1" t="s">
        <v>10</v>
      </c>
    </row>
    <row r="1078" spans="1:8" x14ac:dyDescent="0.3">
      <c r="A1078" s="1">
        <v>485</v>
      </c>
      <c r="B1078" s="1" t="s">
        <v>991</v>
      </c>
      <c r="C1078" s="1" t="s">
        <v>4732</v>
      </c>
      <c r="D1078" s="1" t="s">
        <v>4733</v>
      </c>
      <c r="E1078" s="1">
        <v>859.39</v>
      </c>
      <c r="F1078" s="1" t="s">
        <v>8</v>
      </c>
      <c r="G1078" s="1" t="s">
        <v>9</v>
      </c>
      <c r="H1078" s="1" t="s">
        <v>10</v>
      </c>
    </row>
    <row r="1079" spans="1:8" x14ac:dyDescent="0.3">
      <c r="A1079" s="1">
        <v>485</v>
      </c>
      <c r="B1079" s="1" t="s">
        <v>991</v>
      </c>
      <c r="C1079" s="1" t="s">
        <v>4734</v>
      </c>
      <c r="D1079" s="1" t="s">
        <v>4735</v>
      </c>
      <c r="E1079" s="1">
        <v>71.45</v>
      </c>
      <c r="F1079" s="1" t="s">
        <v>8</v>
      </c>
      <c r="G1079" s="1" t="s">
        <v>9</v>
      </c>
      <c r="H1079" s="1" t="s">
        <v>10</v>
      </c>
    </row>
    <row r="1080" spans="1:8" x14ac:dyDescent="0.3">
      <c r="A1080" s="1">
        <v>485</v>
      </c>
      <c r="B1080" s="1" t="s">
        <v>991</v>
      </c>
      <c r="C1080" s="1" t="s">
        <v>4736</v>
      </c>
      <c r="D1080" s="1" t="s">
        <v>4737</v>
      </c>
      <c r="E1080" s="1">
        <v>83</v>
      </c>
      <c r="F1080" s="1" t="s">
        <v>8</v>
      </c>
      <c r="G1080" s="1" t="s">
        <v>9</v>
      </c>
      <c r="H1080" s="1" t="s">
        <v>10</v>
      </c>
    </row>
    <row r="1081" spans="1:8" x14ac:dyDescent="0.3">
      <c r="A1081" s="1">
        <v>485</v>
      </c>
      <c r="B1081" s="1" t="s">
        <v>991</v>
      </c>
      <c r="C1081" s="1" t="s">
        <v>4738</v>
      </c>
      <c r="D1081" s="1" t="s">
        <v>4739</v>
      </c>
      <c r="E1081" s="1">
        <v>77.2</v>
      </c>
      <c r="F1081" s="1" t="s">
        <v>8</v>
      </c>
      <c r="G1081" s="1" t="s">
        <v>9</v>
      </c>
      <c r="H1081" s="1" t="s">
        <v>10</v>
      </c>
    </row>
    <row r="1082" spans="1:8" x14ac:dyDescent="0.3">
      <c r="A1082" s="1">
        <v>485</v>
      </c>
      <c r="B1082" s="1" t="s">
        <v>991</v>
      </c>
      <c r="C1082" s="1" t="s">
        <v>4740</v>
      </c>
      <c r="D1082" s="1" t="s">
        <v>4741</v>
      </c>
      <c r="E1082" s="1">
        <v>209.8</v>
      </c>
      <c r="F1082" s="1" t="s">
        <v>8</v>
      </c>
      <c r="G1082" s="1" t="s">
        <v>9</v>
      </c>
      <c r="H1082" s="1" t="s">
        <v>10</v>
      </c>
    </row>
    <row r="1083" spans="1:8" x14ac:dyDescent="0.3">
      <c r="A1083" s="1">
        <v>485</v>
      </c>
      <c r="B1083" s="1" t="s">
        <v>991</v>
      </c>
      <c r="C1083" s="1" t="s">
        <v>1994</v>
      </c>
      <c r="D1083" s="1" t="s">
        <v>4742</v>
      </c>
      <c r="E1083" s="1">
        <v>35</v>
      </c>
      <c r="F1083" s="1" t="s">
        <v>8</v>
      </c>
      <c r="G1083" s="1" t="s">
        <v>9</v>
      </c>
      <c r="H1083" s="1" t="s">
        <v>10</v>
      </c>
    </row>
    <row r="1084" spans="1:8" x14ac:dyDescent="0.3">
      <c r="A1084" s="1">
        <v>485</v>
      </c>
      <c r="B1084" s="1" t="s">
        <v>991</v>
      </c>
      <c r="C1084" s="1" t="s">
        <v>4743</v>
      </c>
      <c r="D1084" s="1" t="s">
        <v>4744</v>
      </c>
      <c r="E1084" s="1">
        <v>41.86</v>
      </c>
      <c r="F1084" s="1" t="s">
        <v>8</v>
      </c>
      <c r="G1084" s="1" t="s">
        <v>9</v>
      </c>
      <c r="H1084" s="1" t="s">
        <v>10</v>
      </c>
    </row>
    <row r="1085" spans="1:8" x14ac:dyDescent="0.3">
      <c r="A1085" s="1">
        <v>485</v>
      </c>
      <c r="B1085" s="1" t="s">
        <v>991</v>
      </c>
      <c r="C1085" s="1" t="s">
        <v>4745</v>
      </c>
      <c r="D1085" s="1" t="s">
        <v>4746</v>
      </c>
      <c r="E1085" s="1">
        <v>189.9</v>
      </c>
      <c r="F1085" s="1" t="s">
        <v>8</v>
      </c>
      <c r="G1085" s="1" t="s">
        <v>9</v>
      </c>
      <c r="H1085" s="1" t="s">
        <v>10</v>
      </c>
    </row>
    <row r="1086" spans="1:8" x14ac:dyDescent="0.3">
      <c r="A1086" s="1">
        <v>485</v>
      </c>
      <c r="B1086" s="1" t="s">
        <v>991</v>
      </c>
      <c r="C1086" s="1" t="s">
        <v>4747</v>
      </c>
      <c r="D1086" s="1" t="s">
        <v>4748</v>
      </c>
      <c r="E1086" s="1">
        <v>124.96</v>
      </c>
      <c r="F1086" s="1" t="s">
        <v>8</v>
      </c>
      <c r="G1086" s="1" t="s">
        <v>9</v>
      </c>
      <c r="H1086" s="1" t="s">
        <v>10</v>
      </c>
    </row>
    <row r="1087" spans="1:8" x14ac:dyDescent="0.3">
      <c r="A1087" s="1">
        <v>485</v>
      </c>
      <c r="B1087" s="1" t="s">
        <v>991</v>
      </c>
      <c r="C1087" s="1" t="s">
        <v>4749</v>
      </c>
      <c r="D1087" s="1" t="s">
        <v>4750</v>
      </c>
      <c r="E1087" s="1">
        <v>27.2</v>
      </c>
      <c r="F1087" s="1" t="s">
        <v>8</v>
      </c>
      <c r="G1087" s="1" t="s">
        <v>9</v>
      </c>
      <c r="H1087" s="1" t="s">
        <v>10</v>
      </c>
    </row>
    <row r="1088" spans="1:8" x14ac:dyDescent="0.3">
      <c r="A1088" s="1">
        <v>485</v>
      </c>
      <c r="B1088" s="1" t="s">
        <v>991</v>
      </c>
      <c r="C1088" s="1" t="s">
        <v>4751</v>
      </c>
      <c r="D1088" s="1" t="s">
        <v>4752</v>
      </c>
      <c r="E1088" s="1">
        <v>83.22</v>
      </c>
      <c r="F1088" s="1" t="s">
        <v>8</v>
      </c>
      <c r="G1088" s="1" t="s">
        <v>9</v>
      </c>
      <c r="H1088" s="1" t="s">
        <v>10</v>
      </c>
    </row>
    <row r="1089" spans="1:8" x14ac:dyDescent="0.3">
      <c r="A1089" s="1">
        <v>485</v>
      </c>
      <c r="B1089" s="1" t="s">
        <v>991</v>
      </c>
      <c r="C1089" s="1" t="s">
        <v>4753</v>
      </c>
      <c r="D1089" s="1" t="s">
        <v>4754</v>
      </c>
      <c r="E1089" s="1">
        <v>179.8</v>
      </c>
      <c r="F1089" s="1" t="s">
        <v>8</v>
      </c>
      <c r="G1089" s="1" t="s">
        <v>9</v>
      </c>
      <c r="H1089" s="1" t="s">
        <v>10</v>
      </c>
    </row>
    <row r="1090" spans="1:8" x14ac:dyDescent="0.3">
      <c r="A1090" s="1">
        <v>514</v>
      </c>
      <c r="B1090" s="1" t="s">
        <v>1300</v>
      </c>
      <c r="C1090" s="1" t="s">
        <v>374</v>
      </c>
      <c r="D1090" s="1" t="s">
        <v>1301</v>
      </c>
      <c r="E1090" s="1">
        <v>253.11</v>
      </c>
      <c r="F1090" s="1" t="s">
        <v>8</v>
      </c>
      <c r="G1090" s="1" t="s">
        <v>9</v>
      </c>
      <c r="H1090" s="1" t="s">
        <v>10</v>
      </c>
    </row>
    <row r="1091" spans="1:8" x14ac:dyDescent="0.3">
      <c r="A1091" s="1">
        <v>514</v>
      </c>
      <c r="B1091" s="1" t="s">
        <v>1300</v>
      </c>
      <c r="C1091" s="1" t="s">
        <v>1302</v>
      </c>
      <c r="D1091" s="1" t="s">
        <v>1303</v>
      </c>
      <c r="E1091" s="1">
        <v>260.39999999999998</v>
      </c>
      <c r="F1091" s="1" t="s">
        <v>8</v>
      </c>
      <c r="G1091" s="1" t="s">
        <v>9</v>
      </c>
      <c r="H1091" s="1" t="s">
        <v>10</v>
      </c>
    </row>
    <row r="1092" spans="1:8" x14ac:dyDescent="0.3">
      <c r="A1092" s="1">
        <v>514</v>
      </c>
      <c r="B1092" s="1" t="s">
        <v>1300</v>
      </c>
      <c r="C1092" s="1" t="s">
        <v>1304</v>
      </c>
      <c r="D1092" s="1" t="s">
        <v>1305</v>
      </c>
      <c r="E1092" s="1">
        <v>303.58</v>
      </c>
      <c r="F1092" s="1" t="s">
        <v>8</v>
      </c>
      <c r="G1092" s="1" t="s">
        <v>9</v>
      </c>
      <c r="H1092" s="1" t="s">
        <v>10</v>
      </c>
    </row>
    <row r="1093" spans="1:8" x14ac:dyDescent="0.3">
      <c r="A1093" s="1">
        <v>514</v>
      </c>
      <c r="B1093" s="1" t="s">
        <v>1300</v>
      </c>
      <c r="C1093" s="1" t="s">
        <v>375</v>
      </c>
      <c r="D1093" s="1" t="s">
        <v>1306</v>
      </c>
      <c r="E1093" s="1">
        <v>265.16000000000003</v>
      </c>
      <c r="F1093" s="1" t="s">
        <v>8</v>
      </c>
      <c r="G1093" s="1" t="s">
        <v>9</v>
      </c>
      <c r="H1093" s="1" t="s">
        <v>10</v>
      </c>
    </row>
    <row r="1094" spans="1:8" x14ac:dyDescent="0.3">
      <c r="A1094" s="1">
        <v>514</v>
      </c>
      <c r="B1094" s="1" t="s">
        <v>1300</v>
      </c>
      <c r="C1094" s="1" t="s">
        <v>376</v>
      </c>
      <c r="D1094" s="1" t="s">
        <v>1307</v>
      </c>
      <c r="E1094" s="1">
        <v>96.08</v>
      </c>
      <c r="F1094" s="1" t="s">
        <v>8</v>
      </c>
      <c r="G1094" s="1" t="s">
        <v>9</v>
      </c>
      <c r="H1094" s="1" t="s">
        <v>10</v>
      </c>
    </row>
    <row r="1095" spans="1:8" x14ac:dyDescent="0.3">
      <c r="A1095" s="1">
        <v>514</v>
      </c>
      <c r="B1095" s="1" t="s">
        <v>1300</v>
      </c>
      <c r="C1095" s="1" t="s">
        <v>385</v>
      </c>
      <c r="D1095" s="1" t="s">
        <v>1308</v>
      </c>
      <c r="E1095" s="1">
        <v>7583.39</v>
      </c>
      <c r="F1095" s="1" t="s">
        <v>8</v>
      </c>
      <c r="G1095" s="1" t="s">
        <v>9</v>
      </c>
      <c r="H1095" s="1" t="s">
        <v>10</v>
      </c>
    </row>
    <row r="1096" spans="1:8" x14ac:dyDescent="0.3">
      <c r="A1096" s="1">
        <v>514</v>
      </c>
      <c r="B1096" s="1" t="s">
        <v>1300</v>
      </c>
      <c r="C1096" s="1" t="s">
        <v>377</v>
      </c>
      <c r="D1096" s="1" t="s">
        <v>1309</v>
      </c>
      <c r="E1096" s="1">
        <v>151.79</v>
      </c>
      <c r="F1096" s="1" t="s">
        <v>8</v>
      </c>
      <c r="G1096" s="1" t="s">
        <v>9</v>
      </c>
      <c r="H1096" s="1" t="s">
        <v>10</v>
      </c>
    </row>
    <row r="1097" spans="1:8" x14ac:dyDescent="0.3">
      <c r="A1097" s="1">
        <v>514</v>
      </c>
      <c r="B1097" s="1" t="s">
        <v>1300</v>
      </c>
      <c r="C1097" s="1" t="s">
        <v>1310</v>
      </c>
      <c r="D1097" s="1" t="s">
        <v>1311</v>
      </c>
      <c r="E1097" s="1">
        <v>652.20000000000005</v>
      </c>
      <c r="F1097" s="1" t="s">
        <v>8</v>
      </c>
      <c r="G1097" s="1" t="s">
        <v>9</v>
      </c>
      <c r="H1097" s="1" t="s">
        <v>10</v>
      </c>
    </row>
    <row r="1098" spans="1:8" x14ac:dyDescent="0.3">
      <c r="A1098" s="1">
        <v>514</v>
      </c>
      <c r="B1098" s="1" t="s">
        <v>1300</v>
      </c>
      <c r="C1098" s="1" t="s">
        <v>1312</v>
      </c>
      <c r="D1098" s="1" t="s">
        <v>1313</v>
      </c>
      <c r="E1098" s="1">
        <v>2295</v>
      </c>
      <c r="F1098" s="1" t="s">
        <v>8</v>
      </c>
      <c r="G1098" s="1" t="s">
        <v>9</v>
      </c>
      <c r="H1098" s="1" t="s">
        <v>10</v>
      </c>
    </row>
    <row r="1099" spans="1:8" x14ac:dyDescent="0.3">
      <c r="A1099" s="1">
        <v>514</v>
      </c>
      <c r="B1099" s="1" t="s">
        <v>1300</v>
      </c>
      <c r="C1099" s="1" t="s">
        <v>386</v>
      </c>
      <c r="D1099" s="1" t="s">
        <v>1314</v>
      </c>
      <c r="E1099" s="1">
        <v>3033.16</v>
      </c>
      <c r="F1099" s="1" t="s">
        <v>8</v>
      </c>
      <c r="G1099" s="1" t="s">
        <v>9</v>
      </c>
      <c r="H1099" s="1" t="s">
        <v>10</v>
      </c>
    </row>
    <row r="1100" spans="1:8" x14ac:dyDescent="0.3">
      <c r="A1100" s="1">
        <v>514</v>
      </c>
      <c r="B1100" s="1" t="s">
        <v>1300</v>
      </c>
      <c r="C1100" s="1" t="s">
        <v>378</v>
      </c>
      <c r="D1100" s="1" t="s">
        <v>1315</v>
      </c>
      <c r="E1100" s="1">
        <v>154.68</v>
      </c>
      <c r="F1100" s="1" t="s">
        <v>8</v>
      </c>
      <c r="G1100" s="1" t="s">
        <v>9</v>
      </c>
      <c r="H1100" s="1" t="s">
        <v>10</v>
      </c>
    </row>
    <row r="1101" spans="1:8" x14ac:dyDescent="0.3">
      <c r="A1101" s="1">
        <v>514</v>
      </c>
      <c r="B1101" s="1" t="s">
        <v>1300</v>
      </c>
      <c r="C1101" s="1" t="s">
        <v>379</v>
      </c>
      <c r="D1101" s="1" t="s">
        <v>1316</v>
      </c>
      <c r="E1101" s="1">
        <v>151.79</v>
      </c>
      <c r="F1101" s="1" t="s">
        <v>8</v>
      </c>
      <c r="G1101" s="1" t="s">
        <v>9</v>
      </c>
      <c r="H1101" s="1" t="s">
        <v>10</v>
      </c>
    </row>
    <row r="1102" spans="1:8" x14ac:dyDescent="0.3">
      <c r="A1102" s="1">
        <v>514</v>
      </c>
      <c r="B1102" s="1" t="s">
        <v>1300</v>
      </c>
      <c r="C1102" s="1" t="s">
        <v>380</v>
      </c>
      <c r="D1102" s="1" t="s">
        <v>1317</v>
      </c>
      <c r="E1102" s="1">
        <v>96.08</v>
      </c>
      <c r="F1102" s="1" t="s">
        <v>8</v>
      </c>
      <c r="G1102" s="1" t="s">
        <v>9</v>
      </c>
      <c r="H1102" s="1" t="s">
        <v>10</v>
      </c>
    </row>
    <row r="1103" spans="1:8" x14ac:dyDescent="0.3">
      <c r="A1103" s="1">
        <v>514</v>
      </c>
      <c r="B1103" s="1" t="s">
        <v>1300</v>
      </c>
      <c r="C1103" s="1" t="s">
        <v>1318</v>
      </c>
      <c r="D1103" s="1" t="s">
        <v>1319</v>
      </c>
      <c r="E1103" s="1">
        <v>554.28</v>
      </c>
      <c r="F1103" s="1" t="s">
        <v>8</v>
      </c>
      <c r="G1103" s="1" t="s">
        <v>9</v>
      </c>
      <c r="H1103" s="1" t="s">
        <v>10</v>
      </c>
    </row>
    <row r="1104" spans="1:8" x14ac:dyDescent="0.3">
      <c r="A1104" s="1">
        <v>514</v>
      </c>
      <c r="B1104" s="1" t="s">
        <v>1300</v>
      </c>
      <c r="C1104" s="1" t="s">
        <v>1320</v>
      </c>
      <c r="D1104" s="1" t="s">
        <v>1321</v>
      </c>
      <c r="E1104" s="1">
        <v>292.7</v>
      </c>
      <c r="F1104" s="1" t="s">
        <v>8</v>
      </c>
      <c r="G1104" s="1" t="s">
        <v>9</v>
      </c>
      <c r="H1104" s="1" t="s">
        <v>10</v>
      </c>
    </row>
    <row r="1105" spans="1:8" x14ac:dyDescent="0.3">
      <c r="A1105" s="1">
        <v>514</v>
      </c>
      <c r="B1105" s="1" t="s">
        <v>1300</v>
      </c>
      <c r="C1105" s="1" t="s">
        <v>1322</v>
      </c>
      <c r="D1105" s="1" t="s">
        <v>1323</v>
      </c>
      <c r="E1105" s="1">
        <v>2438.3000000000002</v>
      </c>
      <c r="F1105" s="1" t="s">
        <v>8</v>
      </c>
      <c r="G1105" s="1" t="s">
        <v>9</v>
      </c>
      <c r="H1105" s="1" t="s">
        <v>10</v>
      </c>
    </row>
    <row r="1106" spans="1:8" x14ac:dyDescent="0.3">
      <c r="A1106" s="1">
        <v>514</v>
      </c>
      <c r="B1106" s="1" t="s">
        <v>1300</v>
      </c>
      <c r="C1106" s="1" t="s">
        <v>1324</v>
      </c>
      <c r="D1106" s="1" t="s">
        <v>1325</v>
      </c>
      <c r="E1106" s="1">
        <v>530.76</v>
      </c>
      <c r="F1106" s="1" t="s">
        <v>8</v>
      </c>
      <c r="G1106" s="1" t="s">
        <v>9</v>
      </c>
      <c r="H1106" s="1" t="s">
        <v>10</v>
      </c>
    </row>
    <row r="1107" spans="1:8" x14ac:dyDescent="0.3">
      <c r="A1107" s="1">
        <v>514</v>
      </c>
      <c r="B1107" s="1" t="s">
        <v>1300</v>
      </c>
      <c r="C1107" s="1" t="s">
        <v>1326</v>
      </c>
      <c r="D1107" s="1" t="s">
        <v>1327</v>
      </c>
      <c r="E1107" s="1">
        <v>10.74</v>
      </c>
      <c r="F1107" s="1" t="s">
        <v>8</v>
      </c>
      <c r="G1107" s="1" t="s">
        <v>9</v>
      </c>
      <c r="H1107" s="1" t="s">
        <v>10</v>
      </c>
    </row>
    <row r="1108" spans="1:8" x14ac:dyDescent="0.3">
      <c r="A1108" s="1">
        <v>514</v>
      </c>
      <c r="B1108" s="1" t="s">
        <v>1300</v>
      </c>
      <c r="C1108" s="1" t="s">
        <v>381</v>
      </c>
      <c r="D1108" s="1" t="s">
        <v>1328</v>
      </c>
      <c r="E1108" s="1">
        <v>57.77</v>
      </c>
      <c r="F1108" s="1" t="s">
        <v>8</v>
      </c>
      <c r="G1108" s="1" t="s">
        <v>9</v>
      </c>
      <c r="H1108" s="1" t="s">
        <v>10</v>
      </c>
    </row>
    <row r="1109" spans="1:8" x14ac:dyDescent="0.3">
      <c r="A1109" s="1">
        <v>514</v>
      </c>
      <c r="B1109" s="1" t="s">
        <v>1300</v>
      </c>
      <c r="C1109" s="1" t="s">
        <v>1329</v>
      </c>
      <c r="D1109" s="1" t="s">
        <v>1330</v>
      </c>
      <c r="E1109" s="1">
        <v>661.77</v>
      </c>
      <c r="F1109" s="1" t="s">
        <v>8</v>
      </c>
      <c r="G1109" s="1" t="s">
        <v>9</v>
      </c>
      <c r="H1109" s="1" t="s">
        <v>10</v>
      </c>
    </row>
    <row r="1110" spans="1:8" x14ac:dyDescent="0.3">
      <c r="A1110" s="1">
        <v>514</v>
      </c>
      <c r="B1110" s="1" t="s">
        <v>1300</v>
      </c>
      <c r="C1110" s="1" t="s">
        <v>1331</v>
      </c>
      <c r="D1110" s="1" t="s">
        <v>1332</v>
      </c>
      <c r="E1110" s="1">
        <v>16.3</v>
      </c>
      <c r="F1110" s="1" t="s">
        <v>8</v>
      </c>
      <c r="G1110" s="1" t="s">
        <v>9</v>
      </c>
      <c r="H1110" s="1" t="s">
        <v>10</v>
      </c>
    </row>
    <row r="1111" spans="1:8" x14ac:dyDescent="0.3">
      <c r="A1111" s="1">
        <v>514</v>
      </c>
      <c r="B1111" s="1" t="s">
        <v>1300</v>
      </c>
      <c r="C1111" s="1" t="s">
        <v>382</v>
      </c>
      <c r="D1111" s="1" t="s">
        <v>1333</v>
      </c>
      <c r="E1111" s="1">
        <v>1007.45</v>
      </c>
      <c r="F1111" s="1" t="s">
        <v>8</v>
      </c>
      <c r="G1111" s="1" t="s">
        <v>9</v>
      </c>
      <c r="H1111" s="1" t="s">
        <v>10</v>
      </c>
    </row>
    <row r="1112" spans="1:8" x14ac:dyDescent="0.3">
      <c r="A1112" s="1">
        <v>514</v>
      </c>
      <c r="B1112" s="1" t="s">
        <v>1300</v>
      </c>
      <c r="C1112" s="1" t="s">
        <v>1334</v>
      </c>
      <c r="D1112" s="1" t="s">
        <v>1335</v>
      </c>
      <c r="E1112" s="1">
        <v>1572.45</v>
      </c>
      <c r="F1112" s="1" t="s">
        <v>8</v>
      </c>
      <c r="G1112" s="1" t="s">
        <v>9</v>
      </c>
      <c r="H1112" s="1" t="s">
        <v>10</v>
      </c>
    </row>
    <row r="1113" spans="1:8" x14ac:dyDescent="0.3">
      <c r="A1113" s="1">
        <v>514</v>
      </c>
      <c r="B1113" s="1" t="s">
        <v>1300</v>
      </c>
      <c r="C1113" s="1" t="s">
        <v>1336</v>
      </c>
      <c r="D1113" s="1" t="s">
        <v>1337</v>
      </c>
      <c r="E1113" s="1">
        <v>14697.05</v>
      </c>
      <c r="F1113" s="1" t="s">
        <v>8</v>
      </c>
      <c r="G1113" s="1" t="s">
        <v>9</v>
      </c>
      <c r="H1113" s="1" t="s">
        <v>10</v>
      </c>
    </row>
    <row r="1114" spans="1:8" x14ac:dyDescent="0.3">
      <c r="A1114" s="1">
        <v>514</v>
      </c>
      <c r="B1114" s="1" t="s">
        <v>1300</v>
      </c>
      <c r="C1114" s="1" t="s">
        <v>1338</v>
      </c>
      <c r="D1114" s="1" t="s">
        <v>1339</v>
      </c>
      <c r="E1114" s="1">
        <v>4238.91</v>
      </c>
      <c r="F1114" s="1" t="s">
        <v>8</v>
      </c>
      <c r="G1114" s="1" t="s">
        <v>9</v>
      </c>
      <c r="H1114" s="1" t="s">
        <v>10</v>
      </c>
    </row>
    <row r="1115" spans="1:8" x14ac:dyDescent="0.3">
      <c r="A1115" s="1">
        <v>514</v>
      </c>
      <c r="B1115" s="1" t="s">
        <v>1300</v>
      </c>
      <c r="C1115" s="1" t="s">
        <v>1340</v>
      </c>
      <c r="D1115" s="1" t="s">
        <v>1341</v>
      </c>
      <c r="E1115" s="1">
        <v>65.900000000000006</v>
      </c>
      <c r="F1115" s="1" t="s">
        <v>8</v>
      </c>
      <c r="G1115" s="1" t="s">
        <v>9</v>
      </c>
      <c r="H1115" s="1" t="s">
        <v>10</v>
      </c>
    </row>
    <row r="1116" spans="1:8" x14ac:dyDescent="0.3">
      <c r="A1116" s="1">
        <v>514</v>
      </c>
      <c r="B1116" s="1" t="s">
        <v>1300</v>
      </c>
      <c r="C1116" s="1" t="s">
        <v>1342</v>
      </c>
      <c r="D1116" s="1" t="s">
        <v>1343</v>
      </c>
      <c r="E1116" s="1">
        <v>50.9</v>
      </c>
      <c r="F1116" s="1" t="s">
        <v>8</v>
      </c>
      <c r="G1116" s="1" t="s">
        <v>9</v>
      </c>
      <c r="H1116" s="1" t="s">
        <v>10</v>
      </c>
    </row>
    <row r="1117" spans="1:8" x14ac:dyDescent="0.3">
      <c r="A1117" s="1">
        <v>514</v>
      </c>
      <c r="B1117" s="1" t="s">
        <v>1300</v>
      </c>
      <c r="C1117" s="1" t="s">
        <v>1344</v>
      </c>
      <c r="D1117" s="1" t="s">
        <v>1345</v>
      </c>
      <c r="E1117" s="1">
        <v>492</v>
      </c>
      <c r="F1117" s="1" t="s">
        <v>8</v>
      </c>
      <c r="G1117" s="1" t="s">
        <v>9</v>
      </c>
      <c r="H1117" s="1" t="s">
        <v>10</v>
      </c>
    </row>
    <row r="1118" spans="1:8" x14ac:dyDescent="0.3">
      <c r="A1118" s="1">
        <v>514</v>
      </c>
      <c r="B1118" s="1" t="s">
        <v>1300</v>
      </c>
      <c r="C1118" s="1" t="s">
        <v>1346</v>
      </c>
      <c r="D1118" s="1" t="s">
        <v>1347</v>
      </c>
      <c r="E1118" s="1">
        <v>2626.83</v>
      </c>
      <c r="F1118" s="1" t="s">
        <v>8</v>
      </c>
      <c r="G1118" s="1" t="s">
        <v>9</v>
      </c>
      <c r="H1118" s="1" t="s">
        <v>10</v>
      </c>
    </row>
    <row r="1119" spans="1:8" x14ac:dyDescent="0.3">
      <c r="A1119" s="1">
        <v>514</v>
      </c>
      <c r="B1119" s="1" t="s">
        <v>1300</v>
      </c>
      <c r="C1119" s="1" t="s">
        <v>1348</v>
      </c>
      <c r="D1119" s="1" t="s">
        <v>1349</v>
      </c>
      <c r="E1119" s="1">
        <v>3901.01</v>
      </c>
      <c r="F1119" s="1" t="s">
        <v>8</v>
      </c>
      <c r="G1119" s="1" t="s">
        <v>13</v>
      </c>
      <c r="H1119" s="1" t="s">
        <v>10</v>
      </c>
    </row>
    <row r="1120" spans="1:8" x14ac:dyDescent="0.3">
      <c r="A1120" s="1">
        <v>514</v>
      </c>
      <c r="B1120" s="1" t="s">
        <v>1300</v>
      </c>
      <c r="C1120" s="1" t="s">
        <v>1350</v>
      </c>
      <c r="D1120" s="1" t="s">
        <v>1351</v>
      </c>
      <c r="E1120" s="1">
        <v>213.9</v>
      </c>
      <c r="F1120" s="1" t="s">
        <v>8</v>
      </c>
      <c r="G1120" s="1" t="s">
        <v>13</v>
      </c>
      <c r="H1120" s="1" t="s">
        <v>10</v>
      </c>
    </row>
    <row r="1121" spans="1:8" x14ac:dyDescent="0.3">
      <c r="A1121" s="1">
        <v>514</v>
      </c>
      <c r="B1121" s="1" t="s">
        <v>1300</v>
      </c>
      <c r="C1121" s="1" t="s">
        <v>4755</v>
      </c>
      <c r="D1121" s="1" t="s">
        <v>4756</v>
      </c>
      <c r="E1121" s="1">
        <v>412.53</v>
      </c>
      <c r="F1121" s="1" t="s">
        <v>8</v>
      </c>
      <c r="G1121" s="1" t="s">
        <v>9</v>
      </c>
      <c r="H1121" s="1" t="s">
        <v>10</v>
      </c>
    </row>
    <row r="1122" spans="1:8" x14ac:dyDescent="0.3">
      <c r="A1122" s="1">
        <v>514</v>
      </c>
      <c r="B1122" s="1" t="s">
        <v>1300</v>
      </c>
      <c r="C1122" s="1" t="s">
        <v>4757</v>
      </c>
      <c r="D1122" s="1" t="s">
        <v>4758</v>
      </c>
      <c r="E1122" s="1">
        <v>100.94</v>
      </c>
      <c r="F1122" s="1" t="s">
        <v>8</v>
      </c>
      <c r="G1122" s="1" t="s">
        <v>9</v>
      </c>
      <c r="H1122" s="1" t="s">
        <v>10</v>
      </c>
    </row>
    <row r="1123" spans="1:8" x14ac:dyDescent="0.3">
      <c r="A1123" s="1">
        <v>514</v>
      </c>
      <c r="B1123" s="1" t="s">
        <v>1300</v>
      </c>
      <c r="C1123" s="1" t="s">
        <v>4759</v>
      </c>
      <c r="D1123" s="1" t="s">
        <v>4760</v>
      </c>
      <c r="E1123" s="1">
        <v>84.22</v>
      </c>
      <c r="F1123" s="1" t="s">
        <v>8</v>
      </c>
      <c r="G1123" s="1" t="s">
        <v>9</v>
      </c>
      <c r="H1123" s="1" t="s">
        <v>10</v>
      </c>
    </row>
    <row r="1124" spans="1:8" x14ac:dyDescent="0.3">
      <c r="A1124" s="1">
        <v>514</v>
      </c>
      <c r="B1124" s="1" t="s">
        <v>1300</v>
      </c>
      <c r="C1124" s="1" t="s">
        <v>4761</v>
      </c>
      <c r="D1124" s="1" t="s">
        <v>4762</v>
      </c>
      <c r="E1124" s="1">
        <v>7205.62</v>
      </c>
      <c r="F1124" s="1" t="s">
        <v>8</v>
      </c>
      <c r="G1124" s="1" t="s">
        <v>9</v>
      </c>
      <c r="H1124" s="1" t="s">
        <v>10</v>
      </c>
    </row>
    <row r="1125" spans="1:8" x14ac:dyDescent="0.3">
      <c r="A1125" s="1">
        <v>514</v>
      </c>
      <c r="B1125" s="1" t="s">
        <v>1300</v>
      </c>
      <c r="C1125" s="1" t="s">
        <v>392</v>
      </c>
      <c r="D1125" s="1" t="s">
        <v>4763</v>
      </c>
      <c r="E1125" s="1">
        <v>5104.3</v>
      </c>
      <c r="F1125" s="1" t="s">
        <v>8</v>
      </c>
      <c r="G1125" s="1" t="s">
        <v>9</v>
      </c>
      <c r="H1125" s="1" t="s">
        <v>10</v>
      </c>
    </row>
    <row r="1126" spans="1:8" x14ac:dyDescent="0.3">
      <c r="A1126" s="1">
        <v>514</v>
      </c>
      <c r="B1126" s="1" t="s">
        <v>1300</v>
      </c>
      <c r="C1126" s="1" t="s">
        <v>4764</v>
      </c>
      <c r="D1126" s="1" t="s">
        <v>4765</v>
      </c>
      <c r="E1126" s="1">
        <v>392.41</v>
      </c>
      <c r="F1126" s="1" t="s">
        <v>8</v>
      </c>
      <c r="G1126" s="1" t="s">
        <v>9</v>
      </c>
      <c r="H1126" s="1" t="s">
        <v>10</v>
      </c>
    </row>
    <row r="1127" spans="1:8" x14ac:dyDescent="0.3">
      <c r="A1127" s="1">
        <v>514</v>
      </c>
      <c r="B1127" s="1" t="s">
        <v>1300</v>
      </c>
      <c r="C1127" s="1" t="s">
        <v>383</v>
      </c>
      <c r="D1127" s="1" t="s">
        <v>4766</v>
      </c>
      <c r="E1127" s="1">
        <v>1150.22</v>
      </c>
      <c r="F1127" s="1" t="s">
        <v>8</v>
      </c>
      <c r="G1127" s="1" t="s">
        <v>9</v>
      </c>
      <c r="H1127" s="1" t="s">
        <v>10</v>
      </c>
    </row>
    <row r="1128" spans="1:8" x14ac:dyDescent="0.3">
      <c r="A1128" s="1">
        <v>514</v>
      </c>
      <c r="B1128" s="1" t="s">
        <v>1300</v>
      </c>
      <c r="C1128" s="1" t="s">
        <v>4767</v>
      </c>
      <c r="D1128" s="1" t="s">
        <v>4768</v>
      </c>
      <c r="E1128" s="1">
        <v>167.51</v>
      </c>
      <c r="F1128" s="1" t="s">
        <v>8</v>
      </c>
      <c r="G1128" s="1" t="s">
        <v>9</v>
      </c>
      <c r="H1128" s="1" t="s">
        <v>10</v>
      </c>
    </row>
    <row r="1129" spans="1:8" x14ac:dyDescent="0.3">
      <c r="A1129" s="1">
        <v>517</v>
      </c>
      <c r="B1129" s="1" t="s">
        <v>1352</v>
      </c>
      <c r="C1129" s="1" t="s">
        <v>1353</v>
      </c>
      <c r="D1129" s="1" t="s">
        <v>1354</v>
      </c>
      <c r="E1129" s="1">
        <v>3537.91</v>
      </c>
      <c r="F1129" s="1" t="s">
        <v>8</v>
      </c>
      <c r="G1129" s="1" t="s">
        <v>13</v>
      </c>
      <c r="H1129" s="1" t="s">
        <v>10</v>
      </c>
    </row>
    <row r="1130" spans="1:8" x14ac:dyDescent="0.3">
      <c r="A1130" s="1">
        <v>517</v>
      </c>
      <c r="B1130" s="1" t="s">
        <v>1352</v>
      </c>
      <c r="C1130" s="1" t="s">
        <v>1355</v>
      </c>
      <c r="D1130" s="1" t="s">
        <v>1356</v>
      </c>
      <c r="E1130" s="1">
        <v>4292</v>
      </c>
      <c r="F1130" s="1" t="s">
        <v>8</v>
      </c>
      <c r="G1130" s="1" t="s">
        <v>13</v>
      </c>
      <c r="H1130" s="1" t="s">
        <v>10</v>
      </c>
    </row>
    <row r="1131" spans="1:8" x14ac:dyDescent="0.3">
      <c r="A1131" s="1">
        <v>517</v>
      </c>
      <c r="B1131" s="1" t="s">
        <v>1352</v>
      </c>
      <c r="C1131" s="1" t="s">
        <v>1357</v>
      </c>
      <c r="D1131" s="1" t="s">
        <v>1358</v>
      </c>
      <c r="E1131" s="1">
        <v>15890.18</v>
      </c>
      <c r="F1131" s="1" t="s">
        <v>8</v>
      </c>
      <c r="G1131" s="1" t="s">
        <v>13</v>
      </c>
      <c r="H1131" s="1" t="s">
        <v>10</v>
      </c>
    </row>
    <row r="1132" spans="1:8" x14ac:dyDescent="0.3">
      <c r="A1132" s="1">
        <v>517</v>
      </c>
      <c r="B1132" s="1" t="s">
        <v>1352</v>
      </c>
      <c r="C1132" s="1" t="s">
        <v>1359</v>
      </c>
      <c r="D1132" s="1" t="s">
        <v>1360</v>
      </c>
      <c r="E1132" s="1">
        <v>1149.75</v>
      </c>
      <c r="F1132" s="1" t="s">
        <v>8</v>
      </c>
      <c r="G1132" s="1" t="s">
        <v>9</v>
      </c>
      <c r="H1132" s="1" t="s">
        <v>10</v>
      </c>
    </row>
    <row r="1133" spans="1:8" x14ac:dyDescent="0.3">
      <c r="A1133" s="1">
        <v>517</v>
      </c>
      <c r="B1133" s="1" t="s">
        <v>1352</v>
      </c>
      <c r="C1133" s="1" t="s">
        <v>1361</v>
      </c>
      <c r="D1133" s="1" t="s">
        <v>1362</v>
      </c>
      <c r="E1133" s="1">
        <v>7319.39</v>
      </c>
      <c r="F1133" s="1" t="s">
        <v>8</v>
      </c>
      <c r="G1133" s="1" t="s">
        <v>9</v>
      </c>
      <c r="H1133" s="1" t="s">
        <v>10</v>
      </c>
    </row>
    <row r="1134" spans="1:8" x14ac:dyDescent="0.3">
      <c r="A1134" s="1">
        <v>517</v>
      </c>
      <c r="B1134" s="1" t="s">
        <v>1352</v>
      </c>
      <c r="C1134" s="1" t="s">
        <v>1363</v>
      </c>
      <c r="D1134" s="1" t="s">
        <v>1364</v>
      </c>
      <c r="E1134" s="1">
        <v>80</v>
      </c>
      <c r="F1134" s="1" t="s">
        <v>8</v>
      </c>
      <c r="G1134" s="1" t="s">
        <v>13</v>
      </c>
      <c r="H1134" s="1" t="s">
        <v>10</v>
      </c>
    </row>
    <row r="1135" spans="1:8" x14ac:dyDescent="0.3">
      <c r="A1135" s="1">
        <v>517</v>
      </c>
      <c r="B1135" s="1" t="s">
        <v>1352</v>
      </c>
      <c r="C1135" s="1" t="s">
        <v>1365</v>
      </c>
      <c r="D1135" s="1" t="s">
        <v>1366</v>
      </c>
      <c r="E1135" s="1">
        <v>25399.5</v>
      </c>
      <c r="F1135" s="1" t="s">
        <v>8</v>
      </c>
      <c r="G1135" s="1" t="s">
        <v>9</v>
      </c>
      <c r="H1135" s="1" t="s">
        <v>10</v>
      </c>
    </row>
    <row r="1136" spans="1:8" x14ac:dyDescent="0.3">
      <c r="A1136" s="1">
        <v>517</v>
      </c>
      <c r="B1136" s="1" t="s">
        <v>1352</v>
      </c>
      <c r="C1136" s="1" t="s">
        <v>1367</v>
      </c>
      <c r="D1136" s="1" t="s">
        <v>1368</v>
      </c>
      <c r="E1136" s="1">
        <v>22766.63</v>
      </c>
      <c r="F1136" s="1" t="s">
        <v>8</v>
      </c>
      <c r="G1136" s="1" t="s">
        <v>9</v>
      </c>
      <c r="H1136" s="1" t="s">
        <v>10</v>
      </c>
    </row>
    <row r="1137" spans="1:8" x14ac:dyDescent="0.3">
      <c r="A1137" s="1">
        <v>517</v>
      </c>
      <c r="B1137" s="1" t="s">
        <v>1352</v>
      </c>
      <c r="C1137" s="1" t="s">
        <v>1369</v>
      </c>
      <c r="D1137" s="1" t="s">
        <v>1370</v>
      </c>
      <c r="E1137" s="1">
        <v>8214.57</v>
      </c>
      <c r="F1137" s="1" t="s">
        <v>8</v>
      </c>
      <c r="G1137" s="1" t="s">
        <v>9</v>
      </c>
      <c r="H1137" s="1" t="s">
        <v>10</v>
      </c>
    </row>
    <row r="1138" spans="1:8" x14ac:dyDescent="0.3">
      <c r="A1138" s="1">
        <v>517</v>
      </c>
      <c r="B1138" s="1" t="s">
        <v>1352</v>
      </c>
      <c r="C1138" s="1" t="s">
        <v>1036</v>
      </c>
      <c r="D1138" s="1" t="s">
        <v>1371</v>
      </c>
      <c r="E1138" s="1">
        <v>64525.57</v>
      </c>
      <c r="F1138" s="1" t="s">
        <v>8</v>
      </c>
      <c r="G1138" s="1" t="s">
        <v>13</v>
      </c>
      <c r="H1138" s="1" t="s">
        <v>10</v>
      </c>
    </row>
    <row r="1139" spans="1:8" x14ac:dyDescent="0.3">
      <c r="A1139" s="1">
        <v>517</v>
      </c>
      <c r="B1139" s="1" t="s">
        <v>1352</v>
      </c>
      <c r="C1139" s="1" t="s">
        <v>1372</v>
      </c>
      <c r="D1139" s="1" t="s">
        <v>1373</v>
      </c>
      <c r="E1139" s="1">
        <v>62776.12</v>
      </c>
      <c r="F1139" s="1" t="s">
        <v>8</v>
      </c>
      <c r="G1139" s="1" t="s">
        <v>13</v>
      </c>
      <c r="H1139" s="1" t="s">
        <v>10</v>
      </c>
    </row>
    <row r="1140" spans="1:8" x14ac:dyDescent="0.3">
      <c r="A1140" s="1">
        <v>517</v>
      </c>
      <c r="B1140" s="1" t="s">
        <v>1352</v>
      </c>
      <c r="C1140" s="1" t="s">
        <v>1374</v>
      </c>
      <c r="D1140" s="1" t="s">
        <v>1375</v>
      </c>
      <c r="E1140" s="1">
        <v>80</v>
      </c>
      <c r="F1140" s="1" t="s">
        <v>8</v>
      </c>
      <c r="G1140" s="1" t="s">
        <v>13</v>
      </c>
      <c r="H1140" s="1" t="s">
        <v>10</v>
      </c>
    </row>
    <row r="1141" spans="1:8" x14ac:dyDescent="0.3">
      <c r="A1141" s="1">
        <v>517</v>
      </c>
      <c r="B1141" s="1" t="s">
        <v>1352</v>
      </c>
      <c r="C1141" s="1" t="s">
        <v>4769</v>
      </c>
      <c r="D1141" s="1" t="s">
        <v>4770</v>
      </c>
      <c r="E1141" s="1">
        <v>10426.18</v>
      </c>
      <c r="F1141" s="1" t="s">
        <v>8</v>
      </c>
      <c r="G1141" s="1" t="s">
        <v>9</v>
      </c>
      <c r="H1141" s="1" t="s">
        <v>10</v>
      </c>
    </row>
    <row r="1142" spans="1:8" x14ac:dyDescent="0.3">
      <c r="A1142" s="1">
        <v>517</v>
      </c>
      <c r="B1142" s="1" t="s">
        <v>1352</v>
      </c>
      <c r="C1142" s="1" t="s">
        <v>4771</v>
      </c>
      <c r="D1142" s="1" t="s">
        <v>4772</v>
      </c>
      <c r="E1142" s="1">
        <v>6608</v>
      </c>
      <c r="F1142" s="1" t="s">
        <v>8</v>
      </c>
      <c r="G1142" s="1" t="s">
        <v>9</v>
      </c>
      <c r="H1142" s="1" t="s">
        <v>10</v>
      </c>
    </row>
    <row r="1143" spans="1:8" x14ac:dyDescent="0.3">
      <c r="A1143" s="1">
        <v>517</v>
      </c>
      <c r="B1143" s="1" t="s">
        <v>1352</v>
      </c>
      <c r="C1143" s="1" t="s">
        <v>4773</v>
      </c>
      <c r="D1143" s="1" t="s">
        <v>4774</v>
      </c>
      <c r="E1143" s="1">
        <v>22783.33</v>
      </c>
      <c r="F1143" s="1" t="s">
        <v>8</v>
      </c>
      <c r="G1143" s="1" t="s">
        <v>9</v>
      </c>
      <c r="H1143" s="1" t="s">
        <v>10</v>
      </c>
    </row>
    <row r="1144" spans="1:8" x14ac:dyDescent="0.3">
      <c r="A1144" s="1">
        <v>547</v>
      </c>
      <c r="B1144" s="1" t="s">
        <v>1378</v>
      </c>
      <c r="C1144" s="1" t="s">
        <v>1379</v>
      </c>
      <c r="D1144" s="1" t="s">
        <v>1380</v>
      </c>
      <c r="E1144" s="1">
        <v>20005</v>
      </c>
      <c r="F1144" s="1" t="s">
        <v>8</v>
      </c>
      <c r="G1144" s="1" t="s">
        <v>9</v>
      </c>
      <c r="H1144" s="1" t="s">
        <v>10</v>
      </c>
    </row>
    <row r="1145" spans="1:8" x14ac:dyDescent="0.3">
      <c r="A1145" s="1">
        <v>547</v>
      </c>
      <c r="B1145" s="1" t="s">
        <v>1378</v>
      </c>
      <c r="C1145" s="1" t="s">
        <v>1381</v>
      </c>
      <c r="D1145" s="1" t="s">
        <v>1382</v>
      </c>
      <c r="E1145" s="1">
        <v>7551</v>
      </c>
      <c r="F1145" s="1" t="s">
        <v>8</v>
      </c>
      <c r="G1145" s="1" t="s">
        <v>9</v>
      </c>
      <c r="H1145" s="1" t="s">
        <v>10</v>
      </c>
    </row>
    <row r="1146" spans="1:8" x14ac:dyDescent="0.3">
      <c r="A1146" s="1">
        <v>547</v>
      </c>
      <c r="B1146" s="1" t="s">
        <v>1378</v>
      </c>
      <c r="C1146" s="1" t="s">
        <v>1383</v>
      </c>
      <c r="D1146" s="1" t="s">
        <v>1384</v>
      </c>
      <c r="E1146" s="1">
        <v>7281.25</v>
      </c>
      <c r="F1146" s="1" t="s">
        <v>8</v>
      </c>
      <c r="G1146" s="1" t="s">
        <v>9</v>
      </c>
      <c r="H1146" s="1" t="s">
        <v>10</v>
      </c>
    </row>
    <row r="1147" spans="1:8" x14ac:dyDescent="0.3">
      <c r="A1147" s="1">
        <v>547</v>
      </c>
      <c r="B1147" s="1" t="s">
        <v>1378</v>
      </c>
      <c r="C1147" s="1" t="s">
        <v>1385</v>
      </c>
      <c r="D1147" s="1" t="s">
        <v>1386</v>
      </c>
      <c r="E1147" s="1">
        <v>2110</v>
      </c>
      <c r="F1147" s="1" t="s">
        <v>8</v>
      </c>
      <c r="G1147" s="1" t="s">
        <v>9</v>
      </c>
      <c r="H1147" s="1" t="s">
        <v>10</v>
      </c>
    </row>
    <row r="1148" spans="1:8" x14ac:dyDescent="0.3">
      <c r="A1148" s="1">
        <v>563</v>
      </c>
      <c r="B1148" s="1" t="s">
        <v>1394</v>
      </c>
      <c r="C1148" s="1" t="s">
        <v>1395</v>
      </c>
      <c r="D1148" s="1" t="s">
        <v>1396</v>
      </c>
      <c r="E1148" s="1">
        <v>10955.95</v>
      </c>
      <c r="F1148" s="1" t="s">
        <v>8</v>
      </c>
      <c r="G1148" s="1" t="s">
        <v>9</v>
      </c>
      <c r="H1148" s="1" t="s">
        <v>10</v>
      </c>
    </row>
    <row r="1149" spans="1:8" x14ac:dyDescent="0.3">
      <c r="A1149" s="1">
        <v>563</v>
      </c>
      <c r="B1149" s="1" t="s">
        <v>1394</v>
      </c>
      <c r="C1149" s="1" t="s">
        <v>1397</v>
      </c>
      <c r="D1149" s="1" t="s">
        <v>1398</v>
      </c>
      <c r="E1149" s="1">
        <v>17571.759999999998</v>
      </c>
      <c r="F1149" s="1" t="s">
        <v>8</v>
      </c>
      <c r="G1149" s="1" t="s">
        <v>9</v>
      </c>
      <c r="H1149" s="1" t="s">
        <v>10</v>
      </c>
    </row>
    <row r="1150" spans="1:8" x14ac:dyDescent="0.3">
      <c r="A1150" s="1">
        <v>563</v>
      </c>
      <c r="B1150" s="1" t="s">
        <v>1394</v>
      </c>
      <c r="C1150" s="1" t="s">
        <v>1399</v>
      </c>
      <c r="D1150" s="1" t="s">
        <v>1400</v>
      </c>
      <c r="E1150" s="1">
        <v>1037</v>
      </c>
      <c r="F1150" s="1" t="s">
        <v>8</v>
      </c>
      <c r="G1150" s="1" t="s">
        <v>9</v>
      </c>
      <c r="H1150" s="1" t="s">
        <v>10</v>
      </c>
    </row>
    <row r="1151" spans="1:8" x14ac:dyDescent="0.3">
      <c r="A1151" s="1">
        <v>563</v>
      </c>
      <c r="B1151" s="1" t="s">
        <v>1394</v>
      </c>
      <c r="C1151" s="1" t="s">
        <v>1401</v>
      </c>
      <c r="D1151" s="1" t="s">
        <v>1402</v>
      </c>
      <c r="E1151" s="1">
        <v>15843.3</v>
      </c>
      <c r="F1151" s="1" t="s">
        <v>8</v>
      </c>
      <c r="G1151" s="1" t="s">
        <v>9</v>
      </c>
      <c r="H1151" s="1" t="s">
        <v>10</v>
      </c>
    </row>
    <row r="1152" spans="1:8" x14ac:dyDescent="0.3">
      <c r="A1152" s="1">
        <v>563</v>
      </c>
      <c r="B1152" s="1" t="s">
        <v>1394</v>
      </c>
      <c r="C1152" s="1" t="s">
        <v>1403</v>
      </c>
      <c r="D1152" s="1" t="s">
        <v>1404</v>
      </c>
      <c r="E1152" s="1">
        <v>4137.7</v>
      </c>
      <c r="F1152" s="1" t="s">
        <v>8</v>
      </c>
      <c r="G1152" s="1" t="s">
        <v>9</v>
      </c>
      <c r="H1152" s="1" t="s">
        <v>10</v>
      </c>
    </row>
    <row r="1153" spans="1:8" x14ac:dyDescent="0.3">
      <c r="A1153" s="1">
        <v>563</v>
      </c>
      <c r="B1153" s="1" t="s">
        <v>1394</v>
      </c>
      <c r="C1153" s="1" t="s">
        <v>1405</v>
      </c>
      <c r="D1153" s="1" t="s">
        <v>1406</v>
      </c>
      <c r="E1153" s="1">
        <v>407.65</v>
      </c>
      <c r="F1153" s="1" t="s">
        <v>8</v>
      </c>
      <c r="G1153" s="1" t="s">
        <v>9</v>
      </c>
      <c r="H1153" s="1" t="s">
        <v>10</v>
      </c>
    </row>
    <row r="1154" spans="1:8" x14ac:dyDescent="0.3">
      <c r="A1154" s="1">
        <v>563</v>
      </c>
      <c r="B1154" s="1" t="s">
        <v>1394</v>
      </c>
      <c r="C1154" s="1" t="s">
        <v>1407</v>
      </c>
      <c r="D1154" s="1" t="s">
        <v>1408</v>
      </c>
      <c r="E1154" s="1">
        <v>7844</v>
      </c>
      <c r="F1154" s="1" t="s">
        <v>8</v>
      </c>
      <c r="G1154" s="1" t="s">
        <v>9</v>
      </c>
      <c r="H1154" s="1" t="s">
        <v>10</v>
      </c>
    </row>
    <row r="1155" spans="1:8" x14ac:dyDescent="0.3">
      <c r="A1155" s="1">
        <v>563</v>
      </c>
      <c r="B1155" s="1" t="s">
        <v>1394</v>
      </c>
      <c r="C1155" s="1" t="s">
        <v>1409</v>
      </c>
      <c r="D1155" s="1" t="s">
        <v>1410</v>
      </c>
      <c r="E1155" s="1">
        <v>464.47</v>
      </c>
      <c r="F1155" s="1" t="s">
        <v>8</v>
      </c>
      <c r="G1155" s="1" t="s">
        <v>9</v>
      </c>
      <c r="H1155" s="1" t="s">
        <v>10</v>
      </c>
    </row>
    <row r="1156" spans="1:8" x14ac:dyDescent="0.3">
      <c r="A1156" s="1">
        <v>563</v>
      </c>
      <c r="B1156" s="1" t="s">
        <v>1394</v>
      </c>
      <c r="C1156" s="1" t="s">
        <v>1411</v>
      </c>
      <c r="D1156" s="1" t="s">
        <v>1412</v>
      </c>
      <c r="E1156" s="1">
        <v>9375.4</v>
      </c>
      <c r="F1156" s="1" t="s">
        <v>8</v>
      </c>
      <c r="G1156" s="1" t="s">
        <v>9</v>
      </c>
      <c r="H1156" s="1" t="s">
        <v>10</v>
      </c>
    </row>
    <row r="1157" spans="1:8" x14ac:dyDescent="0.3">
      <c r="A1157" s="1">
        <v>563</v>
      </c>
      <c r="B1157" s="1" t="s">
        <v>1394</v>
      </c>
      <c r="C1157" s="1" t="s">
        <v>1413</v>
      </c>
      <c r="D1157" s="1" t="s">
        <v>1414</v>
      </c>
      <c r="E1157" s="1">
        <v>5205.3500000000004</v>
      </c>
      <c r="F1157" s="1" t="s">
        <v>8</v>
      </c>
      <c r="G1157" s="1" t="s">
        <v>9</v>
      </c>
      <c r="H1157" s="1" t="s">
        <v>10</v>
      </c>
    </row>
    <row r="1158" spans="1:8" x14ac:dyDescent="0.3">
      <c r="A1158" s="1">
        <v>563</v>
      </c>
      <c r="B1158" s="1" t="s">
        <v>1394</v>
      </c>
      <c r="C1158" s="1" t="s">
        <v>1415</v>
      </c>
      <c r="D1158" s="1" t="s">
        <v>1416</v>
      </c>
      <c r="E1158" s="1">
        <v>3350.6</v>
      </c>
      <c r="F1158" s="1" t="s">
        <v>8</v>
      </c>
      <c r="G1158" s="1" t="s">
        <v>9</v>
      </c>
      <c r="H1158" s="1" t="s">
        <v>10</v>
      </c>
    </row>
    <row r="1159" spans="1:8" x14ac:dyDescent="0.3">
      <c r="A1159" s="1">
        <v>611</v>
      </c>
      <c r="B1159" s="1" t="s">
        <v>1417</v>
      </c>
      <c r="C1159" s="1" t="s">
        <v>1418</v>
      </c>
      <c r="D1159" s="1" t="s">
        <v>1419</v>
      </c>
      <c r="E1159" s="1">
        <v>14</v>
      </c>
      <c r="F1159" s="1" t="s">
        <v>8</v>
      </c>
      <c r="G1159" s="1" t="s">
        <v>9</v>
      </c>
      <c r="H1159" s="1" t="s">
        <v>10</v>
      </c>
    </row>
    <row r="1160" spans="1:8" x14ac:dyDescent="0.3">
      <c r="A1160" s="1">
        <v>611</v>
      </c>
      <c r="B1160" s="1" t="s">
        <v>1417</v>
      </c>
      <c r="C1160" s="1" t="s">
        <v>1420</v>
      </c>
      <c r="D1160" s="1" t="s">
        <v>1421</v>
      </c>
      <c r="E1160" s="1">
        <v>953.6</v>
      </c>
      <c r="F1160" s="1" t="s">
        <v>8</v>
      </c>
      <c r="G1160" s="1" t="s">
        <v>9</v>
      </c>
      <c r="H1160" s="1" t="s">
        <v>10</v>
      </c>
    </row>
    <row r="1161" spans="1:8" x14ac:dyDescent="0.3">
      <c r="A1161" s="1">
        <v>611</v>
      </c>
      <c r="B1161" s="1" t="s">
        <v>1417</v>
      </c>
      <c r="C1161" s="1" t="s">
        <v>1422</v>
      </c>
      <c r="D1161" s="1" t="s">
        <v>1423</v>
      </c>
      <c r="E1161" s="1">
        <v>144</v>
      </c>
      <c r="F1161" s="1" t="s">
        <v>8</v>
      </c>
      <c r="G1161" s="1" t="s">
        <v>9</v>
      </c>
      <c r="H1161" s="1" t="s">
        <v>10</v>
      </c>
    </row>
    <row r="1162" spans="1:8" x14ac:dyDescent="0.3">
      <c r="A1162" s="1">
        <v>611</v>
      </c>
      <c r="B1162" s="1" t="s">
        <v>1417</v>
      </c>
      <c r="C1162" s="1" t="s">
        <v>1424</v>
      </c>
      <c r="D1162" s="1" t="s">
        <v>1425</v>
      </c>
      <c r="E1162" s="1">
        <v>45</v>
      </c>
      <c r="F1162" s="1" t="s">
        <v>8</v>
      </c>
      <c r="G1162" s="1" t="s">
        <v>9</v>
      </c>
      <c r="H1162" s="1" t="s">
        <v>10</v>
      </c>
    </row>
    <row r="1163" spans="1:8" x14ac:dyDescent="0.3">
      <c r="A1163" s="1">
        <v>611</v>
      </c>
      <c r="B1163" s="1" t="s">
        <v>1417</v>
      </c>
      <c r="C1163" s="1" t="s">
        <v>1426</v>
      </c>
      <c r="D1163" s="1" t="s">
        <v>1427</v>
      </c>
      <c r="E1163" s="1">
        <v>188</v>
      </c>
      <c r="F1163" s="1" t="s">
        <v>8</v>
      </c>
      <c r="G1163" s="1" t="s">
        <v>9</v>
      </c>
      <c r="H1163" s="1" t="s">
        <v>10</v>
      </c>
    </row>
    <row r="1164" spans="1:8" x14ac:dyDescent="0.3">
      <c r="A1164" s="1">
        <v>611</v>
      </c>
      <c r="B1164" s="1" t="s">
        <v>1417</v>
      </c>
      <c r="C1164" s="1" t="s">
        <v>1428</v>
      </c>
      <c r="D1164" s="1" t="s">
        <v>1429</v>
      </c>
      <c r="E1164" s="1">
        <v>149.9</v>
      </c>
      <c r="F1164" s="1" t="s">
        <v>8</v>
      </c>
      <c r="G1164" s="1" t="s">
        <v>9</v>
      </c>
      <c r="H1164" s="1" t="s">
        <v>10</v>
      </c>
    </row>
    <row r="1165" spans="1:8" x14ac:dyDescent="0.3">
      <c r="A1165" s="1">
        <v>611</v>
      </c>
      <c r="B1165" s="1" t="s">
        <v>1417</v>
      </c>
      <c r="C1165" s="1" t="s">
        <v>1430</v>
      </c>
      <c r="D1165" s="1" t="s">
        <v>1431</v>
      </c>
      <c r="E1165" s="1">
        <v>149.80000000000001</v>
      </c>
      <c r="F1165" s="1" t="s">
        <v>8</v>
      </c>
      <c r="G1165" s="1" t="s">
        <v>9</v>
      </c>
      <c r="H1165" s="1" t="s">
        <v>10</v>
      </c>
    </row>
    <row r="1166" spans="1:8" x14ac:dyDescent="0.3">
      <c r="A1166" s="1">
        <v>611</v>
      </c>
      <c r="B1166" s="1" t="s">
        <v>1417</v>
      </c>
      <c r="C1166" s="1" t="s">
        <v>1432</v>
      </c>
      <c r="D1166" s="1" t="s">
        <v>1433</v>
      </c>
      <c r="E1166" s="1">
        <v>317.2</v>
      </c>
      <c r="F1166" s="1" t="s">
        <v>8</v>
      </c>
      <c r="G1166" s="1" t="s">
        <v>9</v>
      </c>
      <c r="H1166" s="1" t="s">
        <v>10</v>
      </c>
    </row>
    <row r="1167" spans="1:8" x14ac:dyDescent="0.3">
      <c r="A1167" s="1">
        <v>611</v>
      </c>
      <c r="B1167" s="1" t="s">
        <v>1417</v>
      </c>
      <c r="C1167" s="1" t="s">
        <v>1434</v>
      </c>
      <c r="D1167" s="1" t="s">
        <v>1435</v>
      </c>
      <c r="E1167" s="1">
        <v>149.80000000000001</v>
      </c>
      <c r="F1167" s="1" t="s">
        <v>8</v>
      </c>
      <c r="G1167" s="1" t="s">
        <v>9</v>
      </c>
      <c r="H1167" s="1" t="s">
        <v>10</v>
      </c>
    </row>
    <row r="1168" spans="1:8" x14ac:dyDescent="0.3">
      <c r="A1168" s="1">
        <v>611</v>
      </c>
      <c r="B1168" s="1" t="s">
        <v>1417</v>
      </c>
      <c r="C1168" s="1" t="s">
        <v>1436</v>
      </c>
      <c r="D1168" s="1" t="s">
        <v>1437</v>
      </c>
      <c r="E1168" s="1">
        <v>15</v>
      </c>
      <c r="F1168" s="1" t="s">
        <v>8</v>
      </c>
      <c r="G1168" s="1" t="s">
        <v>9</v>
      </c>
      <c r="H1168" s="1" t="s">
        <v>10</v>
      </c>
    </row>
    <row r="1169" spans="1:8" x14ac:dyDescent="0.3">
      <c r="A1169" s="1">
        <v>611</v>
      </c>
      <c r="B1169" s="1" t="s">
        <v>1417</v>
      </c>
      <c r="C1169" s="1" t="s">
        <v>1438</v>
      </c>
      <c r="D1169" s="1" t="s">
        <v>1439</v>
      </c>
      <c r="E1169" s="1">
        <v>265</v>
      </c>
      <c r="F1169" s="1" t="s">
        <v>8</v>
      </c>
      <c r="G1169" s="1" t="s">
        <v>9</v>
      </c>
      <c r="H1169" s="1" t="s">
        <v>10</v>
      </c>
    </row>
    <row r="1170" spans="1:8" x14ac:dyDescent="0.3">
      <c r="A1170" s="1">
        <v>611</v>
      </c>
      <c r="B1170" s="1" t="s">
        <v>1417</v>
      </c>
      <c r="C1170" s="1" t="s">
        <v>1440</v>
      </c>
      <c r="D1170" s="1" t="s">
        <v>1441</v>
      </c>
      <c r="E1170" s="1">
        <v>164</v>
      </c>
      <c r="F1170" s="1" t="s">
        <v>8</v>
      </c>
      <c r="G1170" s="1" t="s">
        <v>9</v>
      </c>
      <c r="H1170" s="1" t="s">
        <v>10</v>
      </c>
    </row>
    <row r="1171" spans="1:8" x14ac:dyDescent="0.3">
      <c r="A1171" s="1">
        <v>611</v>
      </c>
      <c r="B1171" s="1" t="s">
        <v>1417</v>
      </c>
      <c r="C1171" s="1" t="s">
        <v>1442</v>
      </c>
      <c r="D1171" s="1" t="s">
        <v>1443</v>
      </c>
      <c r="E1171" s="1">
        <v>249.9</v>
      </c>
      <c r="F1171" s="1" t="s">
        <v>8</v>
      </c>
      <c r="G1171" s="1" t="s">
        <v>9</v>
      </c>
      <c r="H1171" s="1" t="s">
        <v>10</v>
      </c>
    </row>
    <row r="1172" spans="1:8" x14ac:dyDescent="0.3">
      <c r="A1172" s="1">
        <v>611</v>
      </c>
      <c r="B1172" s="1" t="s">
        <v>1417</v>
      </c>
      <c r="C1172" s="1" t="s">
        <v>1444</v>
      </c>
      <c r="D1172" s="1" t="s">
        <v>1445</v>
      </c>
      <c r="E1172" s="1">
        <v>72</v>
      </c>
      <c r="F1172" s="1" t="s">
        <v>8</v>
      </c>
      <c r="G1172" s="1" t="s">
        <v>9</v>
      </c>
      <c r="H1172" s="1" t="s">
        <v>10</v>
      </c>
    </row>
    <row r="1173" spans="1:8" x14ac:dyDescent="0.3">
      <c r="A1173" s="1">
        <v>611</v>
      </c>
      <c r="B1173" s="1" t="s">
        <v>1417</v>
      </c>
      <c r="C1173" s="1" t="s">
        <v>1446</v>
      </c>
      <c r="D1173" s="1" t="s">
        <v>1447</v>
      </c>
      <c r="E1173" s="1">
        <v>72</v>
      </c>
      <c r="F1173" s="1" t="s">
        <v>8</v>
      </c>
      <c r="G1173" s="1" t="s">
        <v>9</v>
      </c>
      <c r="H1173" s="1" t="s">
        <v>10</v>
      </c>
    </row>
    <row r="1174" spans="1:8" x14ac:dyDescent="0.3">
      <c r="A1174" s="1">
        <v>611</v>
      </c>
      <c r="B1174" s="1" t="s">
        <v>1417</v>
      </c>
      <c r="C1174" s="1" t="s">
        <v>1448</v>
      </c>
      <c r="D1174" s="1" t="s">
        <v>1449</v>
      </c>
      <c r="E1174" s="1">
        <v>72</v>
      </c>
      <c r="F1174" s="1" t="s">
        <v>8</v>
      </c>
      <c r="G1174" s="1" t="s">
        <v>9</v>
      </c>
      <c r="H1174" s="1" t="s">
        <v>10</v>
      </c>
    </row>
    <row r="1175" spans="1:8" x14ac:dyDescent="0.3">
      <c r="A1175" s="1">
        <v>611</v>
      </c>
      <c r="B1175" s="1" t="s">
        <v>1417</v>
      </c>
      <c r="C1175" s="1" t="s">
        <v>1450</v>
      </c>
      <c r="D1175" s="1" t="s">
        <v>1451</v>
      </c>
      <c r="E1175" s="1">
        <v>98.68</v>
      </c>
      <c r="F1175" s="1" t="s">
        <v>8</v>
      </c>
      <c r="G1175" s="1" t="s">
        <v>9</v>
      </c>
      <c r="H1175" s="1" t="s">
        <v>10</v>
      </c>
    </row>
    <row r="1176" spans="1:8" x14ac:dyDescent="0.3">
      <c r="A1176" s="1">
        <v>611</v>
      </c>
      <c r="B1176" s="1" t="s">
        <v>1417</v>
      </c>
      <c r="C1176" s="1" t="s">
        <v>1452</v>
      </c>
      <c r="D1176" s="1" t="s">
        <v>1453</v>
      </c>
      <c r="E1176" s="1">
        <v>522.07000000000005</v>
      </c>
      <c r="F1176" s="1" t="s">
        <v>8</v>
      </c>
      <c r="G1176" s="1" t="s">
        <v>13</v>
      </c>
      <c r="H1176" s="1" t="s">
        <v>10</v>
      </c>
    </row>
    <row r="1177" spans="1:8" x14ac:dyDescent="0.3">
      <c r="A1177" s="1">
        <v>611</v>
      </c>
      <c r="B1177" s="1" t="s">
        <v>1417</v>
      </c>
      <c r="C1177" s="1" t="s">
        <v>1454</v>
      </c>
      <c r="D1177" s="1" t="s">
        <v>1455</v>
      </c>
      <c r="E1177" s="1">
        <v>144</v>
      </c>
      <c r="F1177" s="1" t="s">
        <v>8</v>
      </c>
      <c r="G1177" s="1" t="s">
        <v>9</v>
      </c>
      <c r="H1177" s="1" t="s">
        <v>10</v>
      </c>
    </row>
    <row r="1178" spans="1:8" x14ac:dyDescent="0.3">
      <c r="A1178" s="1">
        <v>611</v>
      </c>
      <c r="B1178" s="1" t="s">
        <v>1417</v>
      </c>
      <c r="C1178" s="1" t="s">
        <v>1456</v>
      </c>
      <c r="D1178" s="1" t="s">
        <v>1457</v>
      </c>
      <c r="E1178" s="1">
        <v>228.26</v>
      </c>
      <c r="F1178" s="1" t="s">
        <v>8</v>
      </c>
      <c r="G1178" s="1" t="s">
        <v>13</v>
      </c>
      <c r="H1178" s="1" t="s">
        <v>10</v>
      </c>
    </row>
    <row r="1179" spans="1:8" x14ac:dyDescent="0.3">
      <c r="A1179" s="1">
        <v>611</v>
      </c>
      <c r="B1179" s="1" t="s">
        <v>1417</v>
      </c>
      <c r="C1179" s="1" t="s">
        <v>1458</v>
      </c>
      <c r="D1179" s="1" t="s">
        <v>1459</v>
      </c>
      <c r="E1179" s="1">
        <v>149.80000000000001</v>
      </c>
      <c r="F1179" s="1" t="s">
        <v>8</v>
      </c>
      <c r="G1179" s="1" t="s">
        <v>9</v>
      </c>
      <c r="H1179" s="1" t="s">
        <v>10</v>
      </c>
    </row>
    <row r="1180" spans="1:8" x14ac:dyDescent="0.3">
      <c r="A1180" s="1">
        <v>611</v>
      </c>
      <c r="B1180" s="1" t="s">
        <v>1417</v>
      </c>
      <c r="C1180" s="1" t="s">
        <v>1460</v>
      </c>
      <c r="D1180" s="1" t="s">
        <v>1461</v>
      </c>
      <c r="E1180" s="1">
        <v>424.6</v>
      </c>
      <c r="F1180" s="1" t="s">
        <v>8</v>
      </c>
      <c r="G1180" s="1" t="s">
        <v>9</v>
      </c>
      <c r="H1180" s="1" t="s">
        <v>10</v>
      </c>
    </row>
    <row r="1181" spans="1:8" x14ac:dyDescent="0.3">
      <c r="A1181" s="1">
        <v>611</v>
      </c>
      <c r="B1181" s="1" t="s">
        <v>1417</v>
      </c>
      <c r="C1181" s="1" t="s">
        <v>1462</v>
      </c>
      <c r="D1181" s="1" t="s">
        <v>1463</v>
      </c>
      <c r="E1181" s="1">
        <v>10</v>
      </c>
      <c r="F1181" s="1" t="s">
        <v>8</v>
      </c>
      <c r="G1181" s="1" t="s">
        <v>9</v>
      </c>
      <c r="H1181" s="1" t="s">
        <v>10</v>
      </c>
    </row>
    <row r="1182" spans="1:8" x14ac:dyDescent="0.3">
      <c r="A1182" s="1">
        <v>611</v>
      </c>
      <c r="B1182" s="1" t="s">
        <v>1417</v>
      </c>
      <c r="C1182" s="1" t="s">
        <v>1464</v>
      </c>
      <c r="D1182" s="1" t="s">
        <v>1465</v>
      </c>
      <c r="E1182" s="1">
        <v>427.84</v>
      </c>
      <c r="F1182" s="1" t="s">
        <v>8</v>
      </c>
      <c r="G1182" s="1" t="s">
        <v>9</v>
      </c>
      <c r="H1182" s="1" t="s">
        <v>10</v>
      </c>
    </row>
    <row r="1183" spans="1:8" x14ac:dyDescent="0.3">
      <c r="A1183" s="1">
        <v>611</v>
      </c>
      <c r="B1183" s="1" t="s">
        <v>1417</v>
      </c>
      <c r="C1183" s="1" t="s">
        <v>1466</v>
      </c>
      <c r="D1183" s="1" t="s">
        <v>1467</v>
      </c>
      <c r="E1183" s="1">
        <v>149.80000000000001</v>
      </c>
      <c r="F1183" s="1" t="s">
        <v>8</v>
      </c>
      <c r="G1183" s="1" t="s">
        <v>9</v>
      </c>
      <c r="H1183" s="1" t="s">
        <v>10</v>
      </c>
    </row>
    <row r="1184" spans="1:8" x14ac:dyDescent="0.3">
      <c r="A1184" s="1">
        <v>611</v>
      </c>
      <c r="B1184" s="1" t="s">
        <v>1417</v>
      </c>
      <c r="C1184" s="1" t="s">
        <v>1468</v>
      </c>
      <c r="D1184" s="1" t="s">
        <v>1469</v>
      </c>
      <c r="E1184" s="1">
        <v>149.80000000000001</v>
      </c>
      <c r="F1184" s="1" t="s">
        <v>8</v>
      </c>
      <c r="G1184" s="1" t="s">
        <v>9</v>
      </c>
      <c r="H1184" s="1" t="s">
        <v>10</v>
      </c>
    </row>
    <row r="1185" spans="1:8" x14ac:dyDescent="0.3">
      <c r="A1185" s="1">
        <v>611</v>
      </c>
      <c r="B1185" s="1" t="s">
        <v>1417</v>
      </c>
      <c r="C1185" s="1" t="s">
        <v>1470</v>
      </c>
      <c r="D1185" s="1" t="s">
        <v>1471</v>
      </c>
      <c r="E1185" s="1">
        <v>98.68</v>
      </c>
      <c r="F1185" s="1" t="s">
        <v>8</v>
      </c>
      <c r="G1185" s="1" t="s">
        <v>9</v>
      </c>
      <c r="H1185" s="1" t="s">
        <v>10</v>
      </c>
    </row>
    <row r="1186" spans="1:8" x14ac:dyDescent="0.3">
      <c r="A1186" s="1">
        <v>611</v>
      </c>
      <c r="B1186" s="1" t="s">
        <v>1417</v>
      </c>
      <c r="C1186" s="1" t="s">
        <v>1472</v>
      </c>
      <c r="D1186" s="1" t="s">
        <v>1473</v>
      </c>
      <c r="E1186" s="1">
        <v>367.8</v>
      </c>
      <c r="F1186" s="1" t="s">
        <v>8</v>
      </c>
      <c r="G1186" s="1" t="s">
        <v>9</v>
      </c>
      <c r="H1186" s="1" t="s">
        <v>10</v>
      </c>
    </row>
    <row r="1187" spans="1:8" x14ac:dyDescent="0.3">
      <c r="A1187" s="1">
        <v>611</v>
      </c>
      <c r="B1187" s="1" t="s">
        <v>1417</v>
      </c>
      <c r="C1187" s="1" t="s">
        <v>1474</v>
      </c>
      <c r="D1187" s="1" t="s">
        <v>1475</v>
      </c>
      <c r="E1187" s="1">
        <v>148.80000000000001</v>
      </c>
      <c r="F1187" s="1" t="s">
        <v>8</v>
      </c>
      <c r="G1187" s="1" t="s">
        <v>9</v>
      </c>
      <c r="H1187" s="1" t="s">
        <v>10</v>
      </c>
    </row>
    <row r="1188" spans="1:8" x14ac:dyDescent="0.3">
      <c r="A1188" s="1">
        <v>611</v>
      </c>
      <c r="B1188" s="1" t="s">
        <v>1417</v>
      </c>
      <c r="C1188" s="1" t="s">
        <v>1476</v>
      </c>
      <c r="D1188" s="1" t="s">
        <v>1477</v>
      </c>
      <c r="E1188" s="1">
        <v>45</v>
      </c>
      <c r="F1188" s="1" t="s">
        <v>8</v>
      </c>
      <c r="G1188" s="1" t="s">
        <v>9</v>
      </c>
      <c r="H1188" s="1" t="s">
        <v>10</v>
      </c>
    </row>
    <row r="1189" spans="1:8" x14ac:dyDescent="0.3">
      <c r="A1189" s="1">
        <v>611</v>
      </c>
      <c r="B1189" s="1" t="s">
        <v>1417</v>
      </c>
      <c r="C1189" s="1" t="s">
        <v>1478</v>
      </c>
      <c r="D1189" s="1" t="s">
        <v>1479</v>
      </c>
      <c r="E1189" s="1">
        <v>29.87</v>
      </c>
      <c r="F1189" s="1" t="s">
        <v>8</v>
      </c>
      <c r="G1189" s="1" t="s">
        <v>9</v>
      </c>
      <c r="H1189" s="1" t="s">
        <v>10</v>
      </c>
    </row>
    <row r="1190" spans="1:8" x14ac:dyDescent="0.3">
      <c r="A1190" s="1">
        <v>611</v>
      </c>
      <c r="B1190" s="1" t="s">
        <v>1417</v>
      </c>
      <c r="C1190" s="1" t="s">
        <v>1480</v>
      </c>
      <c r="D1190" s="1" t="s">
        <v>1481</v>
      </c>
      <c r="E1190" s="1">
        <v>149.9</v>
      </c>
      <c r="F1190" s="1" t="s">
        <v>8</v>
      </c>
      <c r="G1190" s="1" t="s">
        <v>9</v>
      </c>
      <c r="H1190" s="1" t="s">
        <v>10</v>
      </c>
    </row>
    <row r="1191" spans="1:8" x14ac:dyDescent="0.3">
      <c r="A1191" s="1">
        <v>611</v>
      </c>
      <c r="B1191" s="1" t="s">
        <v>1417</v>
      </c>
      <c r="C1191" s="1" t="s">
        <v>1482</v>
      </c>
      <c r="D1191" s="1" t="s">
        <v>1483</v>
      </c>
      <c r="E1191" s="1">
        <v>1231.2</v>
      </c>
      <c r="F1191" s="1" t="s">
        <v>8</v>
      </c>
      <c r="G1191" s="1" t="s">
        <v>9</v>
      </c>
      <c r="H1191" s="1" t="s">
        <v>10</v>
      </c>
    </row>
    <row r="1192" spans="1:8" x14ac:dyDescent="0.3">
      <c r="A1192" s="1">
        <v>611</v>
      </c>
      <c r="B1192" s="1" t="s">
        <v>1417</v>
      </c>
      <c r="C1192" s="1" t="s">
        <v>1484</v>
      </c>
      <c r="D1192" s="1" t="s">
        <v>1485</v>
      </c>
      <c r="E1192" s="1">
        <v>299.89999999999998</v>
      </c>
      <c r="F1192" s="1" t="s">
        <v>8</v>
      </c>
      <c r="G1192" s="1" t="s">
        <v>9</v>
      </c>
      <c r="H1192" s="1" t="s">
        <v>10</v>
      </c>
    </row>
    <row r="1193" spans="1:8" x14ac:dyDescent="0.3">
      <c r="A1193" s="1">
        <v>611</v>
      </c>
      <c r="B1193" s="1" t="s">
        <v>1417</v>
      </c>
      <c r="C1193" s="1" t="s">
        <v>1486</v>
      </c>
      <c r="D1193" s="1" t="s">
        <v>1487</v>
      </c>
      <c r="E1193" s="1">
        <v>45</v>
      </c>
      <c r="F1193" s="1" t="s">
        <v>8</v>
      </c>
      <c r="G1193" s="1" t="s">
        <v>9</v>
      </c>
      <c r="H1193" s="1" t="s">
        <v>10</v>
      </c>
    </row>
    <row r="1194" spans="1:8" x14ac:dyDescent="0.3">
      <c r="A1194" s="1">
        <v>611</v>
      </c>
      <c r="B1194" s="1" t="s">
        <v>1417</v>
      </c>
      <c r="C1194" s="1" t="s">
        <v>1488</v>
      </c>
      <c r="D1194" s="1" t="s">
        <v>1489</v>
      </c>
      <c r="E1194" s="1">
        <v>72</v>
      </c>
      <c r="F1194" s="1" t="s">
        <v>8</v>
      </c>
      <c r="G1194" s="1" t="s">
        <v>9</v>
      </c>
      <c r="H1194" s="1" t="s">
        <v>10</v>
      </c>
    </row>
    <row r="1195" spans="1:8" x14ac:dyDescent="0.3">
      <c r="A1195" s="1">
        <v>611</v>
      </c>
      <c r="B1195" s="1" t="s">
        <v>1417</v>
      </c>
      <c r="C1195" s="1" t="s">
        <v>1490</v>
      </c>
      <c r="D1195" s="1" t="s">
        <v>1491</v>
      </c>
      <c r="E1195" s="1">
        <v>149.80000000000001</v>
      </c>
      <c r="F1195" s="1" t="s">
        <v>8</v>
      </c>
      <c r="G1195" s="1" t="s">
        <v>9</v>
      </c>
      <c r="H1195" s="1" t="s">
        <v>10</v>
      </c>
    </row>
    <row r="1196" spans="1:8" x14ac:dyDescent="0.3">
      <c r="A1196" s="1">
        <v>611</v>
      </c>
      <c r="B1196" s="1" t="s">
        <v>1417</v>
      </c>
      <c r="C1196" s="1" t="s">
        <v>1492</v>
      </c>
      <c r="D1196" s="1" t="s">
        <v>1493</v>
      </c>
      <c r="E1196" s="1">
        <v>149.80000000000001</v>
      </c>
      <c r="F1196" s="1" t="s">
        <v>8</v>
      </c>
      <c r="G1196" s="1" t="s">
        <v>9</v>
      </c>
      <c r="H1196" s="1" t="s">
        <v>10</v>
      </c>
    </row>
    <row r="1197" spans="1:8" x14ac:dyDescent="0.3">
      <c r="A1197" s="1">
        <v>611</v>
      </c>
      <c r="B1197" s="1" t="s">
        <v>1417</v>
      </c>
      <c r="C1197" s="1" t="s">
        <v>1494</v>
      </c>
      <c r="D1197" s="1" t="s">
        <v>1495</v>
      </c>
      <c r="E1197" s="1">
        <v>98.68</v>
      </c>
      <c r="F1197" s="1" t="s">
        <v>8</v>
      </c>
      <c r="G1197" s="1" t="s">
        <v>9</v>
      </c>
      <c r="H1197" s="1" t="s">
        <v>10</v>
      </c>
    </row>
    <row r="1198" spans="1:8" x14ac:dyDescent="0.3">
      <c r="A1198" s="1">
        <v>611</v>
      </c>
      <c r="B1198" s="1" t="s">
        <v>1417</v>
      </c>
      <c r="C1198" s="1" t="s">
        <v>1496</v>
      </c>
      <c r="D1198" s="1" t="s">
        <v>1497</v>
      </c>
      <c r="E1198" s="1">
        <v>249.9</v>
      </c>
      <c r="F1198" s="1" t="s">
        <v>8</v>
      </c>
      <c r="G1198" s="1" t="s">
        <v>9</v>
      </c>
      <c r="H1198" s="1" t="s">
        <v>10</v>
      </c>
    </row>
    <row r="1199" spans="1:8" x14ac:dyDescent="0.3">
      <c r="A1199" s="1">
        <v>611</v>
      </c>
      <c r="B1199" s="1" t="s">
        <v>1417</v>
      </c>
      <c r="C1199" s="1" t="s">
        <v>1498</v>
      </c>
      <c r="D1199" s="1" t="s">
        <v>1499</v>
      </c>
      <c r="E1199" s="1">
        <v>440.42</v>
      </c>
      <c r="F1199" s="1" t="s">
        <v>8</v>
      </c>
      <c r="G1199" s="1" t="s">
        <v>9</v>
      </c>
      <c r="H1199" s="1" t="s">
        <v>10</v>
      </c>
    </row>
    <row r="1200" spans="1:8" x14ac:dyDescent="0.3">
      <c r="A1200" s="1">
        <v>611</v>
      </c>
      <c r="B1200" s="1" t="s">
        <v>1417</v>
      </c>
      <c r="C1200" s="1" t="s">
        <v>1500</v>
      </c>
      <c r="D1200" s="1" t="s">
        <v>1501</v>
      </c>
      <c r="E1200" s="1">
        <v>72</v>
      </c>
      <c r="F1200" s="1" t="s">
        <v>8</v>
      </c>
      <c r="G1200" s="1" t="s">
        <v>9</v>
      </c>
      <c r="H1200" s="1" t="s">
        <v>10</v>
      </c>
    </row>
    <row r="1201" spans="1:8" x14ac:dyDescent="0.3">
      <c r="A1201" s="1">
        <v>611</v>
      </c>
      <c r="B1201" s="1" t="s">
        <v>1417</v>
      </c>
      <c r="C1201" s="1" t="s">
        <v>4775</v>
      </c>
      <c r="D1201" s="1" t="s">
        <v>4776</v>
      </c>
      <c r="E1201" s="1">
        <v>202.9</v>
      </c>
      <c r="F1201" s="1" t="s">
        <v>8</v>
      </c>
      <c r="G1201" s="1" t="s">
        <v>13</v>
      </c>
      <c r="H1201" s="1" t="s">
        <v>10</v>
      </c>
    </row>
    <row r="1202" spans="1:8" x14ac:dyDescent="0.3">
      <c r="A1202" s="1">
        <v>611</v>
      </c>
      <c r="B1202" s="1" t="s">
        <v>1417</v>
      </c>
      <c r="C1202" s="1" t="s">
        <v>4777</v>
      </c>
      <c r="D1202" s="1" t="s">
        <v>4778</v>
      </c>
      <c r="E1202" s="1">
        <v>31.91</v>
      </c>
      <c r="F1202" s="1" t="s">
        <v>8</v>
      </c>
      <c r="G1202" s="1" t="s">
        <v>9</v>
      </c>
      <c r="H1202" s="1" t="s">
        <v>10</v>
      </c>
    </row>
    <row r="1203" spans="1:8" x14ac:dyDescent="0.3">
      <c r="A1203" s="1">
        <v>611</v>
      </c>
      <c r="B1203" s="1" t="s">
        <v>1417</v>
      </c>
      <c r="C1203" s="1" t="s">
        <v>4779</v>
      </c>
      <c r="D1203" s="1" t="s">
        <v>4780</v>
      </c>
      <c r="E1203" s="1">
        <v>279.89999999999998</v>
      </c>
      <c r="F1203" s="1" t="s">
        <v>8</v>
      </c>
      <c r="G1203" s="1" t="s">
        <v>9</v>
      </c>
      <c r="H1203" s="1" t="s">
        <v>10</v>
      </c>
    </row>
    <row r="1204" spans="1:8" x14ac:dyDescent="0.3">
      <c r="A1204" s="1">
        <v>611</v>
      </c>
      <c r="B1204" s="1" t="s">
        <v>1417</v>
      </c>
      <c r="C1204" s="1" t="s">
        <v>4781</v>
      </c>
      <c r="D1204" s="1" t="s">
        <v>4782</v>
      </c>
      <c r="E1204" s="1">
        <v>25</v>
      </c>
      <c r="F1204" s="1" t="s">
        <v>8</v>
      </c>
      <c r="G1204" s="1" t="s">
        <v>9</v>
      </c>
      <c r="H1204" s="1" t="s">
        <v>10</v>
      </c>
    </row>
    <row r="1205" spans="1:8" x14ac:dyDescent="0.3">
      <c r="A1205" s="1">
        <v>611</v>
      </c>
      <c r="B1205" s="1" t="s">
        <v>1417</v>
      </c>
      <c r="C1205" s="1" t="s">
        <v>4783</v>
      </c>
      <c r="D1205" s="1" t="s">
        <v>4784</v>
      </c>
      <c r="E1205" s="1">
        <v>229.78</v>
      </c>
      <c r="F1205" s="1" t="s">
        <v>8</v>
      </c>
      <c r="G1205" s="1" t="s">
        <v>9</v>
      </c>
      <c r="H1205" s="1" t="s">
        <v>10</v>
      </c>
    </row>
    <row r="1206" spans="1:8" x14ac:dyDescent="0.3">
      <c r="A1206" s="1">
        <v>612</v>
      </c>
      <c r="B1206" s="1" t="s">
        <v>1502</v>
      </c>
      <c r="C1206" s="1" t="s">
        <v>1503</v>
      </c>
      <c r="D1206" s="1" t="s">
        <v>1504</v>
      </c>
      <c r="E1206" s="1">
        <v>877.2</v>
      </c>
      <c r="F1206" s="1" t="s">
        <v>8</v>
      </c>
      <c r="G1206" s="1" t="s">
        <v>9</v>
      </c>
      <c r="H1206" s="1" t="s">
        <v>10</v>
      </c>
    </row>
    <row r="1207" spans="1:8" x14ac:dyDescent="0.3">
      <c r="A1207" s="1">
        <v>612</v>
      </c>
      <c r="B1207" s="1" t="s">
        <v>1502</v>
      </c>
      <c r="C1207" s="1" t="s">
        <v>1505</v>
      </c>
      <c r="D1207" s="1" t="s">
        <v>1506</v>
      </c>
      <c r="E1207" s="1">
        <v>49.9</v>
      </c>
      <c r="F1207" s="1" t="s">
        <v>8</v>
      </c>
      <c r="G1207" s="1" t="s">
        <v>9</v>
      </c>
      <c r="H1207" s="1" t="s">
        <v>10</v>
      </c>
    </row>
    <row r="1208" spans="1:8" x14ac:dyDescent="0.3">
      <c r="A1208" s="1">
        <v>612</v>
      </c>
      <c r="B1208" s="1" t="s">
        <v>1502</v>
      </c>
      <c r="C1208" s="1" t="s">
        <v>1507</v>
      </c>
      <c r="D1208" s="1" t="s">
        <v>1508</v>
      </c>
      <c r="E1208" s="1">
        <v>527.5</v>
      </c>
      <c r="F1208" s="1" t="s">
        <v>8</v>
      </c>
      <c r="G1208" s="1" t="s">
        <v>9</v>
      </c>
      <c r="H1208" s="1" t="s">
        <v>10</v>
      </c>
    </row>
    <row r="1209" spans="1:8" x14ac:dyDescent="0.3">
      <c r="A1209" s="1">
        <v>612</v>
      </c>
      <c r="B1209" s="1" t="s">
        <v>1502</v>
      </c>
      <c r="C1209" s="1" t="s">
        <v>1509</v>
      </c>
      <c r="D1209" s="1" t="s">
        <v>1510</v>
      </c>
      <c r="E1209" s="1">
        <v>98.68</v>
      </c>
      <c r="F1209" s="1" t="s">
        <v>8</v>
      </c>
      <c r="G1209" s="1" t="s">
        <v>9</v>
      </c>
      <c r="H1209" s="1" t="s">
        <v>10</v>
      </c>
    </row>
    <row r="1210" spans="1:8" x14ac:dyDescent="0.3">
      <c r="A1210" s="1">
        <v>612</v>
      </c>
      <c r="B1210" s="1" t="s">
        <v>1502</v>
      </c>
      <c r="C1210" s="1" t="s">
        <v>1511</v>
      </c>
      <c r="D1210" s="1" t="s">
        <v>1512</v>
      </c>
      <c r="E1210" s="1">
        <v>619.20000000000005</v>
      </c>
      <c r="F1210" s="1" t="s">
        <v>8</v>
      </c>
      <c r="G1210" s="1" t="s">
        <v>9</v>
      </c>
      <c r="H1210" s="1" t="s">
        <v>10</v>
      </c>
    </row>
    <row r="1211" spans="1:8" x14ac:dyDescent="0.3">
      <c r="A1211" s="1">
        <v>612</v>
      </c>
      <c r="B1211" s="1" t="s">
        <v>1502</v>
      </c>
      <c r="C1211" s="1" t="s">
        <v>1513</v>
      </c>
      <c r="D1211" s="1" t="s">
        <v>1514</v>
      </c>
      <c r="E1211" s="1">
        <v>193.5</v>
      </c>
      <c r="F1211" s="1" t="s">
        <v>8</v>
      </c>
      <c r="G1211" s="1" t="s">
        <v>9</v>
      </c>
      <c r="H1211" s="1" t="s">
        <v>10</v>
      </c>
    </row>
    <row r="1212" spans="1:8" x14ac:dyDescent="0.3">
      <c r="A1212" s="1">
        <v>612</v>
      </c>
      <c r="B1212" s="1" t="s">
        <v>1502</v>
      </c>
      <c r="C1212" s="1" t="s">
        <v>1515</v>
      </c>
      <c r="D1212" s="1" t="s">
        <v>1516</v>
      </c>
      <c r="E1212" s="1">
        <v>35</v>
      </c>
      <c r="F1212" s="1" t="s">
        <v>8</v>
      </c>
      <c r="G1212" s="1" t="s">
        <v>9</v>
      </c>
      <c r="H1212" s="1" t="s">
        <v>10</v>
      </c>
    </row>
    <row r="1213" spans="1:8" x14ac:dyDescent="0.3">
      <c r="A1213" s="1">
        <v>612</v>
      </c>
      <c r="B1213" s="1" t="s">
        <v>1502</v>
      </c>
      <c r="C1213" s="1" t="s">
        <v>1517</v>
      </c>
      <c r="D1213" s="1" t="s">
        <v>1518</v>
      </c>
      <c r="E1213" s="1">
        <v>10</v>
      </c>
      <c r="F1213" s="1" t="s">
        <v>8</v>
      </c>
      <c r="G1213" s="1" t="s">
        <v>9</v>
      </c>
      <c r="H1213" s="1" t="s">
        <v>10</v>
      </c>
    </row>
    <row r="1214" spans="1:8" x14ac:dyDescent="0.3">
      <c r="A1214" s="1">
        <v>612</v>
      </c>
      <c r="B1214" s="1" t="s">
        <v>1502</v>
      </c>
      <c r="C1214" s="1" t="s">
        <v>1519</v>
      </c>
      <c r="D1214" s="1" t="s">
        <v>1520</v>
      </c>
      <c r="E1214" s="1">
        <v>348.3</v>
      </c>
      <c r="F1214" s="1" t="s">
        <v>8</v>
      </c>
      <c r="G1214" s="1" t="s">
        <v>9</v>
      </c>
      <c r="H1214" s="1" t="s">
        <v>10</v>
      </c>
    </row>
    <row r="1215" spans="1:8" x14ac:dyDescent="0.3">
      <c r="A1215" s="1">
        <v>612</v>
      </c>
      <c r="B1215" s="1" t="s">
        <v>1502</v>
      </c>
      <c r="C1215" s="1" t="s">
        <v>1521</v>
      </c>
      <c r="D1215" s="1" t="s">
        <v>1522</v>
      </c>
      <c r="E1215" s="1">
        <v>1557.17</v>
      </c>
      <c r="F1215" s="1" t="s">
        <v>8</v>
      </c>
      <c r="G1215" s="1" t="s">
        <v>13</v>
      </c>
      <c r="H1215" s="1" t="s">
        <v>10</v>
      </c>
    </row>
    <row r="1216" spans="1:8" x14ac:dyDescent="0.3">
      <c r="A1216" s="1">
        <v>612</v>
      </c>
      <c r="B1216" s="1" t="s">
        <v>1502</v>
      </c>
      <c r="C1216" s="1" t="s">
        <v>1523</v>
      </c>
      <c r="D1216" s="1" t="s">
        <v>1524</v>
      </c>
      <c r="E1216" s="1">
        <v>319.8</v>
      </c>
      <c r="F1216" s="1" t="s">
        <v>8</v>
      </c>
      <c r="G1216" s="1" t="s">
        <v>13</v>
      </c>
      <c r="H1216" s="1" t="s">
        <v>10</v>
      </c>
    </row>
    <row r="1217" spans="1:8" x14ac:dyDescent="0.3">
      <c r="A1217" s="1">
        <v>612</v>
      </c>
      <c r="B1217" s="1" t="s">
        <v>1502</v>
      </c>
      <c r="C1217" s="1" t="s">
        <v>1525</v>
      </c>
      <c r="D1217" s="1" t="s">
        <v>1526</v>
      </c>
      <c r="E1217" s="1">
        <v>451.5</v>
      </c>
      <c r="F1217" s="1" t="s">
        <v>8</v>
      </c>
      <c r="G1217" s="1" t="s">
        <v>9</v>
      </c>
      <c r="H1217" s="1" t="s">
        <v>10</v>
      </c>
    </row>
    <row r="1218" spans="1:8" x14ac:dyDescent="0.3">
      <c r="A1218" s="1">
        <v>612</v>
      </c>
      <c r="B1218" s="1" t="s">
        <v>1502</v>
      </c>
      <c r="C1218" s="1" t="s">
        <v>1527</v>
      </c>
      <c r="D1218" s="1" t="s">
        <v>1528</v>
      </c>
      <c r="E1218" s="1">
        <v>516</v>
      </c>
      <c r="F1218" s="1" t="s">
        <v>8</v>
      </c>
      <c r="G1218" s="1" t="s">
        <v>9</v>
      </c>
      <c r="H1218" s="1" t="s">
        <v>10</v>
      </c>
    </row>
    <row r="1219" spans="1:8" x14ac:dyDescent="0.3">
      <c r="A1219" s="1">
        <v>612</v>
      </c>
      <c r="B1219" s="1" t="s">
        <v>1502</v>
      </c>
      <c r="C1219" s="1" t="s">
        <v>1529</v>
      </c>
      <c r="D1219" s="1" t="s">
        <v>1530</v>
      </c>
      <c r="E1219" s="1">
        <v>309.35000000000002</v>
      </c>
      <c r="F1219" s="1" t="s">
        <v>8</v>
      </c>
      <c r="G1219" s="1" t="s">
        <v>13</v>
      </c>
      <c r="H1219" s="1" t="s">
        <v>10</v>
      </c>
    </row>
    <row r="1220" spans="1:8" x14ac:dyDescent="0.3">
      <c r="A1220" s="1">
        <v>612</v>
      </c>
      <c r="B1220" s="1" t="s">
        <v>1502</v>
      </c>
      <c r="C1220" s="1" t="s">
        <v>1531</v>
      </c>
      <c r="D1220" s="1" t="s">
        <v>1532</v>
      </c>
      <c r="E1220" s="1">
        <v>128.38</v>
      </c>
      <c r="F1220" s="1" t="s">
        <v>8</v>
      </c>
      <c r="G1220" s="1" t="s">
        <v>13</v>
      </c>
      <c r="H1220" s="1" t="s">
        <v>10</v>
      </c>
    </row>
    <row r="1221" spans="1:8" x14ac:dyDescent="0.3">
      <c r="A1221" s="1">
        <v>612</v>
      </c>
      <c r="B1221" s="1" t="s">
        <v>1502</v>
      </c>
      <c r="C1221" s="1" t="s">
        <v>1533</v>
      </c>
      <c r="D1221" s="1" t="s">
        <v>1534</v>
      </c>
      <c r="E1221" s="1">
        <v>3250.8</v>
      </c>
      <c r="F1221" s="1" t="s">
        <v>8</v>
      </c>
      <c r="G1221" s="1" t="s">
        <v>9</v>
      </c>
      <c r="H1221" s="1" t="s">
        <v>10</v>
      </c>
    </row>
    <row r="1222" spans="1:8" x14ac:dyDescent="0.3">
      <c r="A1222" s="1">
        <v>612</v>
      </c>
      <c r="B1222" s="1" t="s">
        <v>1502</v>
      </c>
      <c r="C1222" s="1" t="s">
        <v>1535</v>
      </c>
      <c r="D1222" s="1" t="s">
        <v>1536</v>
      </c>
      <c r="E1222" s="1">
        <v>352.98</v>
      </c>
      <c r="F1222" s="1" t="s">
        <v>8</v>
      </c>
      <c r="G1222" s="1" t="s">
        <v>9</v>
      </c>
      <c r="H1222" s="1" t="s">
        <v>10</v>
      </c>
    </row>
    <row r="1223" spans="1:8" x14ac:dyDescent="0.3">
      <c r="A1223" s="1">
        <v>612</v>
      </c>
      <c r="B1223" s="1" t="s">
        <v>1502</v>
      </c>
      <c r="C1223" s="1" t="s">
        <v>1537</v>
      </c>
      <c r="D1223" s="1" t="s">
        <v>1538</v>
      </c>
      <c r="E1223" s="1">
        <v>107.78</v>
      </c>
      <c r="F1223" s="1" t="s">
        <v>8</v>
      </c>
      <c r="G1223" s="1" t="s">
        <v>9</v>
      </c>
      <c r="H1223" s="1" t="s">
        <v>10</v>
      </c>
    </row>
    <row r="1224" spans="1:8" x14ac:dyDescent="0.3">
      <c r="A1224" s="1">
        <v>612</v>
      </c>
      <c r="B1224" s="1" t="s">
        <v>1502</v>
      </c>
      <c r="C1224" s="1" t="s">
        <v>1539</v>
      </c>
      <c r="D1224" s="1" t="s">
        <v>1540</v>
      </c>
      <c r="E1224" s="1">
        <v>107.78</v>
      </c>
      <c r="F1224" s="1" t="s">
        <v>8</v>
      </c>
      <c r="G1224" s="1" t="s">
        <v>9</v>
      </c>
      <c r="H1224" s="1" t="s">
        <v>10</v>
      </c>
    </row>
    <row r="1225" spans="1:8" x14ac:dyDescent="0.3">
      <c r="A1225" s="1">
        <v>612</v>
      </c>
      <c r="B1225" s="1" t="s">
        <v>1502</v>
      </c>
      <c r="C1225" s="1" t="s">
        <v>4785</v>
      </c>
      <c r="D1225" s="1" t="s">
        <v>4786</v>
      </c>
      <c r="E1225" s="1">
        <v>537.89</v>
      </c>
      <c r="F1225" s="1" t="s">
        <v>8</v>
      </c>
      <c r="G1225" s="1" t="s">
        <v>13</v>
      </c>
      <c r="H1225" s="1" t="s">
        <v>10</v>
      </c>
    </row>
    <row r="1226" spans="1:8" x14ac:dyDescent="0.3">
      <c r="A1226" s="1">
        <v>612</v>
      </c>
      <c r="B1226" s="1" t="s">
        <v>1502</v>
      </c>
      <c r="C1226" s="1" t="s">
        <v>4787</v>
      </c>
      <c r="D1226" s="1" t="s">
        <v>4788</v>
      </c>
      <c r="E1226" s="1">
        <v>239.6</v>
      </c>
      <c r="F1226" s="1" t="s">
        <v>8</v>
      </c>
      <c r="G1226" s="1" t="s">
        <v>9</v>
      </c>
      <c r="H1226" s="1" t="s">
        <v>10</v>
      </c>
    </row>
    <row r="1227" spans="1:8" x14ac:dyDescent="0.3">
      <c r="A1227" s="1">
        <v>612</v>
      </c>
      <c r="B1227" s="1" t="s">
        <v>1502</v>
      </c>
      <c r="C1227" s="1" t="s">
        <v>4789</v>
      </c>
      <c r="D1227" s="1" t="s">
        <v>4790</v>
      </c>
      <c r="E1227" s="1">
        <v>389.4</v>
      </c>
      <c r="F1227" s="1" t="s">
        <v>8</v>
      </c>
      <c r="G1227" s="1" t="s">
        <v>9</v>
      </c>
      <c r="H1227" s="1" t="s">
        <v>10</v>
      </c>
    </row>
    <row r="1228" spans="1:8" x14ac:dyDescent="0.3">
      <c r="A1228" s="1">
        <v>612</v>
      </c>
      <c r="B1228" s="1" t="s">
        <v>1502</v>
      </c>
      <c r="C1228" s="1" t="s">
        <v>4791</v>
      </c>
      <c r="D1228" s="1" t="s">
        <v>4792</v>
      </c>
      <c r="E1228" s="1">
        <v>451.5</v>
      </c>
      <c r="F1228" s="1" t="s">
        <v>8</v>
      </c>
      <c r="G1228" s="1" t="s">
        <v>9</v>
      </c>
      <c r="H1228" s="1" t="s">
        <v>10</v>
      </c>
    </row>
    <row r="1229" spans="1:8" x14ac:dyDescent="0.3">
      <c r="A1229" s="1">
        <v>617</v>
      </c>
      <c r="B1229" s="1" t="s">
        <v>1542</v>
      </c>
      <c r="C1229" s="1" t="s">
        <v>1543</v>
      </c>
      <c r="D1229" s="1" t="s">
        <v>1544</v>
      </c>
      <c r="E1229" s="1">
        <v>322.5</v>
      </c>
      <c r="F1229" s="1" t="s">
        <v>8</v>
      </c>
      <c r="G1229" s="1" t="s">
        <v>9</v>
      </c>
      <c r="H1229" s="1" t="s">
        <v>10</v>
      </c>
    </row>
    <row r="1230" spans="1:8" x14ac:dyDescent="0.3">
      <c r="A1230" s="1">
        <v>617</v>
      </c>
      <c r="B1230" s="1" t="s">
        <v>1542</v>
      </c>
      <c r="C1230" s="1" t="s">
        <v>1545</v>
      </c>
      <c r="D1230" s="1" t="s">
        <v>1546</v>
      </c>
      <c r="E1230" s="1">
        <v>352.98</v>
      </c>
      <c r="F1230" s="1" t="s">
        <v>8</v>
      </c>
      <c r="G1230" s="1" t="s">
        <v>9</v>
      </c>
      <c r="H1230" s="1" t="s">
        <v>10</v>
      </c>
    </row>
    <row r="1231" spans="1:8" x14ac:dyDescent="0.3">
      <c r="A1231" s="1">
        <v>617</v>
      </c>
      <c r="B1231" s="1" t="s">
        <v>1542</v>
      </c>
      <c r="C1231" s="1" t="s">
        <v>1547</v>
      </c>
      <c r="D1231" s="1" t="s">
        <v>1548</v>
      </c>
      <c r="E1231" s="1">
        <v>200.73</v>
      </c>
      <c r="F1231" s="1" t="s">
        <v>8</v>
      </c>
      <c r="G1231" s="1" t="s">
        <v>9</v>
      </c>
      <c r="H1231" s="1" t="s">
        <v>10</v>
      </c>
    </row>
    <row r="1232" spans="1:8" x14ac:dyDescent="0.3">
      <c r="A1232" s="1">
        <v>617</v>
      </c>
      <c r="B1232" s="1" t="s">
        <v>1542</v>
      </c>
      <c r="C1232" s="1" t="s">
        <v>1549</v>
      </c>
      <c r="D1232" s="1" t="s">
        <v>1550</v>
      </c>
      <c r="E1232" s="1">
        <v>528.9</v>
      </c>
      <c r="F1232" s="1" t="s">
        <v>8</v>
      </c>
      <c r="G1232" s="1" t="s">
        <v>9</v>
      </c>
      <c r="H1232" s="1" t="s">
        <v>10</v>
      </c>
    </row>
    <row r="1233" spans="1:8" x14ac:dyDescent="0.3">
      <c r="A1233" s="1">
        <v>617</v>
      </c>
      <c r="B1233" s="1" t="s">
        <v>1542</v>
      </c>
      <c r="C1233" s="1" t="s">
        <v>1551</v>
      </c>
      <c r="D1233" s="1" t="s">
        <v>1552</v>
      </c>
      <c r="E1233" s="1">
        <v>387</v>
      </c>
      <c r="F1233" s="1" t="s">
        <v>8</v>
      </c>
      <c r="G1233" s="1" t="s">
        <v>9</v>
      </c>
      <c r="H1233" s="1" t="s">
        <v>10</v>
      </c>
    </row>
    <row r="1234" spans="1:8" x14ac:dyDescent="0.3">
      <c r="A1234" s="1">
        <v>617</v>
      </c>
      <c r="B1234" s="1" t="s">
        <v>1542</v>
      </c>
      <c r="C1234" s="1" t="s">
        <v>1553</v>
      </c>
      <c r="D1234" s="1" t="s">
        <v>1554</v>
      </c>
      <c r="E1234" s="1">
        <v>232</v>
      </c>
      <c r="F1234" s="1" t="s">
        <v>8</v>
      </c>
      <c r="G1234" s="1" t="s">
        <v>9</v>
      </c>
      <c r="H1234" s="1" t="s">
        <v>10</v>
      </c>
    </row>
    <row r="1235" spans="1:8" x14ac:dyDescent="0.3">
      <c r="A1235" s="1">
        <v>617</v>
      </c>
      <c r="B1235" s="1" t="s">
        <v>1542</v>
      </c>
      <c r="C1235" s="1" t="s">
        <v>1555</v>
      </c>
      <c r="D1235" s="1" t="s">
        <v>1556</v>
      </c>
      <c r="E1235" s="1">
        <v>41.5</v>
      </c>
      <c r="F1235" s="1" t="s">
        <v>8</v>
      </c>
      <c r="G1235" s="1" t="s">
        <v>13</v>
      </c>
      <c r="H1235" s="1" t="s">
        <v>10</v>
      </c>
    </row>
    <row r="1236" spans="1:8" x14ac:dyDescent="0.3">
      <c r="A1236" s="1">
        <v>617</v>
      </c>
      <c r="B1236" s="1" t="s">
        <v>1542</v>
      </c>
      <c r="C1236" s="1" t="s">
        <v>1557</v>
      </c>
      <c r="D1236" s="1" t="s">
        <v>1558</v>
      </c>
      <c r="E1236" s="1">
        <v>322.06</v>
      </c>
      <c r="F1236" s="1" t="s">
        <v>8</v>
      </c>
      <c r="G1236" s="1" t="s">
        <v>13</v>
      </c>
      <c r="H1236" s="1" t="s">
        <v>10</v>
      </c>
    </row>
    <row r="1237" spans="1:8" x14ac:dyDescent="0.3">
      <c r="A1237" s="1">
        <v>617</v>
      </c>
      <c r="B1237" s="1" t="s">
        <v>1542</v>
      </c>
      <c r="C1237" s="1" t="s">
        <v>1559</v>
      </c>
      <c r="D1237" s="1" t="s">
        <v>1560</v>
      </c>
      <c r="E1237" s="1">
        <v>15</v>
      </c>
      <c r="F1237" s="1" t="s">
        <v>8</v>
      </c>
      <c r="G1237" s="1" t="s">
        <v>9</v>
      </c>
      <c r="H1237" s="1" t="s">
        <v>10</v>
      </c>
    </row>
    <row r="1238" spans="1:8" x14ac:dyDescent="0.3">
      <c r="A1238" s="1">
        <v>617</v>
      </c>
      <c r="B1238" s="1" t="s">
        <v>1542</v>
      </c>
      <c r="C1238" s="1" t="s">
        <v>1561</v>
      </c>
      <c r="D1238" s="1" t="s">
        <v>1562</v>
      </c>
      <c r="E1238" s="1">
        <v>320.93</v>
      </c>
      <c r="F1238" s="1" t="s">
        <v>8</v>
      </c>
      <c r="G1238" s="1" t="s">
        <v>13</v>
      </c>
      <c r="H1238" s="1" t="s">
        <v>10</v>
      </c>
    </row>
    <row r="1239" spans="1:8" x14ac:dyDescent="0.3">
      <c r="A1239" s="1">
        <v>617</v>
      </c>
      <c r="B1239" s="1" t="s">
        <v>1542</v>
      </c>
      <c r="C1239" s="1" t="s">
        <v>1563</v>
      </c>
      <c r="D1239" s="1" t="s">
        <v>1564</v>
      </c>
      <c r="E1239" s="1">
        <v>348.3</v>
      </c>
      <c r="F1239" s="1" t="s">
        <v>8</v>
      </c>
      <c r="G1239" s="1" t="s">
        <v>9</v>
      </c>
      <c r="H1239" s="1" t="s">
        <v>10</v>
      </c>
    </row>
    <row r="1240" spans="1:8" x14ac:dyDescent="0.3">
      <c r="A1240" s="1">
        <v>617</v>
      </c>
      <c r="B1240" s="1" t="s">
        <v>1542</v>
      </c>
      <c r="C1240" s="1" t="s">
        <v>1565</v>
      </c>
      <c r="D1240" s="1" t="s">
        <v>1566</v>
      </c>
      <c r="E1240" s="1">
        <v>291.97000000000003</v>
      </c>
      <c r="F1240" s="1" t="s">
        <v>8</v>
      </c>
      <c r="G1240" s="1" t="s">
        <v>13</v>
      </c>
      <c r="H1240" s="1" t="s">
        <v>10</v>
      </c>
    </row>
    <row r="1241" spans="1:8" x14ac:dyDescent="0.3">
      <c r="A1241" s="1">
        <v>617</v>
      </c>
      <c r="B1241" s="1" t="s">
        <v>1542</v>
      </c>
      <c r="C1241" s="1" t="s">
        <v>1567</v>
      </c>
      <c r="D1241" s="1" t="s">
        <v>1568</v>
      </c>
      <c r="E1241" s="1">
        <v>152</v>
      </c>
      <c r="F1241" s="1" t="s">
        <v>8</v>
      </c>
      <c r="G1241" s="1" t="s">
        <v>9</v>
      </c>
      <c r="H1241" s="1" t="s">
        <v>10</v>
      </c>
    </row>
    <row r="1242" spans="1:8" x14ac:dyDescent="0.3">
      <c r="A1242" s="1">
        <v>617</v>
      </c>
      <c r="B1242" s="1" t="s">
        <v>1542</v>
      </c>
      <c r="C1242" s="1" t="s">
        <v>1569</v>
      </c>
      <c r="D1242" s="1" t="s">
        <v>1570</v>
      </c>
      <c r="E1242" s="1">
        <v>154.80000000000001</v>
      </c>
      <c r="F1242" s="1" t="s">
        <v>8</v>
      </c>
      <c r="G1242" s="1" t="s">
        <v>9</v>
      </c>
      <c r="H1242" s="1" t="s">
        <v>10</v>
      </c>
    </row>
    <row r="1243" spans="1:8" x14ac:dyDescent="0.3">
      <c r="A1243" s="1">
        <v>617</v>
      </c>
      <c r="B1243" s="1" t="s">
        <v>1542</v>
      </c>
      <c r="C1243" s="1" t="s">
        <v>1571</v>
      </c>
      <c r="D1243" s="1" t="s">
        <v>1572</v>
      </c>
      <c r="E1243" s="1">
        <v>311.38</v>
      </c>
      <c r="F1243" s="1" t="s">
        <v>8</v>
      </c>
      <c r="G1243" s="1" t="s">
        <v>13</v>
      </c>
      <c r="H1243" s="1" t="s">
        <v>10</v>
      </c>
    </row>
    <row r="1244" spans="1:8" x14ac:dyDescent="0.3">
      <c r="A1244" s="1">
        <v>617</v>
      </c>
      <c r="B1244" s="1" t="s">
        <v>1542</v>
      </c>
      <c r="C1244" s="1" t="s">
        <v>1573</v>
      </c>
      <c r="D1244" s="1" t="s">
        <v>1574</v>
      </c>
      <c r="E1244" s="1">
        <v>180.6</v>
      </c>
      <c r="F1244" s="1" t="s">
        <v>8</v>
      </c>
      <c r="G1244" s="1" t="s">
        <v>9</v>
      </c>
      <c r="H1244" s="1" t="s">
        <v>10</v>
      </c>
    </row>
    <row r="1245" spans="1:8" x14ac:dyDescent="0.3">
      <c r="A1245" s="1">
        <v>617</v>
      </c>
      <c r="B1245" s="1" t="s">
        <v>1542</v>
      </c>
      <c r="C1245" s="1" t="s">
        <v>1575</v>
      </c>
      <c r="D1245" s="1" t="s">
        <v>1576</v>
      </c>
      <c r="E1245" s="1">
        <v>72</v>
      </c>
      <c r="F1245" s="1" t="s">
        <v>8</v>
      </c>
      <c r="G1245" s="1" t="s">
        <v>9</v>
      </c>
      <c r="H1245" s="1" t="s">
        <v>10</v>
      </c>
    </row>
    <row r="1246" spans="1:8" x14ac:dyDescent="0.3">
      <c r="A1246" s="1">
        <v>617</v>
      </c>
      <c r="B1246" s="1" t="s">
        <v>1542</v>
      </c>
      <c r="C1246" s="1" t="s">
        <v>1577</v>
      </c>
      <c r="D1246" s="1" t="s">
        <v>1578</v>
      </c>
      <c r="E1246" s="1">
        <v>101.67</v>
      </c>
      <c r="F1246" s="1" t="s">
        <v>8</v>
      </c>
      <c r="G1246" s="1" t="s">
        <v>13</v>
      </c>
      <c r="H1246" s="1" t="s">
        <v>10</v>
      </c>
    </row>
    <row r="1247" spans="1:8" x14ac:dyDescent="0.3">
      <c r="A1247" s="1">
        <v>617</v>
      </c>
      <c r="B1247" s="1" t="s">
        <v>1542</v>
      </c>
      <c r="C1247" s="1" t="s">
        <v>1579</v>
      </c>
      <c r="D1247" s="1" t="s">
        <v>1580</v>
      </c>
      <c r="E1247" s="1">
        <v>320.93</v>
      </c>
      <c r="F1247" s="1" t="s">
        <v>8</v>
      </c>
      <c r="G1247" s="1" t="s">
        <v>13</v>
      </c>
      <c r="H1247" s="1" t="s">
        <v>10</v>
      </c>
    </row>
    <row r="1248" spans="1:8" x14ac:dyDescent="0.3">
      <c r="A1248" s="1">
        <v>617</v>
      </c>
      <c r="B1248" s="1" t="s">
        <v>1542</v>
      </c>
      <c r="C1248" s="1" t="s">
        <v>1581</v>
      </c>
      <c r="D1248" s="1" t="s">
        <v>1582</v>
      </c>
      <c r="E1248" s="1">
        <v>114</v>
      </c>
      <c r="F1248" s="1" t="s">
        <v>8</v>
      </c>
      <c r="G1248" s="1" t="s">
        <v>9</v>
      </c>
      <c r="H1248" s="1" t="s">
        <v>10</v>
      </c>
    </row>
    <row r="1249" spans="1:8" x14ac:dyDescent="0.3">
      <c r="A1249" s="1">
        <v>617</v>
      </c>
      <c r="B1249" s="1" t="s">
        <v>1542</v>
      </c>
      <c r="C1249" s="1" t="s">
        <v>1583</v>
      </c>
      <c r="D1249" s="1" t="s">
        <v>1584</v>
      </c>
      <c r="E1249" s="1">
        <v>278</v>
      </c>
      <c r="F1249" s="1" t="s">
        <v>8</v>
      </c>
      <c r="G1249" s="1" t="s">
        <v>9</v>
      </c>
      <c r="H1249" s="1" t="s">
        <v>10</v>
      </c>
    </row>
    <row r="1250" spans="1:8" x14ac:dyDescent="0.3">
      <c r="A1250" s="1">
        <v>617</v>
      </c>
      <c r="B1250" s="1" t="s">
        <v>1542</v>
      </c>
      <c r="C1250" s="1" t="s">
        <v>1585</v>
      </c>
      <c r="D1250" s="1" t="s">
        <v>1586</v>
      </c>
      <c r="E1250" s="1">
        <v>2180.1</v>
      </c>
      <c r="F1250" s="1" t="s">
        <v>8</v>
      </c>
      <c r="G1250" s="1" t="s">
        <v>9</v>
      </c>
      <c r="H1250" s="1" t="s">
        <v>10</v>
      </c>
    </row>
    <row r="1251" spans="1:8" x14ac:dyDescent="0.3">
      <c r="A1251" s="1">
        <v>617</v>
      </c>
      <c r="B1251" s="1" t="s">
        <v>1542</v>
      </c>
      <c r="C1251" s="1" t="s">
        <v>4793</v>
      </c>
      <c r="D1251" s="1" t="s">
        <v>4794</v>
      </c>
      <c r="E1251" s="1">
        <v>152</v>
      </c>
      <c r="F1251" s="1" t="s">
        <v>8</v>
      </c>
      <c r="G1251" s="1" t="s">
        <v>9</v>
      </c>
      <c r="H1251" s="1" t="s">
        <v>10</v>
      </c>
    </row>
    <row r="1252" spans="1:8" x14ac:dyDescent="0.3">
      <c r="A1252" s="1">
        <v>617</v>
      </c>
      <c r="B1252" s="1" t="s">
        <v>1542</v>
      </c>
      <c r="C1252" s="1" t="s">
        <v>4795</v>
      </c>
      <c r="D1252" s="1" t="s">
        <v>4796</v>
      </c>
      <c r="E1252" s="1">
        <v>389.9</v>
      </c>
      <c r="F1252" s="1" t="s">
        <v>8</v>
      </c>
      <c r="G1252" s="1" t="s">
        <v>9</v>
      </c>
      <c r="H1252" s="1" t="s">
        <v>10</v>
      </c>
    </row>
    <row r="1253" spans="1:8" x14ac:dyDescent="0.3">
      <c r="A1253" s="1">
        <v>617</v>
      </c>
      <c r="B1253" s="1" t="s">
        <v>1542</v>
      </c>
      <c r="C1253" s="1" t="s">
        <v>4797</v>
      </c>
      <c r="D1253" s="1" t="s">
        <v>4798</v>
      </c>
      <c r="E1253" s="1">
        <v>76</v>
      </c>
      <c r="F1253" s="1" t="s">
        <v>8</v>
      </c>
      <c r="G1253" s="1" t="s">
        <v>9</v>
      </c>
      <c r="H1253" s="1" t="s">
        <v>10</v>
      </c>
    </row>
    <row r="1254" spans="1:8" x14ac:dyDescent="0.3">
      <c r="A1254" s="1">
        <v>617</v>
      </c>
      <c r="B1254" s="1" t="s">
        <v>1542</v>
      </c>
      <c r="C1254" s="1" t="s">
        <v>4799</v>
      </c>
      <c r="D1254" s="1" t="s">
        <v>4800</v>
      </c>
      <c r="E1254" s="1">
        <v>206.4</v>
      </c>
      <c r="F1254" s="1" t="s">
        <v>8</v>
      </c>
      <c r="G1254" s="1" t="s">
        <v>9</v>
      </c>
      <c r="H1254" s="1" t="s">
        <v>10</v>
      </c>
    </row>
    <row r="1255" spans="1:8" x14ac:dyDescent="0.3">
      <c r="A1255" s="1">
        <v>617</v>
      </c>
      <c r="B1255" s="1" t="s">
        <v>1542</v>
      </c>
      <c r="C1255" s="1" t="s">
        <v>4801</v>
      </c>
      <c r="D1255" s="1" t="s">
        <v>4802</v>
      </c>
      <c r="E1255" s="1">
        <v>320.93</v>
      </c>
      <c r="F1255" s="1" t="s">
        <v>8</v>
      </c>
      <c r="G1255" s="1" t="s">
        <v>13</v>
      </c>
      <c r="H1255" s="1" t="s">
        <v>10</v>
      </c>
    </row>
    <row r="1256" spans="1:8" x14ac:dyDescent="0.3">
      <c r="A1256" s="1">
        <v>619</v>
      </c>
      <c r="B1256" s="1" t="s">
        <v>1587</v>
      </c>
      <c r="C1256" s="1" t="s">
        <v>1588</v>
      </c>
      <c r="D1256" s="1" t="s">
        <v>1589</v>
      </c>
      <c r="E1256" s="1">
        <v>399.9</v>
      </c>
      <c r="F1256" s="1" t="s">
        <v>8</v>
      </c>
      <c r="G1256" s="1" t="s">
        <v>9</v>
      </c>
      <c r="H1256" s="1" t="s">
        <v>10</v>
      </c>
    </row>
    <row r="1257" spans="1:8" x14ac:dyDescent="0.3">
      <c r="A1257" s="1">
        <v>619</v>
      </c>
      <c r="B1257" s="1" t="s">
        <v>1587</v>
      </c>
      <c r="C1257" s="1" t="s">
        <v>830</v>
      </c>
      <c r="D1257" s="1" t="s">
        <v>1590</v>
      </c>
      <c r="E1257" s="1">
        <v>615</v>
      </c>
      <c r="F1257" s="1" t="s">
        <v>8</v>
      </c>
      <c r="G1257" s="1" t="s">
        <v>9</v>
      </c>
      <c r="H1257" s="1" t="s">
        <v>10</v>
      </c>
    </row>
    <row r="1258" spans="1:8" x14ac:dyDescent="0.3">
      <c r="A1258" s="1">
        <v>619</v>
      </c>
      <c r="B1258" s="1" t="s">
        <v>1587</v>
      </c>
      <c r="C1258" s="1" t="s">
        <v>1591</v>
      </c>
      <c r="D1258" s="1" t="s">
        <v>1592</v>
      </c>
      <c r="E1258" s="1">
        <v>568.79999999999995</v>
      </c>
      <c r="F1258" s="1" t="s">
        <v>8</v>
      </c>
      <c r="G1258" s="1" t="s">
        <v>9</v>
      </c>
      <c r="H1258" s="1" t="s">
        <v>10</v>
      </c>
    </row>
    <row r="1259" spans="1:8" x14ac:dyDescent="0.3">
      <c r="A1259" s="1">
        <v>619</v>
      </c>
      <c r="B1259" s="1" t="s">
        <v>1587</v>
      </c>
      <c r="C1259" s="1" t="s">
        <v>1593</v>
      </c>
      <c r="D1259" s="1" t="s">
        <v>1594</v>
      </c>
      <c r="E1259" s="1">
        <v>181</v>
      </c>
      <c r="F1259" s="1" t="s">
        <v>8</v>
      </c>
      <c r="G1259" s="1" t="s">
        <v>9</v>
      </c>
      <c r="H1259" s="1" t="s">
        <v>10</v>
      </c>
    </row>
    <row r="1260" spans="1:8" x14ac:dyDescent="0.3">
      <c r="A1260" s="1">
        <v>619</v>
      </c>
      <c r="B1260" s="1" t="s">
        <v>1587</v>
      </c>
      <c r="C1260" s="1" t="s">
        <v>1595</v>
      </c>
      <c r="D1260" s="1" t="s">
        <v>1596</v>
      </c>
      <c r="E1260" s="1">
        <v>106.56</v>
      </c>
      <c r="F1260" s="1" t="s">
        <v>8</v>
      </c>
      <c r="G1260" s="1" t="s">
        <v>9</v>
      </c>
      <c r="H1260" s="1" t="s">
        <v>10</v>
      </c>
    </row>
    <row r="1261" spans="1:8" x14ac:dyDescent="0.3">
      <c r="A1261" s="1">
        <v>619</v>
      </c>
      <c r="B1261" s="1" t="s">
        <v>1587</v>
      </c>
      <c r="C1261" s="1" t="s">
        <v>1597</v>
      </c>
      <c r="D1261" s="1" t="s">
        <v>1598</v>
      </c>
      <c r="E1261" s="1">
        <v>209.8</v>
      </c>
      <c r="F1261" s="1" t="s">
        <v>8</v>
      </c>
      <c r="G1261" s="1" t="s">
        <v>9</v>
      </c>
      <c r="H1261" s="1" t="s">
        <v>10</v>
      </c>
    </row>
    <row r="1262" spans="1:8" x14ac:dyDescent="0.3">
      <c r="A1262" s="1">
        <v>619</v>
      </c>
      <c r="B1262" s="1" t="s">
        <v>1587</v>
      </c>
      <c r="C1262" s="1" t="s">
        <v>1599</v>
      </c>
      <c r="D1262" s="1" t="s">
        <v>1600</v>
      </c>
      <c r="E1262" s="1">
        <v>419.8</v>
      </c>
      <c r="F1262" s="1" t="s">
        <v>8</v>
      </c>
      <c r="G1262" s="1" t="s">
        <v>9</v>
      </c>
      <c r="H1262" s="1" t="s">
        <v>10</v>
      </c>
    </row>
    <row r="1263" spans="1:8" x14ac:dyDescent="0.3">
      <c r="A1263" s="1">
        <v>619</v>
      </c>
      <c r="B1263" s="1" t="s">
        <v>1587</v>
      </c>
      <c r="C1263" s="1" t="s">
        <v>1601</v>
      </c>
      <c r="D1263" s="1" t="s">
        <v>1602</v>
      </c>
      <c r="E1263" s="1">
        <v>258.10000000000002</v>
      </c>
      <c r="F1263" s="1" t="s">
        <v>8</v>
      </c>
      <c r="G1263" s="1" t="s">
        <v>9</v>
      </c>
      <c r="H1263" s="1" t="s">
        <v>10</v>
      </c>
    </row>
    <row r="1264" spans="1:8" x14ac:dyDescent="0.3">
      <c r="A1264" s="1">
        <v>619</v>
      </c>
      <c r="B1264" s="1" t="s">
        <v>1587</v>
      </c>
      <c r="C1264" s="1" t="s">
        <v>1603</v>
      </c>
      <c r="D1264" s="1" t="s">
        <v>1604</v>
      </c>
      <c r="E1264" s="1">
        <v>504.92</v>
      </c>
      <c r="F1264" s="1" t="s">
        <v>8</v>
      </c>
      <c r="G1264" s="1" t="s">
        <v>9</v>
      </c>
      <c r="H1264" s="1" t="s">
        <v>10</v>
      </c>
    </row>
    <row r="1265" spans="1:8" x14ac:dyDescent="0.3">
      <c r="A1265" s="1">
        <v>619</v>
      </c>
      <c r="B1265" s="1" t="s">
        <v>1587</v>
      </c>
      <c r="C1265" s="1" t="s">
        <v>1605</v>
      </c>
      <c r="D1265" s="1" t="s">
        <v>1606</v>
      </c>
      <c r="E1265" s="1">
        <v>414</v>
      </c>
      <c r="F1265" s="1" t="s">
        <v>8</v>
      </c>
      <c r="G1265" s="1" t="s">
        <v>9</v>
      </c>
      <c r="H1265" s="1" t="s">
        <v>10</v>
      </c>
    </row>
    <row r="1266" spans="1:8" x14ac:dyDescent="0.3">
      <c r="A1266" s="1">
        <v>619</v>
      </c>
      <c r="B1266" s="1" t="s">
        <v>1587</v>
      </c>
      <c r="C1266" s="1" t="s">
        <v>1607</v>
      </c>
      <c r="D1266" s="1" t="s">
        <v>1608</v>
      </c>
      <c r="E1266" s="1">
        <v>149.80000000000001</v>
      </c>
      <c r="F1266" s="1" t="s">
        <v>8</v>
      </c>
      <c r="G1266" s="1" t="s">
        <v>9</v>
      </c>
      <c r="H1266" s="1" t="s">
        <v>10</v>
      </c>
    </row>
    <row r="1267" spans="1:8" x14ac:dyDescent="0.3">
      <c r="A1267" s="1">
        <v>619</v>
      </c>
      <c r="B1267" s="1" t="s">
        <v>1587</v>
      </c>
      <c r="C1267" s="1" t="s">
        <v>1609</v>
      </c>
      <c r="D1267" s="1" t="s">
        <v>1610</v>
      </c>
      <c r="E1267" s="1">
        <v>149.80000000000001</v>
      </c>
      <c r="F1267" s="1" t="s">
        <v>8</v>
      </c>
      <c r="G1267" s="1" t="s">
        <v>9</v>
      </c>
      <c r="H1267" s="1" t="s">
        <v>10</v>
      </c>
    </row>
    <row r="1268" spans="1:8" x14ac:dyDescent="0.3">
      <c r="A1268" s="1">
        <v>619</v>
      </c>
      <c r="B1268" s="1" t="s">
        <v>1587</v>
      </c>
      <c r="C1268" s="1" t="s">
        <v>1611</v>
      </c>
      <c r="D1268" s="1" t="s">
        <v>1612</v>
      </c>
      <c r="E1268" s="1">
        <v>1392.6</v>
      </c>
      <c r="F1268" s="1" t="s">
        <v>8</v>
      </c>
      <c r="G1268" s="1" t="s">
        <v>9</v>
      </c>
      <c r="H1268" s="1" t="s">
        <v>10</v>
      </c>
    </row>
    <row r="1269" spans="1:8" x14ac:dyDescent="0.3">
      <c r="A1269" s="1">
        <v>619</v>
      </c>
      <c r="B1269" s="1" t="s">
        <v>1587</v>
      </c>
      <c r="C1269" s="1" t="s">
        <v>1613</v>
      </c>
      <c r="D1269" s="1" t="s">
        <v>1614</v>
      </c>
      <c r="E1269" s="1">
        <v>311.38</v>
      </c>
      <c r="F1269" s="1" t="s">
        <v>8</v>
      </c>
      <c r="G1269" s="1" t="s">
        <v>13</v>
      </c>
      <c r="H1269" s="1" t="s">
        <v>10</v>
      </c>
    </row>
    <row r="1270" spans="1:8" x14ac:dyDescent="0.3">
      <c r="A1270" s="1">
        <v>619</v>
      </c>
      <c r="B1270" s="1" t="s">
        <v>1587</v>
      </c>
      <c r="C1270" s="1" t="s">
        <v>1615</v>
      </c>
      <c r="D1270" s="1" t="s">
        <v>1616</v>
      </c>
      <c r="E1270" s="1">
        <v>250.5</v>
      </c>
      <c r="F1270" s="1" t="s">
        <v>8</v>
      </c>
      <c r="G1270" s="1" t="s">
        <v>9</v>
      </c>
      <c r="H1270" s="1" t="s">
        <v>10</v>
      </c>
    </row>
    <row r="1271" spans="1:8" x14ac:dyDescent="0.3">
      <c r="A1271" s="1">
        <v>619</v>
      </c>
      <c r="B1271" s="1" t="s">
        <v>1587</v>
      </c>
      <c r="C1271" s="1" t="s">
        <v>1617</v>
      </c>
      <c r="D1271" s="1" t="s">
        <v>1618</v>
      </c>
      <c r="E1271" s="1">
        <v>168.4</v>
      </c>
      <c r="F1271" s="1" t="s">
        <v>8</v>
      </c>
      <c r="G1271" s="1" t="s">
        <v>9</v>
      </c>
      <c r="H1271" s="1" t="s">
        <v>10</v>
      </c>
    </row>
    <row r="1272" spans="1:8" x14ac:dyDescent="0.3">
      <c r="A1272" s="1">
        <v>619</v>
      </c>
      <c r="B1272" s="1" t="s">
        <v>1587</v>
      </c>
      <c r="C1272" s="1" t="s">
        <v>1619</v>
      </c>
      <c r="D1272" s="1" t="s">
        <v>1620</v>
      </c>
      <c r="E1272" s="1">
        <v>98.68</v>
      </c>
      <c r="F1272" s="1" t="s">
        <v>8</v>
      </c>
      <c r="G1272" s="1" t="s">
        <v>9</v>
      </c>
      <c r="H1272" s="1" t="s">
        <v>10</v>
      </c>
    </row>
    <row r="1273" spans="1:8" x14ac:dyDescent="0.3">
      <c r="A1273" s="1">
        <v>619</v>
      </c>
      <c r="B1273" s="1" t="s">
        <v>1587</v>
      </c>
      <c r="C1273" s="1" t="s">
        <v>1621</v>
      </c>
      <c r="D1273" s="1" t="s">
        <v>1622</v>
      </c>
      <c r="E1273" s="1">
        <v>613.16</v>
      </c>
      <c r="F1273" s="1" t="s">
        <v>8</v>
      </c>
      <c r="G1273" s="1" t="s">
        <v>9</v>
      </c>
      <c r="H1273" s="1" t="s">
        <v>10</v>
      </c>
    </row>
    <row r="1274" spans="1:8" x14ac:dyDescent="0.3">
      <c r="A1274" s="1">
        <v>619</v>
      </c>
      <c r="B1274" s="1" t="s">
        <v>1587</v>
      </c>
      <c r="C1274" s="1" t="s">
        <v>1623</v>
      </c>
      <c r="D1274" s="1" t="s">
        <v>1624</v>
      </c>
      <c r="E1274" s="1">
        <v>420.8</v>
      </c>
      <c r="F1274" s="1" t="s">
        <v>8</v>
      </c>
      <c r="G1274" s="1" t="s">
        <v>9</v>
      </c>
      <c r="H1274" s="1" t="s">
        <v>10</v>
      </c>
    </row>
    <row r="1275" spans="1:8" x14ac:dyDescent="0.3">
      <c r="A1275" s="1">
        <v>619</v>
      </c>
      <c r="B1275" s="1" t="s">
        <v>1587</v>
      </c>
      <c r="C1275" s="1" t="s">
        <v>1625</v>
      </c>
      <c r="D1275" s="1" t="s">
        <v>1626</v>
      </c>
      <c r="E1275" s="1">
        <v>98.68</v>
      </c>
      <c r="F1275" s="1" t="s">
        <v>8</v>
      </c>
      <c r="G1275" s="1" t="s">
        <v>9</v>
      </c>
      <c r="H1275" s="1" t="s">
        <v>10</v>
      </c>
    </row>
    <row r="1276" spans="1:8" x14ac:dyDescent="0.3">
      <c r="A1276" s="1">
        <v>619</v>
      </c>
      <c r="B1276" s="1" t="s">
        <v>1587</v>
      </c>
      <c r="C1276" s="1" t="s">
        <v>1627</v>
      </c>
      <c r="D1276" s="1" t="s">
        <v>1628</v>
      </c>
      <c r="E1276" s="1">
        <v>279.89999999999998</v>
      </c>
      <c r="F1276" s="1" t="s">
        <v>8</v>
      </c>
      <c r="G1276" s="1" t="s">
        <v>9</v>
      </c>
      <c r="H1276" s="1" t="s">
        <v>10</v>
      </c>
    </row>
    <row r="1277" spans="1:8" x14ac:dyDescent="0.3">
      <c r="A1277" s="1">
        <v>619</v>
      </c>
      <c r="B1277" s="1" t="s">
        <v>1587</v>
      </c>
      <c r="C1277" s="1" t="s">
        <v>1629</v>
      </c>
      <c r="D1277" s="1" t="s">
        <v>1630</v>
      </c>
      <c r="E1277" s="1">
        <v>98.68</v>
      </c>
      <c r="F1277" s="1" t="s">
        <v>8</v>
      </c>
      <c r="G1277" s="1" t="s">
        <v>9</v>
      </c>
      <c r="H1277" s="1" t="s">
        <v>10</v>
      </c>
    </row>
    <row r="1278" spans="1:8" x14ac:dyDescent="0.3">
      <c r="A1278" s="1">
        <v>619</v>
      </c>
      <c r="B1278" s="1" t="s">
        <v>1587</v>
      </c>
      <c r="C1278" s="1" t="s">
        <v>1631</v>
      </c>
      <c r="D1278" s="1" t="s">
        <v>1632</v>
      </c>
      <c r="E1278" s="1">
        <v>98.68</v>
      </c>
      <c r="F1278" s="1" t="s">
        <v>8</v>
      </c>
      <c r="G1278" s="1" t="s">
        <v>9</v>
      </c>
      <c r="H1278" s="1" t="s">
        <v>10</v>
      </c>
    </row>
    <row r="1279" spans="1:8" x14ac:dyDescent="0.3">
      <c r="A1279" s="1">
        <v>619</v>
      </c>
      <c r="B1279" s="1" t="s">
        <v>1587</v>
      </c>
      <c r="C1279" s="1" t="s">
        <v>1633</v>
      </c>
      <c r="D1279" s="1" t="s">
        <v>1634</v>
      </c>
      <c r="E1279" s="1">
        <v>262.89999999999998</v>
      </c>
      <c r="F1279" s="1" t="s">
        <v>8</v>
      </c>
      <c r="G1279" s="1" t="s">
        <v>9</v>
      </c>
      <c r="H1279" s="1" t="s">
        <v>10</v>
      </c>
    </row>
    <row r="1280" spans="1:8" x14ac:dyDescent="0.3">
      <c r="A1280" s="1">
        <v>619</v>
      </c>
      <c r="B1280" s="1" t="s">
        <v>1587</v>
      </c>
      <c r="C1280" s="1" t="s">
        <v>4803</v>
      </c>
      <c r="D1280" s="1" t="s">
        <v>4804</v>
      </c>
      <c r="E1280" s="1">
        <v>35.11</v>
      </c>
      <c r="F1280" s="1" t="s">
        <v>8</v>
      </c>
      <c r="G1280" s="1" t="s">
        <v>9</v>
      </c>
      <c r="H1280" s="1" t="s">
        <v>10</v>
      </c>
    </row>
    <row r="1281" spans="1:8" x14ac:dyDescent="0.3">
      <c r="A1281" s="1">
        <v>619</v>
      </c>
      <c r="B1281" s="1" t="s">
        <v>1587</v>
      </c>
      <c r="C1281" s="1" t="s">
        <v>4805</v>
      </c>
      <c r="D1281" s="1" t="s">
        <v>4806</v>
      </c>
      <c r="E1281" s="1">
        <v>20</v>
      </c>
      <c r="F1281" s="1" t="s">
        <v>8</v>
      </c>
      <c r="G1281" s="1" t="s">
        <v>9</v>
      </c>
      <c r="H1281" s="1" t="s">
        <v>10</v>
      </c>
    </row>
    <row r="1282" spans="1:8" x14ac:dyDescent="0.3">
      <c r="A1282" s="1">
        <v>619</v>
      </c>
      <c r="B1282" s="1" t="s">
        <v>1587</v>
      </c>
      <c r="C1282" s="1" t="s">
        <v>4807</v>
      </c>
      <c r="D1282" s="1" t="s">
        <v>4808</v>
      </c>
      <c r="E1282" s="1">
        <v>98.68</v>
      </c>
      <c r="F1282" s="1" t="s">
        <v>8</v>
      </c>
      <c r="G1282" s="1" t="s">
        <v>9</v>
      </c>
      <c r="H1282" s="1" t="s">
        <v>10</v>
      </c>
    </row>
    <row r="1283" spans="1:8" x14ac:dyDescent="0.3">
      <c r="A1283" s="1">
        <v>619</v>
      </c>
      <c r="B1283" s="1" t="s">
        <v>1587</v>
      </c>
      <c r="C1283" s="1" t="s">
        <v>4809</v>
      </c>
      <c r="D1283" s="1" t="s">
        <v>4810</v>
      </c>
      <c r="E1283" s="1">
        <v>733</v>
      </c>
      <c r="F1283" s="1" t="s">
        <v>8</v>
      </c>
      <c r="G1283" s="1" t="s">
        <v>9</v>
      </c>
      <c r="H1283" s="1" t="s">
        <v>10</v>
      </c>
    </row>
    <row r="1284" spans="1:8" x14ac:dyDescent="0.3">
      <c r="A1284" s="1">
        <v>635</v>
      </c>
      <c r="B1284" s="1" t="s">
        <v>1636</v>
      </c>
      <c r="C1284" s="1" t="s">
        <v>1637</v>
      </c>
      <c r="D1284" s="1" t="s">
        <v>1638</v>
      </c>
      <c r="E1284" s="1">
        <v>161.56</v>
      </c>
      <c r="F1284" s="1" t="s">
        <v>8</v>
      </c>
      <c r="G1284" s="1" t="s">
        <v>9</v>
      </c>
      <c r="H1284" s="1" t="s">
        <v>10</v>
      </c>
    </row>
    <row r="1285" spans="1:8" x14ac:dyDescent="0.3">
      <c r="A1285" s="1">
        <v>635</v>
      </c>
      <c r="B1285" s="1" t="s">
        <v>1636</v>
      </c>
      <c r="C1285" s="1" t="s">
        <v>1639</v>
      </c>
      <c r="D1285" s="1" t="s">
        <v>1640</v>
      </c>
      <c r="E1285" s="1">
        <v>76</v>
      </c>
      <c r="F1285" s="1" t="s">
        <v>8</v>
      </c>
      <c r="G1285" s="1" t="s">
        <v>9</v>
      </c>
      <c r="H1285" s="1" t="s">
        <v>10</v>
      </c>
    </row>
    <row r="1286" spans="1:8" x14ac:dyDescent="0.3">
      <c r="A1286" s="1">
        <v>635</v>
      </c>
      <c r="B1286" s="1" t="s">
        <v>1636</v>
      </c>
      <c r="C1286" s="1" t="s">
        <v>1641</v>
      </c>
      <c r="D1286" s="1" t="s">
        <v>1642</v>
      </c>
      <c r="E1286" s="1">
        <v>357.56</v>
      </c>
      <c r="F1286" s="1" t="s">
        <v>8</v>
      </c>
      <c r="G1286" s="1" t="s">
        <v>9</v>
      </c>
      <c r="H1286" s="1" t="s">
        <v>10</v>
      </c>
    </row>
    <row r="1287" spans="1:8" x14ac:dyDescent="0.3">
      <c r="A1287" s="1">
        <v>635</v>
      </c>
      <c r="B1287" s="1" t="s">
        <v>1636</v>
      </c>
      <c r="C1287" s="1" t="s">
        <v>1643</v>
      </c>
      <c r="D1287" s="1" t="s">
        <v>1644</v>
      </c>
      <c r="E1287" s="1">
        <v>83.76</v>
      </c>
      <c r="F1287" s="1" t="s">
        <v>8</v>
      </c>
      <c r="G1287" s="1" t="s">
        <v>9</v>
      </c>
      <c r="H1287" s="1" t="s">
        <v>10</v>
      </c>
    </row>
    <row r="1288" spans="1:8" x14ac:dyDescent="0.3">
      <c r="A1288" s="1">
        <v>635</v>
      </c>
      <c r="B1288" s="1" t="s">
        <v>1636</v>
      </c>
      <c r="C1288" s="1" t="s">
        <v>4811</v>
      </c>
      <c r="D1288" s="1" t="s">
        <v>4812</v>
      </c>
      <c r="E1288" s="1">
        <v>25</v>
      </c>
      <c r="F1288" s="1" t="s">
        <v>8</v>
      </c>
      <c r="G1288" s="1" t="s">
        <v>9</v>
      </c>
      <c r="H1288" s="1" t="s">
        <v>10</v>
      </c>
    </row>
    <row r="1289" spans="1:8" x14ac:dyDescent="0.3">
      <c r="A1289" s="1">
        <v>635</v>
      </c>
      <c r="B1289" s="1" t="s">
        <v>1636</v>
      </c>
      <c r="C1289" s="1" t="s">
        <v>4813</v>
      </c>
      <c r="D1289" s="1" t="s">
        <v>4814</v>
      </c>
      <c r="E1289" s="1">
        <v>167.52</v>
      </c>
      <c r="F1289" s="1" t="s">
        <v>8</v>
      </c>
      <c r="G1289" s="1" t="s">
        <v>9</v>
      </c>
      <c r="H1289" s="1" t="s">
        <v>10</v>
      </c>
    </row>
    <row r="1290" spans="1:8" x14ac:dyDescent="0.3">
      <c r="A1290" s="1">
        <v>636</v>
      </c>
      <c r="B1290" s="1" t="s">
        <v>1645</v>
      </c>
      <c r="C1290" s="1" t="s">
        <v>1646</v>
      </c>
      <c r="D1290" s="1" t="s">
        <v>1647</v>
      </c>
      <c r="E1290" s="1">
        <v>1238.4000000000001</v>
      </c>
      <c r="F1290" s="1" t="s">
        <v>8</v>
      </c>
      <c r="G1290" s="1" t="s">
        <v>9</v>
      </c>
      <c r="H1290" s="1" t="s">
        <v>10</v>
      </c>
    </row>
    <row r="1291" spans="1:8" x14ac:dyDescent="0.3">
      <c r="A1291" s="1">
        <v>636</v>
      </c>
      <c r="B1291" s="1" t="s">
        <v>1645</v>
      </c>
      <c r="C1291" s="1" t="s">
        <v>1648</v>
      </c>
      <c r="D1291" s="1" t="s">
        <v>1649</v>
      </c>
      <c r="E1291" s="1">
        <v>74.56</v>
      </c>
      <c r="F1291" s="1" t="s">
        <v>8</v>
      </c>
      <c r="G1291" s="1" t="s">
        <v>13</v>
      </c>
      <c r="H1291" s="1" t="s">
        <v>10</v>
      </c>
    </row>
    <row r="1292" spans="1:8" x14ac:dyDescent="0.3">
      <c r="A1292" s="1">
        <v>636</v>
      </c>
      <c r="B1292" s="1" t="s">
        <v>1645</v>
      </c>
      <c r="C1292" s="1" t="s">
        <v>1650</v>
      </c>
      <c r="D1292" s="1" t="s">
        <v>1651</v>
      </c>
      <c r="E1292" s="1">
        <v>74.56</v>
      </c>
      <c r="F1292" s="1" t="s">
        <v>8</v>
      </c>
      <c r="G1292" s="1" t="s">
        <v>13</v>
      </c>
      <c r="H1292" s="1" t="s">
        <v>10</v>
      </c>
    </row>
    <row r="1293" spans="1:8" x14ac:dyDescent="0.3">
      <c r="A1293" s="1">
        <v>636</v>
      </c>
      <c r="B1293" s="1" t="s">
        <v>1645</v>
      </c>
      <c r="C1293" s="1" t="s">
        <v>1652</v>
      </c>
      <c r="D1293" s="1" t="s">
        <v>1653</v>
      </c>
      <c r="E1293" s="1">
        <v>74.56</v>
      </c>
      <c r="F1293" s="1" t="s">
        <v>8</v>
      </c>
      <c r="G1293" s="1" t="s">
        <v>13</v>
      </c>
      <c r="H1293" s="1" t="s">
        <v>10</v>
      </c>
    </row>
    <row r="1294" spans="1:8" x14ac:dyDescent="0.3">
      <c r="A1294" s="1">
        <v>636</v>
      </c>
      <c r="B1294" s="1" t="s">
        <v>1645</v>
      </c>
      <c r="C1294" s="1" t="s">
        <v>1654</v>
      </c>
      <c r="D1294" s="1" t="s">
        <v>1655</v>
      </c>
      <c r="E1294" s="1">
        <v>2541.3000000000002</v>
      </c>
      <c r="F1294" s="1" t="s">
        <v>8</v>
      </c>
      <c r="G1294" s="1" t="s">
        <v>9</v>
      </c>
      <c r="H1294" s="1" t="s">
        <v>10</v>
      </c>
    </row>
    <row r="1295" spans="1:8" x14ac:dyDescent="0.3">
      <c r="A1295" s="1">
        <v>636</v>
      </c>
      <c r="B1295" s="1" t="s">
        <v>1645</v>
      </c>
      <c r="C1295" s="1" t="s">
        <v>1656</v>
      </c>
      <c r="D1295" s="1" t="s">
        <v>1657</v>
      </c>
      <c r="E1295" s="1">
        <v>75.69</v>
      </c>
      <c r="F1295" s="1" t="s">
        <v>8</v>
      </c>
      <c r="G1295" s="1" t="s">
        <v>13</v>
      </c>
      <c r="H1295" s="1" t="s">
        <v>10</v>
      </c>
    </row>
    <row r="1296" spans="1:8" x14ac:dyDescent="0.3">
      <c r="A1296" s="1">
        <v>636</v>
      </c>
      <c r="B1296" s="1" t="s">
        <v>1645</v>
      </c>
      <c r="C1296" s="1" t="s">
        <v>1658</v>
      </c>
      <c r="D1296" s="1" t="s">
        <v>1659</v>
      </c>
      <c r="E1296" s="1">
        <v>309.35000000000002</v>
      </c>
      <c r="F1296" s="1" t="s">
        <v>8</v>
      </c>
      <c r="G1296" s="1" t="s">
        <v>13</v>
      </c>
      <c r="H1296" s="1" t="s">
        <v>10</v>
      </c>
    </row>
    <row r="1297" spans="1:8" x14ac:dyDescent="0.3">
      <c r="A1297" s="1">
        <v>636</v>
      </c>
      <c r="B1297" s="1" t="s">
        <v>1645</v>
      </c>
      <c r="C1297" s="1" t="s">
        <v>1660</v>
      </c>
      <c r="D1297" s="1" t="s">
        <v>1661</v>
      </c>
      <c r="E1297" s="1">
        <v>1161</v>
      </c>
      <c r="F1297" s="1" t="s">
        <v>8</v>
      </c>
      <c r="G1297" s="1" t="s">
        <v>9</v>
      </c>
      <c r="H1297" s="1" t="s">
        <v>10</v>
      </c>
    </row>
    <row r="1298" spans="1:8" x14ac:dyDescent="0.3">
      <c r="A1298" s="1">
        <v>636</v>
      </c>
      <c r="B1298" s="1" t="s">
        <v>1645</v>
      </c>
      <c r="C1298" s="1" t="s">
        <v>1662</v>
      </c>
      <c r="D1298" s="1" t="s">
        <v>1663</v>
      </c>
      <c r="E1298" s="1">
        <v>447.49</v>
      </c>
      <c r="F1298" s="1" t="s">
        <v>8</v>
      </c>
      <c r="G1298" s="1" t="s">
        <v>13</v>
      </c>
      <c r="H1298" s="1" t="s">
        <v>10</v>
      </c>
    </row>
    <row r="1299" spans="1:8" x14ac:dyDescent="0.3">
      <c r="A1299" s="1">
        <v>636</v>
      </c>
      <c r="B1299" s="1" t="s">
        <v>1645</v>
      </c>
      <c r="C1299" s="1" t="s">
        <v>1664</v>
      </c>
      <c r="D1299" s="1" t="s">
        <v>1665</v>
      </c>
      <c r="E1299" s="1">
        <v>1070.7</v>
      </c>
      <c r="F1299" s="1" t="s">
        <v>8</v>
      </c>
      <c r="G1299" s="1" t="s">
        <v>9</v>
      </c>
      <c r="H1299" s="1" t="s">
        <v>10</v>
      </c>
    </row>
    <row r="1300" spans="1:8" x14ac:dyDescent="0.3">
      <c r="A1300" s="1">
        <v>636</v>
      </c>
      <c r="B1300" s="1" t="s">
        <v>1645</v>
      </c>
      <c r="C1300" s="1" t="s">
        <v>1666</v>
      </c>
      <c r="D1300" s="1" t="s">
        <v>1667</v>
      </c>
      <c r="E1300" s="1">
        <v>74.56</v>
      </c>
      <c r="F1300" s="1" t="s">
        <v>8</v>
      </c>
      <c r="G1300" s="1" t="s">
        <v>13</v>
      </c>
      <c r="H1300" s="1" t="s">
        <v>10</v>
      </c>
    </row>
    <row r="1301" spans="1:8" x14ac:dyDescent="0.3">
      <c r="A1301" s="1">
        <v>636</v>
      </c>
      <c r="B1301" s="1" t="s">
        <v>1645</v>
      </c>
      <c r="C1301" s="1" t="s">
        <v>1668</v>
      </c>
      <c r="D1301" s="1" t="s">
        <v>1669</v>
      </c>
      <c r="E1301" s="1">
        <v>1419</v>
      </c>
      <c r="F1301" s="1" t="s">
        <v>8</v>
      </c>
      <c r="G1301" s="1" t="s">
        <v>9</v>
      </c>
      <c r="H1301" s="1" t="s">
        <v>10</v>
      </c>
    </row>
    <row r="1302" spans="1:8" x14ac:dyDescent="0.3">
      <c r="A1302" s="1">
        <v>636</v>
      </c>
      <c r="B1302" s="1" t="s">
        <v>1645</v>
      </c>
      <c r="C1302" s="1" t="s">
        <v>1670</v>
      </c>
      <c r="D1302" s="1" t="s">
        <v>1671</v>
      </c>
      <c r="E1302" s="1">
        <v>311.38</v>
      </c>
      <c r="F1302" s="1" t="s">
        <v>8</v>
      </c>
      <c r="G1302" s="1" t="s">
        <v>13</v>
      </c>
      <c r="H1302" s="1" t="s">
        <v>10</v>
      </c>
    </row>
    <row r="1303" spans="1:8" x14ac:dyDescent="0.3">
      <c r="A1303" s="1">
        <v>636</v>
      </c>
      <c r="B1303" s="1" t="s">
        <v>1645</v>
      </c>
      <c r="C1303" s="1" t="s">
        <v>1672</v>
      </c>
      <c r="D1303" s="1" t="s">
        <v>1673</v>
      </c>
      <c r="E1303" s="1">
        <v>320.93</v>
      </c>
      <c r="F1303" s="1" t="s">
        <v>8</v>
      </c>
      <c r="G1303" s="1" t="s">
        <v>13</v>
      </c>
      <c r="H1303" s="1" t="s">
        <v>10</v>
      </c>
    </row>
    <row r="1304" spans="1:8" x14ac:dyDescent="0.3">
      <c r="A1304" s="1">
        <v>636</v>
      </c>
      <c r="B1304" s="1" t="s">
        <v>1645</v>
      </c>
      <c r="C1304" s="1" t="s">
        <v>1674</v>
      </c>
      <c r="D1304" s="1" t="s">
        <v>1675</v>
      </c>
      <c r="E1304" s="1">
        <v>1728.6</v>
      </c>
      <c r="F1304" s="1" t="s">
        <v>8</v>
      </c>
      <c r="G1304" s="1" t="s">
        <v>9</v>
      </c>
      <c r="H1304" s="1" t="s">
        <v>10</v>
      </c>
    </row>
    <row r="1305" spans="1:8" x14ac:dyDescent="0.3">
      <c r="A1305" s="1">
        <v>636</v>
      </c>
      <c r="B1305" s="1" t="s">
        <v>1645</v>
      </c>
      <c r="C1305" s="1" t="s">
        <v>1676</v>
      </c>
      <c r="D1305" s="1" t="s">
        <v>1677</v>
      </c>
      <c r="E1305" s="1">
        <v>138.55000000000001</v>
      </c>
      <c r="F1305" s="1" t="s">
        <v>8</v>
      </c>
      <c r="G1305" s="1" t="s">
        <v>13</v>
      </c>
      <c r="H1305" s="1" t="s">
        <v>10</v>
      </c>
    </row>
    <row r="1306" spans="1:8" x14ac:dyDescent="0.3">
      <c r="A1306" s="1">
        <v>636</v>
      </c>
      <c r="B1306" s="1" t="s">
        <v>1645</v>
      </c>
      <c r="C1306" s="1" t="s">
        <v>1678</v>
      </c>
      <c r="D1306" s="1" t="s">
        <v>1679</v>
      </c>
      <c r="E1306" s="1">
        <v>670.1</v>
      </c>
      <c r="F1306" s="1" t="s">
        <v>8</v>
      </c>
      <c r="G1306" s="1" t="s">
        <v>13</v>
      </c>
      <c r="H1306" s="1" t="s">
        <v>10</v>
      </c>
    </row>
    <row r="1307" spans="1:8" x14ac:dyDescent="0.3">
      <c r="A1307" s="1">
        <v>636</v>
      </c>
      <c r="B1307" s="1" t="s">
        <v>1645</v>
      </c>
      <c r="C1307" s="1" t="s">
        <v>4815</v>
      </c>
      <c r="D1307" s="1" t="s">
        <v>4816</v>
      </c>
      <c r="E1307" s="1">
        <v>1612.5</v>
      </c>
      <c r="F1307" s="1" t="s">
        <v>8</v>
      </c>
      <c r="G1307" s="1" t="s">
        <v>9</v>
      </c>
      <c r="H1307" s="1" t="s">
        <v>10</v>
      </c>
    </row>
    <row r="1308" spans="1:8" x14ac:dyDescent="0.3">
      <c r="A1308" s="1">
        <v>679</v>
      </c>
      <c r="B1308" s="1" t="s">
        <v>1680</v>
      </c>
      <c r="C1308" s="1" t="s">
        <v>1681</v>
      </c>
      <c r="D1308" s="1" t="s">
        <v>1682</v>
      </c>
      <c r="E1308" s="1">
        <v>53000</v>
      </c>
      <c r="F1308" s="1" t="s">
        <v>8</v>
      </c>
      <c r="G1308" s="1" t="s">
        <v>9</v>
      </c>
      <c r="H1308" s="1" t="s">
        <v>10</v>
      </c>
    </row>
    <row r="1309" spans="1:8" x14ac:dyDescent="0.3">
      <c r="A1309" s="1">
        <v>679</v>
      </c>
      <c r="B1309" s="1" t="s">
        <v>1680</v>
      </c>
      <c r="C1309" s="1" t="s">
        <v>1683</v>
      </c>
      <c r="D1309" s="1" t="s">
        <v>1684</v>
      </c>
      <c r="E1309" s="1">
        <v>3680</v>
      </c>
      <c r="F1309" s="1" t="s">
        <v>8</v>
      </c>
      <c r="G1309" s="1" t="s">
        <v>9</v>
      </c>
      <c r="H1309" s="1" t="s">
        <v>10</v>
      </c>
    </row>
    <row r="1310" spans="1:8" x14ac:dyDescent="0.3">
      <c r="A1310" s="1">
        <v>679</v>
      </c>
      <c r="B1310" s="1" t="s">
        <v>1680</v>
      </c>
      <c r="C1310" s="1" t="s">
        <v>1685</v>
      </c>
      <c r="D1310" s="1" t="s">
        <v>1686</v>
      </c>
      <c r="E1310" s="1">
        <v>2100</v>
      </c>
      <c r="F1310" s="1" t="s">
        <v>8</v>
      </c>
      <c r="G1310" s="1" t="s">
        <v>9</v>
      </c>
      <c r="H1310" s="1" t="s">
        <v>10</v>
      </c>
    </row>
    <row r="1311" spans="1:8" x14ac:dyDescent="0.3">
      <c r="A1311" s="1">
        <v>679</v>
      </c>
      <c r="B1311" s="1" t="s">
        <v>1680</v>
      </c>
      <c r="C1311" s="1" t="s">
        <v>4817</v>
      </c>
      <c r="D1311" s="1" t="s">
        <v>4818</v>
      </c>
      <c r="E1311" s="1">
        <v>9257.19</v>
      </c>
      <c r="F1311" s="1" t="s">
        <v>8</v>
      </c>
      <c r="G1311" s="1" t="s">
        <v>13</v>
      </c>
      <c r="H1311" s="1" t="s">
        <v>10</v>
      </c>
    </row>
    <row r="1312" spans="1:8" x14ac:dyDescent="0.3">
      <c r="A1312" s="1">
        <v>718</v>
      </c>
      <c r="B1312" s="1" t="s">
        <v>1687</v>
      </c>
      <c r="C1312" s="1" t="s">
        <v>1688</v>
      </c>
      <c r="D1312" s="1" t="s">
        <v>1689</v>
      </c>
      <c r="E1312" s="1">
        <v>225.49</v>
      </c>
      <c r="F1312" s="1" t="s">
        <v>8</v>
      </c>
      <c r="G1312" s="1" t="s">
        <v>9</v>
      </c>
      <c r="H1312" s="1" t="s">
        <v>10</v>
      </c>
    </row>
    <row r="1313" spans="1:8" x14ac:dyDescent="0.3">
      <c r="A1313" s="1">
        <v>718</v>
      </c>
      <c r="B1313" s="1" t="s">
        <v>1687</v>
      </c>
      <c r="C1313" s="1" t="s">
        <v>1696</v>
      </c>
      <c r="D1313" s="1" t="s">
        <v>1697</v>
      </c>
      <c r="E1313" s="1">
        <v>38280</v>
      </c>
      <c r="F1313" s="1" t="s">
        <v>8</v>
      </c>
      <c r="G1313" s="1" t="s">
        <v>9</v>
      </c>
      <c r="H1313" s="1" t="s">
        <v>10</v>
      </c>
    </row>
    <row r="1314" spans="1:8" x14ac:dyDescent="0.3">
      <c r="A1314" s="1">
        <v>718</v>
      </c>
      <c r="B1314" s="1" t="s">
        <v>1687</v>
      </c>
      <c r="C1314" s="1" t="s">
        <v>1694</v>
      </c>
      <c r="D1314" s="1" t="s">
        <v>1695</v>
      </c>
      <c r="E1314" s="1">
        <v>2212.0100000000002</v>
      </c>
      <c r="F1314" s="1" t="s">
        <v>8</v>
      </c>
      <c r="G1314" s="1" t="s">
        <v>9</v>
      </c>
      <c r="H1314" s="1" t="s">
        <v>10</v>
      </c>
    </row>
    <row r="1315" spans="1:8" x14ac:dyDescent="0.3">
      <c r="A1315" s="1">
        <v>718</v>
      </c>
      <c r="B1315" s="1" t="s">
        <v>1687</v>
      </c>
      <c r="C1315" s="1" t="s">
        <v>1692</v>
      </c>
      <c r="D1315" s="1" t="s">
        <v>1693</v>
      </c>
      <c r="E1315" s="1">
        <v>18672.330000000002</v>
      </c>
      <c r="F1315" s="1" t="s">
        <v>8</v>
      </c>
      <c r="G1315" s="1" t="s">
        <v>9</v>
      </c>
      <c r="H1315" s="1" t="s">
        <v>10</v>
      </c>
    </row>
    <row r="1316" spans="1:8" x14ac:dyDescent="0.3">
      <c r="A1316" s="1">
        <v>718</v>
      </c>
      <c r="B1316" s="1" t="s">
        <v>1687</v>
      </c>
      <c r="C1316" s="1" t="s">
        <v>1698</v>
      </c>
      <c r="D1316" s="1" t="s">
        <v>1699</v>
      </c>
      <c r="E1316" s="1">
        <v>736.2</v>
      </c>
      <c r="F1316" s="1" t="s">
        <v>8</v>
      </c>
      <c r="G1316" s="1" t="s">
        <v>9</v>
      </c>
      <c r="H1316" s="1" t="s">
        <v>10</v>
      </c>
    </row>
    <row r="1317" spans="1:8" x14ac:dyDescent="0.3">
      <c r="A1317" s="1">
        <v>718</v>
      </c>
      <c r="B1317" s="1" t="s">
        <v>1687</v>
      </c>
      <c r="C1317" s="1" t="s">
        <v>1690</v>
      </c>
      <c r="D1317" s="1" t="s">
        <v>1691</v>
      </c>
      <c r="E1317" s="1">
        <v>11927.05</v>
      </c>
      <c r="F1317" s="1" t="s">
        <v>8</v>
      </c>
      <c r="G1317" s="1" t="s">
        <v>9</v>
      </c>
      <c r="H1317" s="1" t="s">
        <v>10</v>
      </c>
    </row>
    <row r="1318" spans="1:8" x14ac:dyDescent="0.3">
      <c r="A1318" s="1">
        <v>718</v>
      </c>
      <c r="B1318" s="1" t="s">
        <v>1687</v>
      </c>
      <c r="C1318" s="1" t="s">
        <v>1700</v>
      </c>
      <c r="D1318" s="1" t="s">
        <v>1701</v>
      </c>
      <c r="E1318" s="1">
        <v>4226.18</v>
      </c>
      <c r="F1318" s="1" t="s">
        <v>8</v>
      </c>
      <c r="G1318" s="1" t="s">
        <v>9</v>
      </c>
      <c r="H1318" s="1" t="s">
        <v>10</v>
      </c>
    </row>
    <row r="1319" spans="1:8" x14ac:dyDescent="0.3">
      <c r="A1319" s="1">
        <v>718</v>
      </c>
      <c r="B1319" s="1" t="s">
        <v>1687</v>
      </c>
      <c r="C1319" s="1" t="s">
        <v>1702</v>
      </c>
      <c r="D1319" s="1" t="s">
        <v>1703</v>
      </c>
      <c r="E1319" s="1">
        <v>96.16</v>
      </c>
      <c r="F1319" s="1" t="s">
        <v>8</v>
      </c>
      <c r="G1319" s="1" t="s">
        <v>9</v>
      </c>
      <c r="H1319" s="1" t="s">
        <v>10</v>
      </c>
    </row>
    <row r="1320" spans="1:8" x14ac:dyDescent="0.3">
      <c r="A1320" s="1">
        <v>718</v>
      </c>
      <c r="B1320" s="1" t="s">
        <v>1687</v>
      </c>
      <c r="C1320" s="1" t="s">
        <v>1704</v>
      </c>
      <c r="D1320" s="1" t="s">
        <v>1705</v>
      </c>
      <c r="E1320" s="1">
        <v>51.74</v>
      </c>
      <c r="F1320" s="1" t="s">
        <v>8</v>
      </c>
      <c r="G1320" s="1" t="s">
        <v>9</v>
      </c>
      <c r="H1320" s="1" t="s">
        <v>10</v>
      </c>
    </row>
    <row r="1321" spans="1:8" x14ac:dyDescent="0.3">
      <c r="A1321" s="1">
        <v>718</v>
      </c>
      <c r="B1321" s="1" t="s">
        <v>1687</v>
      </c>
      <c r="C1321" s="1" t="s">
        <v>1706</v>
      </c>
      <c r="D1321" s="1" t="s">
        <v>1707</v>
      </c>
      <c r="E1321" s="1">
        <v>12098</v>
      </c>
      <c r="F1321" s="1" t="s">
        <v>8</v>
      </c>
      <c r="G1321" s="1" t="s">
        <v>9</v>
      </c>
      <c r="H1321" s="1" t="s">
        <v>10</v>
      </c>
    </row>
    <row r="1322" spans="1:8" x14ac:dyDescent="0.3">
      <c r="A1322" s="1">
        <v>718</v>
      </c>
      <c r="B1322" s="1" t="s">
        <v>1687</v>
      </c>
      <c r="C1322" s="1" t="s">
        <v>1708</v>
      </c>
      <c r="D1322" s="1" t="s">
        <v>1709</v>
      </c>
      <c r="E1322" s="1">
        <v>168.95</v>
      </c>
      <c r="F1322" s="1" t="s">
        <v>8</v>
      </c>
      <c r="G1322" s="1" t="s">
        <v>9</v>
      </c>
      <c r="H1322" s="1" t="s">
        <v>10</v>
      </c>
    </row>
    <row r="1323" spans="1:8" x14ac:dyDescent="0.3">
      <c r="A1323" s="1">
        <v>718</v>
      </c>
      <c r="B1323" s="1" t="s">
        <v>1687</v>
      </c>
      <c r="C1323" s="1" t="s">
        <v>1710</v>
      </c>
      <c r="D1323" s="1" t="s">
        <v>1711</v>
      </c>
      <c r="E1323" s="1">
        <v>1238</v>
      </c>
      <c r="F1323" s="1" t="s">
        <v>8</v>
      </c>
      <c r="G1323" s="1" t="s">
        <v>9</v>
      </c>
      <c r="H1323" s="1" t="s">
        <v>10</v>
      </c>
    </row>
    <row r="1324" spans="1:8" x14ac:dyDescent="0.3">
      <c r="A1324" s="1">
        <v>718</v>
      </c>
      <c r="B1324" s="1" t="s">
        <v>1687</v>
      </c>
      <c r="C1324" s="1" t="s">
        <v>1712</v>
      </c>
      <c r="D1324" s="1" t="s">
        <v>1713</v>
      </c>
      <c r="E1324" s="1">
        <v>72.78</v>
      </c>
      <c r="F1324" s="1" t="s">
        <v>8</v>
      </c>
      <c r="G1324" s="1" t="s">
        <v>9</v>
      </c>
      <c r="H1324" s="1" t="s">
        <v>10</v>
      </c>
    </row>
    <row r="1325" spans="1:8" x14ac:dyDescent="0.3">
      <c r="A1325" s="1">
        <v>718</v>
      </c>
      <c r="B1325" s="1" t="s">
        <v>1687</v>
      </c>
      <c r="C1325" s="1" t="s">
        <v>1714</v>
      </c>
      <c r="D1325" s="1" t="s">
        <v>1715</v>
      </c>
      <c r="E1325" s="1">
        <v>942.55</v>
      </c>
      <c r="F1325" s="1" t="s">
        <v>8</v>
      </c>
      <c r="G1325" s="1" t="s">
        <v>9</v>
      </c>
      <c r="H1325" s="1" t="s">
        <v>10</v>
      </c>
    </row>
    <row r="1326" spans="1:8" x14ac:dyDescent="0.3">
      <c r="A1326" s="1">
        <v>718</v>
      </c>
      <c r="B1326" s="1" t="s">
        <v>1687</v>
      </c>
      <c r="C1326" s="1" t="s">
        <v>1716</v>
      </c>
      <c r="D1326" s="1" t="s">
        <v>1717</v>
      </c>
      <c r="E1326" s="1">
        <v>1321.6</v>
      </c>
      <c r="F1326" s="1" t="s">
        <v>8</v>
      </c>
      <c r="G1326" s="1" t="s">
        <v>9</v>
      </c>
      <c r="H1326" s="1" t="s">
        <v>10</v>
      </c>
    </row>
    <row r="1327" spans="1:8" x14ac:dyDescent="0.3">
      <c r="A1327" s="1">
        <v>718</v>
      </c>
      <c r="B1327" s="1" t="s">
        <v>1687</v>
      </c>
      <c r="C1327" s="1" t="s">
        <v>1718</v>
      </c>
      <c r="D1327" s="1" t="s">
        <v>1719</v>
      </c>
      <c r="E1327" s="1">
        <v>211.35</v>
      </c>
      <c r="F1327" s="1" t="s">
        <v>8</v>
      </c>
      <c r="G1327" s="1" t="s">
        <v>9</v>
      </c>
      <c r="H1327" s="1" t="s">
        <v>10</v>
      </c>
    </row>
    <row r="1328" spans="1:8" x14ac:dyDescent="0.3">
      <c r="A1328" s="1">
        <v>718</v>
      </c>
      <c r="B1328" s="1" t="s">
        <v>1687</v>
      </c>
      <c r="C1328" s="1" t="s">
        <v>388</v>
      </c>
      <c r="D1328" s="1" t="s">
        <v>1720</v>
      </c>
      <c r="E1328" s="1">
        <v>85</v>
      </c>
      <c r="F1328" s="1" t="s">
        <v>8</v>
      </c>
      <c r="G1328" s="1" t="s">
        <v>9</v>
      </c>
      <c r="H1328" s="1" t="s">
        <v>10</v>
      </c>
    </row>
    <row r="1329" spans="1:8" x14ac:dyDescent="0.3">
      <c r="A1329" s="1">
        <v>718</v>
      </c>
      <c r="B1329" s="1" t="s">
        <v>1687</v>
      </c>
      <c r="C1329" s="1" t="s">
        <v>1721</v>
      </c>
      <c r="D1329" s="1" t="s">
        <v>1722</v>
      </c>
      <c r="E1329" s="1">
        <v>600</v>
      </c>
      <c r="F1329" s="1" t="s">
        <v>8</v>
      </c>
      <c r="G1329" s="1" t="s">
        <v>9</v>
      </c>
      <c r="H1329" s="1" t="s">
        <v>10</v>
      </c>
    </row>
    <row r="1330" spans="1:8" x14ac:dyDescent="0.3">
      <c r="A1330" s="1">
        <v>718</v>
      </c>
      <c r="B1330" s="1" t="s">
        <v>1687</v>
      </c>
      <c r="C1330" s="1" t="s">
        <v>1723</v>
      </c>
      <c r="D1330" s="1" t="s">
        <v>1724</v>
      </c>
      <c r="E1330" s="1">
        <v>300</v>
      </c>
      <c r="F1330" s="1" t="s">
        <v>8</v>
      </c>
      <c r="G1330" s="1" t="s">
        <v>9</v>
      </c>
      <c r="H1330" s="1" t="s">
        <v>10</v>
      </c>
    </row>
    <row r="1331" spans="1:8" x14ac:dyDescent="0.3">
      <c r="A1331" s="1">
        <v>718</v>
      </c>
      <c r="B1331" s="1" t="s">
        <v>1687</v>
      </c>
      <c r="C1331" s="1" t="s">
        <v>1725</v>
      </c>
      <c r="D1331" s="1" t="s">
        <v>1726</v>
      </c>
      <c r="E1331" s="1">
        <v>23</v>
      </c>
      <c r="F1331" s="1" t="s">
        <v>8</v>
      </c>
      <c r="G1331" s="1" t="s">
        <v>9</v>
      </c>
      <c r="H1331" s="1" t="s">
        <v>10</v>
      </c>
    </row>
    <row r="1332" spans="1:8" x14ac:dyDescent="0.3">
      <c r="A1332" s="1">
        <v>718</v>
      </c>
      <c r="B1332" s="1" t="s">
        <v>1687</v>
      </c>
      <c r="C1332" s="1" t="s">
        <v>1727</v>
      </c>
      <c r="D1332" s="1" t="s">
        <v>1728</v>
      </c>
      <c r="E1332" s="1">
        <v>86</v>
      </c>
      <c r="F1332" s="1" t="s">
        <v>8</v>
      </c>
      <c r="G1332" s="1" t="s">
        <v>9</v>
      </c>
      <c r="H1332" s="1" t="s">
        <v>10</v>
      </c>
    </row>
    <row r="1333" spans="1:8" x14ac:dyDescent="0.3">
      <c r="A1333" s="1">
        <v>718</v>
      </c>
      <c r="B1333" s="1" t="s">
        <v>1687</v>
      </c>
      <c r="C1333" s="1" t="s">
        <v>1729</v>
      </c>
      <c r="D1333" s="1" t="s">
        <v>1730</v>
      </c>
      <c r="E1333" s="1">
        <v>1660</v>
      </c>
      <c r="F1333" s="1" t="s">
        <v>8</v>
      </c>
      <c r="G1333" s="1" t="s">
        <v>9</v>
      </c>
      <c r="H1333" s="1" t="s">
        <v>10</v>
      </c>
    </row>
    <row r="1334" spans="1:8" x14ac:dyDescent="0.3">
      <c r="A1334" s="1">
        <v>718</v>
      </c>
      <c r="B1334" s="1" t="s">
        <v>1687</v>
      </c>
      <c r="C1334" s="1" t="s">
        <v>1731</v>
      </c>
      <c r="D1334" s="1" t="s">
        <v>1732</v>
      </c>
      <c r="E1334" s="1">
        <v>1450</v>
      </c>
      <c r="F1334" s="1" t="s">
        <v>8</v>
      </c>
      <c r="G1334" s="1" t="s">
        <v>9</v>
      </c>
      <c r="H1334" s="1" t="s">
        <v>10</v>
      </c>
    </row>
    <row r="1335" spans="1:8" x14ac:dyDescent="0.3">
      <c r="A1335" s="1">
        <v>718</v>
      </c>
      <c r="B1335" s="1" t="s">
        <v>1687</v>
      </c>
      <c r="C1335" s="1" t="s">
        <v>1733</v>
      </c>
      <c r="D1335" s="1" t="s">
        <v>1734</v>
      </c>
      <c r="E1335" s="1">
        <v>846.46</v>
      </c>
      <c r="F1335" s="1" t="s">
        <v>8</v>
      </c>
      <c r="G1335" s="1" t="s">
        <v>9</v>
      </c>
      <c r="H1335" s="1" t="s">
        <v>10</v>
      </c>
    </row>
    <row r="1336" spans="1:8" x14ac:dyDescent="0.3">
      <c r="A1336" s="1">
        <v>718</v>
      </c>
      <c r="B1336" s="1" t="s">
        <v>1687</v>
      </c>
      <c r="C1336" s="1" t="s">
        <v>1751</v>
      </c>
      <c r="D1336" s="1" t="s">
        <v>1752</v>
      </c>
      <c r="E1336" s="1">
        <v>9524.7099999999991</v>
      </c>
      <c r="F1336" s="1" t="s">
        <v>8</v>
      </c>
      <c r="G1336" s="1" t="s">
        <v>9</v>
      </c>
      <c r="H1336" s="1" t="s">
        <v>10</v>
      </c>
    </row>
    <row r="1337" spans="1:8" x14ac:dyDescent="0.3">
      <c r="A1337" s="1">
        <v>718</v>
      </c>
      <c r="B1337" s="1" t="s">
        <v>1687</v>
      </c>
      <c r="C1337" s="1" t="s">
        <v>1766</v>
      </c>
      <c r="D1337" s="1" t="s">
        <v>1767</v>
      </c>
      <c r="E1337" s="1">
        <v>2978.24</v>
      </c>
      <c r="F1337" s="1" t="s">
        <v>8</v>
      </c>
      <c r="G1337" s="1" t="s">
        <v>9</v>
      </c>
      <c r="H1337" s="1" t="s">
        <v>10</v>
      </c>
    </row>
    <row r="1338" spans="1:8" x14ac:dyDescent="0.3">
      <c r="A1338" s="1">
        <v>718</v>
      </c>
      <c r="B1338" s="1" t="s">
        <v>1687</v>
      </c>
      <c r="C1338" s="1" t="s">
        <v>1758</v>
      </c>
      <c r="D1338" s="1" t="s">
        <v>1759</v>
      </c>
      <c r="E1338" s="1">
        <v>923.45</v>
      </c>
      <c r="F1338" s="1" t="s">
        <v>8</v>
      </c>
      <c r="G1338" s="1" t="s">
        <v>9</v>
      </c>
      <c r="H1338" s="1" t="s">
        <v>10</v>
      </c>
    </row>
    <row r="1339" spans="1:8" x14ac:dyDescent="0.3">
      <c r="A1339" s="1">
        <v>718</v>
      </c>
      <c r="B1339" s="1" t="s">
        <v>1687</v>
      </c>
      <c r="C1339" s="1" t="s">
        <v>1739</v>
      </c>
      <c r="D1339" s="1" t="s">
        <v>1740</v>
      </c>
      <c r="E1339" s="1">
        <v>195</v>
      </c>
      <c r="F1339" s="1" t="s">
        <v>8</v>
      </c>
      <c r="G1339" s="1" t="s">
        <v>9</v>
      </c>
      <c r="H1339" s="1" t="s">
        <v>10</v>
      </c>
    </row>
    <row r="1340" spans="1:8" x14ac:dyDescent="0.3">
      <c r="A1340" s="1">
        <v>718</v>
      </c>
      <c r="B1340" s="1" t="s">
        <v>1687</v>
      </c>
      <c r="C1340" s="1" t="s">
        <v>1754</v>
      </c>
      <c r="D1340" s="1" t="s">
        <v>1755</v>
      </c>
      <c r="E1340" s="1">
        <v>327.8</v>
      </c>
      <c r="F1340" s="1" t="s">
        <v>8</v>
      </c>
      <c r="G1340" s="1" t="s">
        <v>9</v>
      </c>
      <c r="H1340" s="1" t="s">
        <v>10</v>
      </c>
    </row>
    <row r="1341" spans="1:8" x14ac:dyDescent="0.3">
      <c r="A1341" s="1">
        <v>718</v>
      </c>
      <c r="B1341" s="1" t="s">
        <v>1687</v>
      </c>
      <c r="C1341" s="1" t="s">
        <v>1735</v>
      </c>
      <c r="D1341" s="1" t="s">
        <v>1736</v>
      </c>
      <c r="E1341" s="1">
        <v>10700.97</v>
      </c>
      <c r="F1341" s="1" t="s">
        <v>8</v>
      </c>
      <c r="G1341" s="1" t="s">
        <v>9</v>
      </c>
      <c r="H1341" s="1" t="s">
        <v>10</v>
      </c>
    </row>
    <row r="1342" spans="1:8" x14ac:dyDescent="0.3">
      <c r="A1342" s="1">
        <v>718</v>
      </c>
      <c r="B1342" s="1" t="s">
        <v>1687</v>
      </c>
      <c r="C1342" s="1" t="s">
        <v>4819</v>
      </c>
      <c r="D1342" s="1" t="s">
        <v>4820</v>
      </c>
      <c r="E1342" s="1">
        <v>1560</v>
      </c>
      <c r="F1342" s="1" t="s">
        <v>8</v>
      </c>
      <c r="G1342" s="1" t="s">
        <v>9</v>
      </c>
      <c r="H1342" s="1" t="s">
        <v>10</v>
      </c>
    </row>
    <row r="1343" spans="1:8" x14ac:dyDescent="0.3">
      <c r="A1343" s="1">
        <v>718</v>
      </c>
      <c r="B1343" s="1" t="s">
        <v>1687</v>
      </c>
      <c r="C1343" s="1" t="s">
        <v>1749</v>
      </c>
      <c r="D1343" s="1" t="s">
        <v>1750</v>
      </c>
      <c r="E1343" s="1">
        <v>476.34</v>
      </c>
      <c r="F1343" s="1" t="s">
        <v>8</v>
      </c>
      <c r="G1343" s="1" t="s">
        <v>9</v>
      </c>
      <c r="H1343" s="1" t="s">
        <v>10</v>
      </c>
    </row>
    <row r="1344" spans="1:8" x14ac:dyDescent="0.3">
      <c r="A1344" s="1">
        <v>718</v>
      </c>
      <c r="B1344" s="1" t="s">
        <v>1687</v>
      </c>
      <c r="C1344" s="1" t="s">
        <v>1754</v>
      </c>
      <c r="D1344" s="1" t="s">
        <v>1755</v>
      </c>
      <c r="E1344" s="1">
        <v>327.8</v>
      </c>
      <c r="F1344" s="1" t="s">
        <v>8</v>
      </c>
      <c r="G1344" s="1" t="s">
        <v>9</v>
      </c>
      <c r="H1344" s="1" t="s">
        <v>10</v>
      </c>
    </row>
    <row r="1345" spans="1:8" x14ac:dyDescent="0.3">
      <c r="A1345" s="1">
        <v>718</v>
      </c>
      <c r="B1345" s="1" t="s">
        <v>1687</v>
      </c>
      <c r="C1345" s="1" t="s">
        <v>1745</v>
      </c>
      <c r="D1345" s="1" t="s">
        <v>1746</v>
      </c>
      <c r="E1345" s="1">
        <v>2627.56</v>
      </c>
      <c r="F1345" s="1" t="s">
        <v>8</v>
      </c>
      <c r="G1345" s="1" t="s">
        <v>9</v>
      </c>
      <c r="H1345" s="1" t="s">
        <v>10</v>
      </c>
    </row>
    <row r="1346" spans="1:8" x14ac:dyDescent="0.3">
      <c r="A1346" s="1">
        <v>718</v>
      </c>
      <c r="B1346" s="1" t="s">
        <v>1687</v>
      </c>
      <c r="C1346" s="1" t="s">
        <v>1760</v>
      </c>
      <c r="D1346" s="1" t="s">
        <v>1761</v>
      </c>
      <c r="E1346" s="1">
        <v>12555.04</v>
      </c>
      <c r="F1346" s="1" t="s">
        <v>8</v>
      </c>
      <c r="G1346" s="1" t="s">
        <v>9</v>
      </c>
      <c r="H1346" s="1" t="s">
        <v>10</v>
      </c>
    </row>
    <row r="1347" spans="1:8" x14ac:dyDescent="0.3">
      <c r="A1347" s="1">
        <v>718</v>
      </c>
      <c r="B1347" s="1" t="s">
        <v>1687</v>
      </c>
      <c r="C1347" s="1" t="s">
        <v>1741</v>
      </c>
      <c r="D1347" s="1" t="s">
        <v>1742</v>
      </c>
      <c r="E1347" s="1">
        <v>14250.31</v>
      </c>
      <c r="F1347" s="1" t="s">
        <v>8</v>
      </c>
      <c r="G1347" s="1" t="s">
        <v>9</v>
      </c>
      <c r="H1347" s="1" t="s">
        <v>10</v>
      </c>
    </row>
    <row r="1348" spans="1:8" x14ac:dyDescent="0.3">
      <c r="A1348" s="1">
        <v>718</v>
      </c>
      <c r="B1348" s="1" t="s">
        <v>1687</v>
      </c>
      <c r="C1348" s="1" t="s">
        <v>4821</v>
      </c>
      <c r="D1348" s="1" t="s">
        <v>4822</v>
      </c>
      <c r="E1348" s="1">
        <v>944.42</v>
      </c>
      <c r="F1348" s="1" t="s">
        <v>8</v>
      </c>
      <c r="G1348" s="1" t="s">
        <v>9</v>
      </c>
      <c r="H1348" s="1" t="s">
        <v>10</v>
      </c>
    </row>
    <row r="1349" spans="1:8" x14ac:dyDescent="0.3">
      <c r="A1349" s="1">
        <v>718</v>
      </c>
      <c r="B1349" s="1" t="s">
        <v>1687</v>
      </c>
      <c r="C1349" s="1" t="s">
        <v>1766</v>
      </c>
      <c r="D1349" s="1" t="s">
        <v>1767</v>
      </c>
      <c r="E1349" s="1">
        <v>2978.24</v>
      </c>
      <c r="F1349" s="1" t="s">
        <v>8</v>
      </c>
      <c r="G1349" s="1" t="s">
        <v>9</v>
      </c>
      <c r="H1349" s="1" t="s">
        <v>10</v>
      </c>
    </row>
    <row r="1350" spans="1:8" x14ac:dyDescent="0.3">
      <c r="A1350" s="1">
        <v>718</v>
      </c>
      <c r="B1350" s="1" t="s">
        <v>1687</v>
      </c>
      <c r="C1350" s="1" t="s">
        <v>4823</v>
      </c>
      <c r="D1350" s="1" t="s">
        <v>4824</v>
      </c>
      <c r="E1350" s="1">
        <v>8974.59</v>
      </c>
      <c r="F1350" s="1" t="s">
        <v>8</v>
      </c>
      <c r="G1350" s="1" t="s">
        <v>9</v>
      </c>
      <c r="H1350" s="1" t="s">
        <v>10</v>
      </c>
    </row>
    <row r="1351" spans="1:8" x14ac:dyDescent="0.3">
      <c r="A1351" s="1">
        <v>718</v>
      </c>
      <c r="B1351" s="1" t="s">
        <v>1687</v>
      </c>
      <c r="C1351" s="1" t="s">
        <v>1768</v>
      </c>
      <c r="D1351" s="1" t="s">
        <v>1769</v>
      </c>
      <c r="E1351" s="1">
        <v>6309.43</v>
      </c>
      <c r="F1351" s="1" t="s">
        <v>8</v>
      </c>
      <c r="G1351" s="1" t="s">
        <v>9</v>
      </c>
      <c r="H1351" s="1" t="s">
        <v>10</v>
      </c>
    </row>
    <row r="1352" spans="1:8" x14ac:dyDescent="0.3">
      <c r="A1352" s="1">
        <v>718</v>
      </c>
      <c r="B1352" s="1" t="s">
        <v>1687</v>
      </c>
      <c r="C1352" s="1" t="s">
        <v>1747</v>
      </c>
      <c r="D1352" s="1" t="s">
        <v>1748</v>
      </c>
      <c r="E1352" s="1">
        <v>5098.08</v>
      </c>
      <c r="F1352" s="1" t="s">
        <v>8</v>
      </c>
      <c r="G1352" s="1" t="s">
        <v>9</v>
      </c>
      <c r="H1352" s="1" t="s">
        <v>10</v>
      </c>
    </row>
    <row r="1353" spans="1:8" x14ac:dyDescent="0.3">
      <c r="A1353" s="1">
        <v>718</v>
      </c>
      <c r="B1353" s="1" t="s">
        <v>1687</v>
      </c>
      <c r="C1353" s="1" t="s">
        <v>4825</v>
      </c>
      <c r="D1353" s="1" t="s">
        <v>4826</v>
      </c>
      <c r="E1353" s="1">
        <v>20254.11</v>
      </c>
      <c r="F1353" s="1" t="s">
        <v>8</v>
      </c>
      <c r="G1353" s="1" t="s">
        <v>9</v>
      </c>
      <c r="H1353" s="1" t="s">
        <v>10</v>
      </c>
    </row>
    <row r="1354" spans="1:8" x14ac:dyDescent="0.3">
      <c r="A1354" s="1">
        <v>718</v>
      </c>
      <c r="B1354" s="1" t="s">
        <v>1687</v>
      </c>
      <c r="C1354" s="1" t="s">
        <v>1770</v>
      </c>
      <c r="D1354" s="1" t="s">
        <v>1771</v>
      </c>
      <c r="E1354" s="1">
        <v>915.16</v>
      </c>
      <c r="F1354" s="1" t="s">
        <v>8</v>
      </c>
      <c r="G1354" s="1" t="s">
        <v>9</v>
      </c>
      <c r="H1354" s="1" t="s">
        <v>10</v>
      </c>
    </row>
    <row r="1355" spans="1:8" x14ac:dyDescent="0.3">
      <c r="A1355" s="1">
        <v>718</v>
      </c>
      <c r="B1355" s="1" t="s">
        <v>1687</v>
      </c>
      <c r="C1355" s="1" t="s">
        <v>1737</v>
      </c>
      <c r="D1355" s="1" t="s">
        <v>1738</v>
      </c>
      <c r="E1355" s="1">
        <v>576</v>
      </c>
      <c r="F1355" s="1" t="s">
        <v>8</v>
      </c>
      <c r="G1355" s="1" t="s">
        <v>9</v>
      </c>
      <c r="H1355" s="1" t="s">
        <v>10</v>
      </c>
    </row>
    <row r="1356" spans="1:8" x14ac:dyDescent="0.3">
      <c r="A1356" s="1">
        <v>718</v>
      </c>
      <c r="B1356" s="1" t="s">
        <v>1687</v>
      </c>
      <c r="C1356" s="1" t="s">
        <v>1743</v>
      </c>
      <c r="D1356" s="1" t="s">
        <v>1744</v>
      </c>
      <c r="E1356" s="1">
        <v>7579.6</v>
      </c>
      <c r="F1356" s="1" t="s">
        <v>8</v>
      </c>
      <c r="G1356" s="1" t="s">
        <v>9</v>
      </c>
      <c r="H1356" s="1" t="s">
        <v>10</v>
      </c>
    </row>
    <row r="1357" spans="1:8" x14ac:dyDescent="0.3">
      <c r="A1357" s="1">
        <v>718</v>
      </c>
      <c r="B1357" s="1" t="s">
        <v>1687</v>
      </c>
      <c r="C1357" s="1" t="s">
        <v>1764</v>
      </c>
      <c r="D1357" s="1" t="s">
        <v>1765</v>
      </c>
      <c r="E1357" s="1">
        <v>12849.96</v>
      </c>
      <c r="F1357" s="1" t="s">
        <v>8</v>
      </c>
      <c r="G1357" s="1" t="s">
        <v>9</v>
      </c>
      <c r="H1357" s="1" t="s">
        <v>10</v>
      </c>
    </row>
    <row r="1358" spans="1:8" x14ac:dyDescent="0.3">
      <c r="A1358" s="1">
        <v>718</v>
      </c>
      <c r="B1358" s="1" t="s">
        <v>1687</v>
      </c>
      <c r="C1358" s="1" t="s">
        <v>4823</v>
      </c>
      <c r="D1358" s="1" t="s">
        <v>4824</v>
      </c>
      <c r="E1358" s="1">
        <v>8974.59</v>
      </c>
      <c r="F1358" s="1" t="s">
        <v>8</v>
      </c>
      <c r="G1358" s="1" t="s">
        <v>9</v>
      </c>
      <c r="H1358" s="1" t="s">
        <v>10</v>
      </c>
    </row>
    <row r="1359" spans="1:8" x14ac:dyDescent="0.3">
      <c r="A1359" s="1">
        <v>718</v>
      </c>
      <c r="B1359" s="1" t="s">
        <v>1687</v>
      </c>
      <c r="C1359" s="1" t="s">
        <v>1772</v>
      </c>
      <c r="D1359" s="1" t="s">
        <v>1773</v>
      </c>
      <c r="E1359" s="1">
        <v>6945.81</v>
      </c>
      <c r="F1359" s="1" t="s">
        <v>8</v>
      </c>
      <c r="G1359" s="1" t="s">
        <v>9</v>
      </c>
      <c r="H1359" s="1" t="s">
        <v>10</v>
      </c>
    </row>
    <row r="1360" spans="1:8" x14ac:dyDescent="0.3">
      <c r="A1360" s="1">
        <v>718</v>
      </c>
      <c r="B1360" s="1" t="s">
        <v>1687</v>
      </c>
      <c r="C1360" s="1" t="s">
        <v>1762</v>
      </c>
      <c r="D1360" s="1" t="s">
        <v>1763</v>
      </c>
      <c r="E1360" s="1">
        <v>109.16</v>
      </c>
      <c r="F1360" s="1" t="s">
        <v>8</v>
      </c>
      <c r="G1360" s="1" t="s">
        <v>9</v>
      </c>
      <c r="H1360" s="1" t="s">
        <v>10</v>
      </c>
    </row>
    <row r="1361" spans="1:8" x14ac:dyDescent="0.3">
      <c r="A1361" s="1">
        <v>718</v>
      </c>
      <c r="B1361" s="1" t="s">
        <v>1687</v>
      </c>
      <c r="C1361" s="1" t="s">
        <v>1756</v>
      </c>
      <c r="D1361" s="1" t="s">
        <v>1757</v>
      </c>
      <c r="E1361" s="1">
        <v>6912.98</v>
      </c>
      <c r="F1361" s="1" t="s">
        <v>8</v>
      </c>
      <c r="G1361" s="1" t="s">
        <v>9</v>
      </c>
      <c r="H1361" s="1" t="s">
        <v>10</v>
      </c>
    </row>
    <row r="1362" spans="1:8" x14ac:dyDescent="0.3">
      <c r="A1362" s="1">
        <v>718</v>
      </c>
      <c r="B1362" s="1" t="s">
        <v>1687</v>
      </c>
      <c r="C1362" s="1" t="s">
        <v>1762</v>
      </c>
      <c r="D1362" s="1" t="s">
        <v>1763</v>
      </c>
      <c r="E1362" s="1">
        <v>109.16</v>
      </c>
      <c r="F1362" s="1" t="s">
        <v>8</v>
      </c>
      <c r="G1362" s="1" t="s">
        <v>9</v>
      </c>
      <c r="H1362" s="1" t="s">
        <v>10</v>
      </c>
    </row>
    <row r="1363" spans="1:8" x14ac:dyDescent="0.3">
      <c r="A1363" s="1">
        <v>718</v>
      </c>
      <c r="B1363" s="1" t="s">
        <v>1687</v>
      </c>
      <c r="C1363" s="1" t="s">
        <v>1756</v>
      </c>
      <c r="D1363" s="1" t="s">
        <v>1757</v>
      </c>
      <c r="E1363" s="1">
        <v>6912.98</v>
      </c>
      <c r="F1363" s="1" t="s">
        <v>8</v>
      </c>
      <c r="G1363" s="1" t="s">
        <v>9</v>
      </c>
      <c r="H1363" s="1" t="s">
        <v>10</v>
      </c>
    </row>
    <row r="1364" spans="1:8" x14ac:dyDescent="0.3">
      <c r="A1364" s="1">
        <v>718</v>
      </c>
      <c r="B1364" s="1" t="s">
        <v>1687</v>
      </c>
      <c r="C1364" s="1" t="s">
        <v>1391</v>
      </c>
      <c r="D1364" s="1" t="s">
        <v>1753</v>
      </c>
      <c r="E1364" s="1">
        <v>625.55999999999995</v>
      </c>
      <c r="F1364" s="1" t="s">
        <v>8</v>
      </c>
      <c r="G1364" s="1" t="s">
        <v>9</v>
      </c>
      <c r="H1364" s="1" t="s">
        <v>10</v>
      </c>
    </row>
    <row r="1365" spans="1:8" x14ac:dyDescent="0.3">
      <c r="A1365" s="1">
        <v>718</v>
      </c>
      <c r="B1365" s="1" t="s">
        <v>1687</v>
      </c>
      <c r="C1365" s="1" t="s">
        <v>1774</v>
      </c>
      <c r="D1365" s="1" t="s">
        <v>1775</v>
      </c>
      <c r="E1365" s="1">
        <v>2862.22</v>
      </c>
      <c r="F1365" s="1" t="s">
        <v>8</v>
      </c>
      <c r="G1365" s="1" t="s">
        <v>9</v>
      </c>
      <c r="H1365" s="1" t="s">
        <v>10</v>
      </c>
    </row>
    <row r="1366" spans="1:8" x14ac:dyDescent="0.3">
      <c r="A1366" s="1">
        <v>718</v>
      </c>
      <c r="B1366" s="1" t="s">
        <v>1687</v>
      </c>
      <c r="C1366" s="1" t="s">
        <v>1776</v>
      </c>
      <c r="D1366" s="1" t="s">
        <v>1777</v>
      </c>
      <c r="E1366" s="1">
        <v>3104.9</v>
      </c>
      <c r="F1366" s="1" t="s">
        <v>8</v>
      </c>
      <c r="G1366" s="1" t="s">
        <v>9</v>
      </c>
      <c r="H1366" s="1" t="s">
        <v>10</v>
      </c>
    </row>
    <row r="1367" spans="1:8" x14ac:dyDescent="0.3">
      <c r="A1367" s="1">
        <v>718</v>
      </c>
      <c r="B1367" s="1" t="s">
        <v>1687</v>
      </c>
      <c r="C1367" s="1" t="s">
        <v>1778</v>
      </c>
      <c r="D1367" s="1" t="s">
        <v>1779</v>
      </c>
      <c r="E1367" s="1">
        <v>3570</v>
      </c>
      <c r="F1367" s="1" t="s">
        <v>8</v>
      </c>
      <c r="G1367" s="1" t="s">
        <v>9</v>
      </c>
      <c r="H1367" s="1" t="s">
        <v>10</v>
      </c>
    </row>
    <row r="1368" spans="1:8" x14ac:dyDescent="0.3">
      <c r="A1368" s="1">
        <v>718</v>
      </c>
      <c r="B1368" s="1" t="s">
        <v>1687</v>
      </c>
      <c r="C1368" s="1" t="s">
        <v>1780</v>
      </c>
      <c r="D1368" s="1" t="s">
        <v>1781</v>
      </c>
      <c r="E1368" s="1">
        <v>616.59</v>
      </c>
      <c r="F1368" s="1" t="s">
        <v>8</v>
      </c>
      <c r="G1368" s="1" t="s">
        <v>9</v>
      </c>
      <c r="H1368" s="1" t="s">
        <v>10</v>
      </c>
    </row>
    <row r="1369" spans="1:8" x14ac:dyDescent="0.3">
      <c r="A1369" s="1">
        <v>718</v>
      </c>
      <c r="B1369" s="1" t="s">
        <v>1687</v>
      </c>
      <c r="C1369" s="1" t="s">
        <v>1782</v>
      </c>
      <c r="D1369" s="1" t="s">
        <v>1783</v>
      </c>
      <c r="E1369" s="1">
        <v>225.7</v>
      </c>
      <c r="F1369" s="1" t="s">
        <v>8</v>
      </c>
      <c r="G1369" s="1" t="s">
        <v>9</v>
      </c>
      <c r="H1369" s="1" t="s">
        <v>10</v>
      </c>
    </row>
    <row r="1370" spans="1:8" x14ac:dyDescent="0.3">
      <c r="A1370" s="1">
        <v>718</v>
      </c>
      <c r="B1370" s="1" t="s">
        <v>1687</v>
      </c>
      <c r="C1370" s="1" t="s">
        <v>1784</v>
      </c>
      <c r="D1370" s="1" t="s">
        <v>1785</v>
      </c>
      <c r="E1370" s="1">
        <v>338</v>
      </c>
      <c r="F1370" s="1" t="s">
        <v>8</v>
      </c>
      <c r="G1370" s="1" t="s">
        <v>9</v>
      </c>
      <c r="H1370" s="1" t="s">
        <v>10</v>
      </c>
    </row>
    <row r="1371" spans="1:8" x14ac:dyDescent="0.3">
      <c r="A1371" s="1">
        <v>718</v>
      </c>
      <c r="B1371" s="1" t="s">
        <v>1687</v>
      </c>
      <c r="C1371" s="1" t="s">
        <v>1786</v>
      </c>
      <c r="D1371" s="1" t="s">
        <v>1787</v>
      </c>
      <c r="E1371" s="1">
        <v>700.34</v>
      </c>
      <c r="F1371" s="1" t="s">
        <v>8</v>
      </c>
      <c r="G1371" s="1" t="s">
        <v>9</v>
      </c>
      <c r="H1371" s="1" t="s">
        <v>10</v>
      </c>
    </row>
    <row r="1372" spans="1:8" x14ac:dyDescent="0.3">
      <c r="A1372" s="1">
        <v>718</v>
      </c>
      <c r="B1372" s="1" t="s">
        <v>1687</v>
      </c>
      <c r="C1372" s="1" t="s">
        <v>1788</v>
      </c>
      <c r="D1372" s="1" t="s">
        <v>1789</v>
      </c>
      <c r="E1372" s="1">
        <v>3223.72</v>
      </c>
      <c r="F1372" s="1" t="s">
        <v>8</v>
      </c>
      <c r="G1372" s="1" t="s">
        <v>9</v>
      </c>
      <c r="H1372" s="1" t="s">
        <v>10</v>
      </c>
    </row>
    <row r="1373" spans="1:8" x14ac:dyDescent="0.3">
      <c r="A1373" s="1">
        <v>718</v>
      </c>
      <c r="B1373" s="1" t="s">
        <v>1687</v>
      </c>
      <c r="C1373" s="1" t="s">
        <v>1790</v>
      </c>
      <c r="D1373" s="1" t="s">
        <v>1791</v>
      </c>
      <c r="E1373" s="1">
        <v>2967.76</v>
      </c>
      <c r="F1373" s="1" t="s">
        <v>8</v>
      </c>
      <c r="G1373" s="1" t="s">
        <v>9</v>
      </c>
      <c r="H1373" s="1" t="s">
        <v>10</v>
      </c>
    </row>
    <row r="1374" spans="1:8" x14ac:dyDescent="0.3">
      <c r="A1374" s="1">
        <v>718</v>
      </c>
      <c r="B1374" s="1" t="s">
        <v>1687</v>
      </c>
      <c r="C1374" s="1" t="s">
        <v>1792</v>
      </c>
      <c r="D1374" s="1" t="s">
        <v>1793</v>
      </c>
      <c r="E1374" s="1">
        <v>1435</v>
      </c>
      <c r="F1374" s="1" t="s">
        <v>8</v>
      </c>
      <c r="G1374" s="1" t="s">
        <v>9</v>
      </c>
      <c r="H1374" s="1" t="s">
        <v>10</v>
      </c>
    </row>
    <row r="1375" spans="1:8" x14ac:dyDescent="0.3">
      <c r="A1375" s="1">
        <v>718</v>
      </c>
      <c r="B1375" s="1" t="s">
        <v>1687</v>
      </c>
      <c r="C1375" s="1" t="s">
        <v>1794</v>
      </c>
      <c r="D1375" s="1" t="s">
        <v>1795</v>
      </c>
      <c r="E1375" s="1">
        <v>564</v>
      </c>
      <c r="F1375" s="1" t="s">
        <v>8</v>
      </c>
      <c r="G1375" s="1" t="s">
        <v>9</v>
      </c>
      <c r="H1375" s="1" t="s">
        <v>10</v>
      </c>
    </row>
    <row r="1376" spans="1:8" x14ac:dyDescent="0.3">
      <c r="A1376" s="1">
        <v>718</v>
      </c>
      <c r="B1376" s="1" t="s">
        <v>1687</v>
      </c>
      <c r="C1376" s="1" t="s">
        <v>1796</v>
      </c>
      <c r="D1376" s="1" t="s">
        <v>1797</v>
      </c>
      <c r="E1376" s="1">
        <v>623.28</v>
      </c>
      <c r="F1376" s="1" t="s">
        <v>8</v>
      </c>
      <c r="G1376" s="1" t="s">
        <v>9</v>
      </c>
      <c r="H1376" s="1" t="s">
        <v>10</v>
      </c>
    </row>
    <row r="1377" spans="1:8" x14ac:dyDescent="0.3">
      <c r="A1377" s="1">
        <v>718</v>
      </c>
      <c r="B1377" s="1" t="s">
        <v>1687</v>
      </c>
      <c r="C1377" s="1" t="s">
        <v>1798</v>
      </c>
      <c r="D1377" s="1" t="s">
        <v>1799</v>
      </c>
      <c r="E1377" s="1">
        <v>751.4</v>
      </c>
      <c r="F1377" s="1" t="s">
        <v>8</v>
      </c>
      <c r="G1377" s="1" t="s">
        <v>9</v>
      </c>
      <c r="H1377" s="1" t="s">
        <v>10</v>
      </c>
    </row>
    <row r="1378" spans="1:8" x14ac:dyDescent="0.3">
      <c r="A1378" s="1">
        <v>718</v>
      </c>
      <c r="B1378" s="1" t="s">
        <v>1687</v>
      </c>
      <c r="C1378" s="1" t="s">
        <v>1800</v>
      </c>
      <c r="D1378" s="1" t="s">
        <v>1801</v>
      </c>
      <c r="E1378" s="1">
        <v>1920</v>
      </c>
      <c r="F1378" s="1" t="s">
        <v>8</v>
      </c>
      <c r="G1378" s="1" t="s">
        <v>9</v>
      </c>
      <c r="H1378" s="1" t="s">
        <v>10</v>
      </c>
    </row>
    <row r="1379" spans="1:8" x14ac:dyDescent="0.3">
      <c r="A1379" s="1">
        <v>718</v>
      </c>
      <c r="B1379" s="1" t="s">
        <v>1687</v>
      </c>
      <c r="C1379" s="1" t="s">
        <v>1802</v>
      </c>
      <c r="D1379" s="1" t="s">
        <v>1803</v>
      </c>
      <c r="E1379" s="1">
        <v>3037.47</v>
      </c>
      <c r="F1379" s="1" t="s">
        <v>8</v>
      </c>
      <c r="G1379" s="1" t="s">
        <v>9</v>
      </c>
      <c r="H1379" s="1" t="s">
        <v>10</v>
      </c>
    </row>
    <row r="1380" spans="1:8" x14ac:dyDescent="0.3">
      <c r="A1380" s="1">
        <v>718</v>
      </c>
      <c r="B1380" s="1" t="s">
        <v>1687</v>
      </c>
      <c r="C1380" s="1" t="s">
        <v>1804</v>
      </c>
      <c r="D1380" s="1" t="s">
        <v>1805</v>
      </c>
      <c r="E1380" s="1">
        <v>64.5</v>
      </c>
      <c r="F1380" s="1" t="s">
        <v>8</v>
      </c>
      <c r="G1380" s="1" t="s">
        <v>9</v>
      </c>
      <c r="H1380" s="1" t="s">
        <v>10</v>
      </c>
    </row>
    <row r="1381" spans="1:8" x14ac:dyDescent="0.3">
      <c r="A1381" s="1">
        <v>718</v>
      </c>
      <c r="B1381" s="1" t="s">
        <v>1687</v>
      </c>
      <c r="C1381" s="1" t="s">
        <v>372</v>
      </c>
      <c r="D1381" s="1" t="s">
        <v>1806</v>
      </c>
      <c r="E1381" s="1">
        <v>160</v>
      </c>
      <c r="F1381" s="1" t="s">
        <v>8</v>
      </c>
      <c r="G1381" s="1" t="s">
        <v>9</v>
      </c>
      <c r="H1381" s="1" t="s">
        <v>10</v>
      </c>
    </row>
    <row r="1382" spans="1:8" x14ac:dyDescent="0.3">
      <c r="A1382" s="1">
        <v>718</v>
      </c>
      <c r="B1382" s="1" t="s">
        <v>1687</v>
      </c>
      <c r="C1382" s="1" t="s">
        <v>1807</v>
      </c>
      <c r="D1382" s="1" t="s">
        <v>1808</v>
      </c>
      <c r="E1382" s="1">
        <v>50</v>
      </c>
      <c r="F1382" s="1" t="s">
        <v>8</v>
      </c>
      <c r="G1382" s="1" t="s">
        <v>9</v>
      </c>
      <c r="H1382" s="1" t="s">
        <v>10</v>
      </c>
    </row>
    <row r="1383" spans="1:8" x14ac:dyDescent="0.3">
      <c r="A1383" s="1">
        <v>718</v>
      </c>
      <c r="B1383" s="1" t="s">
        <v>1687</v>
      </c>
      <c r="C1383" s="1" t="s">
        <v>1809</v>
      </c>
      <c r="D1383" s="1" t="s">
        <v>1810</v>
      </c>
      <c r="E1383" s="1">
        <v>1223.47</v>
      </c>
      <c r="F1383" s="1" t="s">
        <v>8</v>
      </c>
      <c r="G1383" s="1" t="s">
        <v>9</v>
      </c>
      <c r="H1383" s="1" t="s">
        <v>10</v>
      </c>
    </row>
    <row r="1384" spans="1:8" x14ac:dyDescent="0.3">
      <c r="A1384" s="1">
        <v>718</v>
      </c>
      <c r="B1384" s="1" t="s">
        <v>1687</v>
      </c>
      <c r="C1384" s="1" t="s">
        <v>1811</v>
      </c>
      <c r="D1384" s="1" t="s">
        <v>1812</v>
      </c>
      <c r="E1384" s="1">
        <v>6413.78</v>
      </c>
      <c r="F1384" s="1" t="s">
        <v>8</v>
      </c>
      <c r="G1384" s="1" t="s">
        <v>9</v>
      </c>
      <c r="H1384" s="1" t="s">
        <v>10</v>
      </c>
    </row>
    <row r="1385" spans="1:8" x14ac:dyDescent="0.3">
      <c r="A1385" s="1">
        <v>718</v>
      </c>
      <c r="B1385" s="1" t="s">
        <v>1687</v>
      </c>
      <c r="C1385" s="1" t="s">
        <v>1813</v>
      </c>
      <c r="D1385" s="1" t="s">
        <v>1814</v>
      </c>
      <c r="E1385" s="1">
        <v>100</v>
      </c>
      <c r="F1385" s="1" t="s">
        <v>8</v>
      </c>
      <c r="G1385" s="1" t="s">
        <v>9</v>
      </c>
      <c r="H1385" s="1" t="s">
        <v>10</v>
      </c>
    </row>
    <row r="1386" spans="1:8" x14ac:dyDescent="0.3">
      <c r="A1386" s="1">
        <v>718</v>
      </c>
      <c r="B1386" s="1" t="s">
        <v>1687</v>
      </c>
      <c r="C1386" s="1" t="s">
        <v>1815</v>
      </c>
      <c r="D1386" s="1" t="s">
        <v>1816</v>
      </c>
      <c r="E1386" s="1">
        <v>1811.89</v>
      </c>
      <c r="F1386" s="1" t="s">
        <v>8</v>
      </c>
      <c r="G1386" s="1" t="s">
        <v>9</v>
      </c>
      <c r="H1386" s="1" t="s">
        <v>10</v>
      </c>
    </row>
    <row r="1387" spans="1:8" x14ac:dyDescent="0.3">
      <c r="A1387" s="1">
        <v>718</v>
      </c>
      <c r="B1387" s="1" t="s">
        <v>1687</v>
      </c>
      <c r="C1387" s="1" t="s">
        <v>1817</v>
      </c>
      <c r="D1387" s="1" t="s">
        <v>1818</v>
      </c>
      <c r="E1387" s="1">
        <v>3286.86</v>
      </c>
      <c r="F1387" s="1" t="s">
        <v>8</v>
      </c>
      <c r="G1387" s="1" t="s">
        <v>9</v>
      </c>
      <c r="H1387" s="1" t="s">
        <v>10</v>
      </c>
    </row>
    <row r="1388" spans="1:8" x14ac:dyDescent="0.3">
      <c r="A1388" s="1">
        <v>718</v>
      </c>
      <c r="B1388" s="1" t="s">
        <v>1687</v>
      </c>
      <c r="C1388" s="1" t="s">
        <v>1819</v>
      </c>
      <c r="D1388" s="1" t="s">
        <v>1820</v>
      </c>
      <c r="E1388" s="1">
        <v>1543.42</v>
      </c>
      <c r="F1388" s="1" t="s">
        <v>8</v>
      </c>
      <c r="G1388" s="1" t="s">
        <v>9</v>
      </c>
      <c r="H1388" s="1" t="s">
        <v>10</v>
      </c>
    </row>
    <row r="1389" spans="1:8" x14ac:dyDescent="0.3">
      <c r="A1389" s="1">
        <v>718</v>
      </c>
      <c r="B1389" s="1" t="s">
        <v>1687</v>
      </c>
      <c r="C1389" s="1" t="s">
        <v>1821</v>
      </c>
      <c r="D1389" s="1" t="s">
        <v>1822</v>
      </c>
      <c r="E1389" s="1">
        <v>117.02</v>
      </c>
      <c r="F1389" s="1" t="s">
        <v>8</v>
      </c>
      <c r="G1389" s="1" t="s">
        <v>9</v>
      </c>
      <c r="H1389" s="1" t="s">
        <v>10</v>
      </c>
    </row>
    <row r="1390" spans="1:8" x14ac:dyDescent="0.3">
      <c r="A1390" s="1">
        <v>718</v>
      </c>
      <c r="B1390" s="1" t="s">
        <v>1687</v>
      </c>
      <c r="C1390" s="1" t="s">
        <v>1823</v>
      </c>
      <c r="D1390" s="1" t="s">
        <v>1824</v>
      </c>
      <c r="E1390" s="1">
        <v>82.15</v>
      </c>
      <c r="F1390" s="1" t="s">
        <v>8</v>
      </c>
      <c r="G1390" s="1" t="s">
        <v>9</v>
      </c>
      <c r="H1390" s="1" t="s">
        <v>10</v>
      </c>
    </row>
    <row r="1391" spans="1:8" x14ac:dyDescent="0.3">
      <c r="A1391" s="1">
        <v>718</v>
      </c>
      <c r="B1391" s="1" t="s">
        <v>1687</v>
      </c>
      <c r="C1391" s="1" t="s">
        <v>1825</v>
      </c>
      <c r="D1391" s="1" t="s">
        <v>1826</v>
      </c>
      <c r="E1391" s="1">
        <v>2085.62</v>
      </c>
      <c r="F1391" s="1" t="s">
        <v>8</v>
      </c>
      <c r="G1391" s="1" t="s">
        <v>9</v>
      </c>
      <c r="H1391" s="1" t="s">
        <v>10</v>
      </c>
    </row>
    <row r="1392" spans="1:8" x14ac:dyDescent="0.3">
      <c r="A1392" s="1">
        <v>718</v>
      </c>
      <c r="B1392" s="1" t="s">
        <v>1687</v>
      </c>
      <c r="C1392" s="1" t="s">
        <v>1827</v>
      </c>
      <c r="D1392" s="1" t="s">
        <v>1828</v>
      </c>
      <c r="E1392" s="1">
        <v>103.41</v>
      </c>
      <c r="F1392" s="1" t="s">
        <v>8</v>
      </c>
      <c r="G1392" s="1" t="s">
        <v>9</v>
      </c>
      <c r="H1392" s="1" t="s">
        <v>10</v>
      </c>
    </row>
    <row r="1393" spans="1:8" x14ac:dyDescent="0.3">
      <c r="A1393" s="1">
        <v>718</v>
      </c>
      <c r="B1393" s="1" t="s">
        <v>1687</v>
      </c>
      <c r="C1393" s="1" t="s">
        <v>1829</v>
      </c>
      <c r="D1393" s="1" t="s">
        <v>1830</v>
      </c>
      <c r="E1393" s="1">
        <v>37.33</v>
      </c>
      <c r="F1393" s="1" t="s">
        <v>8</v>
      </c>
      <c r="G1393" s="1" t="s">
        <v>9</v>
      </c>
      <c r="H1393" s="1" t="s">
        <v>10</v>
      </c>
    </row>
    <row r="1394" spans="1:8" x14ac:dyDescent="0.3">
      <c r="A1394" s="1">
        <v>718</v>
      </c>
      <c r="B1394" s="1" t="s">
        <v>1687</v>
      </c>
      <c r="C1394" s="1" t="s">
        <v>1831</v>
      </c>
      <c r="D1394" s="1" t="s">
        <v>1832</v>
      </c>
      <c r="E1394" s="1">
        <v>643</v>
      </c>
      <c r="F1394" s="1" t="s">
        <v>8</v>
      </c>
      <c r="G1394" s="1" t="s">
        <v>9</v>
      </c>
      <c r="H1394" s="1" t="s">
        <v>10</v>
      </c>
    </row>
    <row r="1395" spans="1:8" x14ac:dyDescent="0.3">
      <c r="A1395" s="1">
        <v>718</v>
      </c>
      <c r="B1395" s="1" t="s">
        <v>1687</v>
      </c>
      <c r="C1395" s="1" t="s">
        <v>1833</v>
      </c>
      <c r="D1395" s="1" t="s">
        <v>1834</v>
      </c>
      <c r="E1395" s="1">
        <v>1898.33</v>
      </c>
      <c r="F1395" s="1" t="s">
        <v>8</v>
      </c>
      <c r="G1395" s="1" t="s">
        <v>9</v>
      </c>
      <c r="H1395" s="1" t="s">
        <v>10</v>
      </c>
    </row>
    <row r="1396" spans="1:8" x14ac:dyDescent="0.3">
      <c r="A1396" s="1">
        <v>718</v>
      </c>
      <c r="B1396" s="1" t="s">
        <v>1687</v>
      </c>
      <c r="C1396" s="1" t="s">
        <v>1835</v>
      </c>
      <c r="D1396" s="1" t="s">
        <v>1836</v>
      </c>
      <c r="E1396" s="1">
        <v>6699.63</v>
      </c>
      <c r="F1396" s="1" t="s">
        <v>8</v>
      </c>
      <c r="G1396" s="1" t="s">
        <v>9</v>
      </c>
      <c r="H1396" s="1" t="s">
        <v>10</v>
      </c>
    </row>
    <row r="1397" spans="1:8" x14ac:dyDescent="0.3">
      <c r="A1397" s="1">
        <v>718</v>
      </c>
      <c r="B1397" s="1" t="s">
        <v>1687</v>
      </c>
      <c r="C1397" s="1" t="s">
        <v>1837</v>
      </c>
      <c r="D1397" s="1" t="s">
        <v>1838</v>
      </c>
      <c r="E1397" s="1">
        <v>971</v>
      </c>
      <c r="F1397" s="1" t="s">
        <v>8</v>
      </c>
      <c r="G1397" s="1" t="s">
        <v>9</v>
      </c>
      <c r="H1397" s="1" t="s">
        <v>10</v>
      </c>
    </row>
    <row r="1398" spans="1:8" x14ac:dyDescent="0.3">
      <c r="A1398" s="1">
        <v>718</v>
      </c>
      <c r="B1398" s="1" t="s">
        <v>1687</v>
      </c>
      <c r="C1398" s="1" t="s">
        <v>1839</v>
      </c>
      <c r="D1398" s="1" t="s">
        <v>1840</v>
      </c>
      <c r="E1398" s="1">
        <v>1284.6500000000001</v>
      </c>
      <c r="F1398" s="1" t="s">
        <v>8</v>
      </c>
      <c r="G1398" s="1" t="s">
        <v>9</v>
      </c>
      <c r="H1398" s="1" t="s">
        <v>10</v>
      </c>
    </row>
    <row r="1399" spans="1:8" x14ac:dyDescent="0.3">
      <c r="A1399" s="1">
        <v>718</v>
      </c>
      <c r="B1399" s="1" t="s">
        <v>1687</v>
      </c>
      <c r="C1399" s="1" t="s">
        <v>1841</v>
      </c>
      <c r="D1399" s="1" t="s">
        <v>1842</v>
      </c>
      <c r="E1399" s="1">
        <v>56.72</v>
      </c>
      <c r="F1399" s="1" t="s">
        <v>8</v>
      </c>
      <c r="G1399" s="1" t="s">
        <v>9</v>
      </c>
      <c r="H1399" s="1" t="s">
        <v>10</v>
      </c>
    </row>
    <row r="1400" spans="1:8" x14ac:dyDescent="0.3">
      <c r="A1400" s="1">
        <v>718</v>
      </c>
      <c r="B1400" s="1" t="s">
        <v>1687</v>
      </c>
      <c r="C1400" s="1" t="s">
        <v>1843</v>
      </c>
      <c r="D1400" s="1" t="s">
        <v>1844</v>
      </c>
      <c r="E1400" s="1">
        <v>2078.1</v>
      </c>
      <c r="F1400" s="1" t="s">
        <v>8</v>
      </c>
      <c r="G1400" s="1" t="s">
        <v>9</v>
      </c>
      <c r="H1400" s="1" t="s">
        <v>10</v>
      </c>
    </row>
    <row r="1401" spans="1:8" x14ac:dyDescent="0.3">
      <c r="A1401" s="1">
        <v>718</v>
      </c>
      <c r="B1401" s="1" t="s">
        <v>1687</v>
      </c>
      <c r="C1401" s="1" t="s">
        <v>1845</v>
      </c>
      <c r="D1401" s="1" t="s">
        <v>1846</v>
      </c>
      <c r="E1401" s="1">
        <v>179.13</v>
      </c>
      <c r="F1401" s="1" t="s">
        <v>8</v>
      </c>
      <c r="G1401" s="1" t="s">
        <v>9</v>
      </c>
      <c r="H1401" s="1" t="s">
        <v>10</v>
      </c>
    </row>
    <row r="1402" spans="1:8" x14ac:dyDescent="0.3">
      <c r="A1402" s="1">
        <v>718</v>
      </c>
      <c r="B1402" s="1" t="s">
        <v>1687</v>
      </c>
      <c r="C1402" s="1" t="s">
        <v>1847</v>
      </c>
      <c r="D1402" s="1" t="s">
        <v>1848</v>
      </c>
      <c r="E1402" s="1">
        <v>423.16</v>
      </c>
      <c r="F1402" s="1" t="s">
        <v>8</v>
      </c>
      <c r="G1402" s="1" t="s">
        <v>9</v>
      </c>
      <c r="H1402" s="1" t="s">
        <v>10</v>
      </c>
    </row>
    <row r="1403" spans="1:8" x14ac:dyDescent="0.3">
      <c r="A1403" s="1">
        <v>718</v>
      </c>
      <c r="B1403" s="1" t="s">
        <v>1687</v>
      </c>
      <c r="C1403" s="1" t="s">
        <v>1849</v>
      </c>
      <c r="D1403" s="1" t="s">
        <v>1850</v>
      </c>
      <c r="E1403" s="1">
        <v>390.86</v>
      </c>
      <c r="F1403" s="1" t="s">
        <v>8</v>
      </c>
      <c r="G1403" s="1" t="s">
        <v>9</v>
      </c>
      <c r="H1403" s="1" t="s">
        <v>10</v>
      </c>
    </row>
    <row r="1404" spans="1:8" x14ac:dyDescent="0.3">
      <c r="A1404" s="1">
        <v>718</v>
      </c>
      <c r="B1404" s="1" t="s">
        <v>1687</v>
      </c>
      <c r="C1404" s="1" t="s">
        <v>1853</v>
      </c>
      <c r="D1404" s="1" t="s">
        <v>1854</v>
      </c>
      <c r="E1404" s="1">
        <v>2329.8000000000002</v>
      </c>
      <c r="F1404" s="1" t="s">
        <v>8</v>
      </c>
      <c r="G1404" s="1" t="s">
        <v>9</v>
      </c>
      <c r="H1404" s="1" t="s">
        <v>10</v>
      </c>
    </row>
    <row r="1405" spans="1:8" x14ac:dyDescent="0.3">
      <c r="A1405" s="1">
        <v>718</v>
      </c>
      <c r="B1405" s="1" t="s">
        <v>1687</v>
      </c>
      <c r="C1405" s="1" t="s">
        <v>1851</v>
      </c>
      <c r="D1405" s="1" t="s">
        <v>1852</v>
      </c>
      <c r="E1405" s="1">
        <v>2755.69</v>
      </c>
      <c r="F1405" s="1" t="s">
        <v>8</v>
      </c>
      <c r="G1405" s="1" t="s">
        <v>9</v>
      </c>
      <c r="H1405" s="1" t="s">
        <v>10</v>
      </c>
    </row>
    <row r="1406" spans="1:8" x14ac:dyDescent="0.3">
      <c r="A1406" s="1">
        <v>718</v>
      </c>
      <c r="B1406" s="1" t="s">
        <v>1687</v>
      </c>
      <c r="C1406" s="1" t="s">
        <v>1868</v>
      </c>
      <c r="D1406" s="1" t="s">
        <v>1869</v>
      </c>
      <c r="E1406" s="1">
        <v>832</v>
      </c>
      <c r="F1406" s="1" t="s">
        <v>8</v>
      </c>
      <c r="G1406" s="1" t="s">
        <v>9</v>
      </c>
      <c r="H1406" s="1" t="s">
        <v>10</v>
      </c>
    </row>
    <row r="1407" spans="1:8" x14ac:dyDescent="0.3">
      <c r="A1407" s="1">
        <v>718</v>
      </c>
      <c r="B1407" s="1" t="s">
        <v>1687</v>
      </c>
      <c r="C1407" s="1" t="s">
        <v>4827</v>
      </c>
      <c r="D1407" s="1" t="s">
        <v>4828</v>
      </c>
      <c r="E1407" s="1">
        <v>3018.28</v>
      </c>
      <c r="F1407" s="1" t="s">
        <v>8</v>
      </c>
      <c r="G1407" s="1" t="s">
        <v>9</v>
      </c>
      <c r="H1407" s="1" t="s">
        <v>10</v>
      </c>
    </row>
    <row r="1408" spans="1:8" x14ac:dyDescent="0.3">
      <c r="A1408" s="1">
        <v>718</v>
      </c>
      <c r="B1408" s="1" t="s">
        <v>1687</v>
      </c>
      <c r="C1408" s="1" t="s">
        <v>1855</v>
      </c>
      <c r="D1408" s="1" t="s">
        <v>1856</v>
      </c>
      <c r="E1408" s="1">
        <v>29711.84</v>
      </c>
      <c r="F1408" s="1" t="s">
        <v>8</v>
      </c>
      <c r="G1408" s="1" t="s">
        <v>9</v>
      </c>
      <c r="H1408" s="1" t="s">
        <v>10</v>
      </c>
    </row>
    <row r="1409" spans="1:8" x14ac:dyDescent="0.3">
      <c r="A1409" s="1">
        <v>718</v>
      </c>
      <c r="B1409" s="1" t="s">
        <v>1687</v>
      </c>
      <c r="C1409" s="1" t="s">
        <v>1857</v>
      </c>
      <c r="D1409" s="1" t="s">
        <v>1858</v>
      </c>
      <c r="E1409" s="1">
        <v>3307.5</v>
      </c>
      <c r="F1409" s="1" t="s">
        <v>8</v>
      </c>
      <c r="G1409" s="1" t="s">
        <v>9</v>
      </c>
      <c r="H1409" s="1" t="s">
        <v>10</v>
      </c>
    </row>
    <row r="1410" spans="1:8" x14ac:dyDescent="0.3">
      <c r="A1410" s="1">
        <v>718</v>
      </c>
      <c r="B1410" s="1" t="s">
        <v>1687</v>
      </c>
      <c r="C1410" s="1" t="s">
        <v>1874</v>
      </c>
      <c r="D1410" s="1" t="s">
        <v>1875</v>
      </c>
      <c r="E1410" s="1">
        <v>16956.71</v>
      </c>
      <c r="F1410" s="1" t="s">
        <v>8</v>
      </c>
      <c r="G1410" s="1" t="s">
        <v>9</v>
      </c>
      <c r="H1410" s="1" t="s">
        <v>10</v>
      </c>
    </row>
    <row r="1411" spans="1:8" x14ac:dyDescent="0.3">
      <c r="A1411" s="1">
        <v>718</v>
      </c>
      <c r="B1411" s="1" t="s">
        <v>1687</v>
      </c>
      <c r="C1411" s="1" t="s">
        <v>1865</v>
      </c>
      <c r="D1411" s="1" t="s">
        <v>1866</v>
      </c>
      <c r="E1411" s="1">
        <v>3256.07</v>
      </c>
      <c r="F1411" s="1" t="s">
        <v>8</v>
      </c>
      <c r="G1411" s="1" t="s">
        <v>9</v>
      </c>
      <c r="H1411" s="1" t="s">
        <v>10</v>
      </c>
    </row>
    <row r="1412" spans="1:8" x14ac:dyDescent="0.3">
      <c r="A1412" s="1">
        <v>718</v>
      </c>
      <c r="B1412" s="1" t="s">
        <v>1687</v>
      </c>
      <c r="C1412" s="1" t="s">
        <v>4829</v>
      </c>
      <c r="D1412" s="1" t="s">
        <v>4830</v>
      </c>
      <c r="E1412" s="1">
        <v>17823.34</v>
      </c>
      <c r="F1412" s="1" t="s">
        <v>8</v>
      </c>
      <c r="G1412" s="1" t="s">
        <v>9</v>
      </c>
      <c r="H1412" s="1" t="s">
        <v>10</v>
      </c>
    </row>
    <row r="1413" spans="1:8" x14ac:dyDescent="0.3">
      <c r="A1413" s="1">
        <v>718</v>
      </c>
      <c r="B1413" s="1" t="s">
        <v>1687</v>
      </c>
      <c r="C1413" s="1" t="s">
        <v>1863</v>
      </c>
      <c r="D1413" s="1" t="s">
        <v>1864</v>
      </c>
      <c r="E1413" s="1">
        <v>7586.84</v>
      </c>
      <c r="F1413" s="1" t="s">
        <v>8</v>
      </c>
      <c r="G1413" s="1" t="s">
        <v>9</v>
      </c>
      <c r="H1413" s="1" t="s">
        <v>10</v>
      </c>
    </row>
    <row r="1414" spans="1:8" x14ac:dyDescent="0.3">
      <c r="A1414" s="1">
        <v>718</v>
      </c>
      <c r="B1414" s="1" t="s">
        <v>1687</v>
      </c>
      <c r="C1414" s="1" t="s">
        <v>1868</v>
      </c>
      <c r="D1414" s="1" t="s">
        <v>1869</v>
      </c>
      <c r="E1414" s="1">
        <v>832</v>
      </c>
      <c r="F1414" s="1" t="s">
        <v>8</v>
      </c>
      <c r="G1414" s="1" t="s">
        <v>9</v>
      </c>
      <c r="H1414" s="1" t="s">
        <v>10</v>
      </c>
    </row>
    <row r="1415" spans="1:8" x14ac:dyDescent="0.3">
      <c r="A1415" s="1">
        <v>718</v>
      </c>
      <c r="B1415" s="1" t="s">
        <v>1687</v>
      </c>
      <c r="C1415" s="1" t="s">
        <v>1872</v>
      </c>
      <c r="D1415" s="1" t="s">
        <v>1873</v>
      </c>
      <c r="E1415" s="1">
        <v>2149.4499999999998</v>
      </c>
      <c r="F1415" s="1" t="s">
        <v>8</v>
      </c>
      <c r="G1415" s="1" t="s">
        <v>9</v>
      </c>
      <c r="H1415" s="1" t="s">
        <v>10</v>
      </c>
    </row>
    <row r="1416" spans="1:8" x14ac:dyDescent="0.3">
      <c r="A1416" s="1">
        <v>718</v>
      </c>
      <c r="B1416" s="1" t="s">
        <v>1687</v>
      </c>
      <c r="C1416" s="1" t="s">
        <v>1876</v>
      </c>
      <c r="D1416" s="1" t="s">
        <v>1877</v>
      </c>
      <c r="E1416" s="1">
        <v>950.83</v>
      </c>
      <c r="F1416" s="1" t="s">
        <v>8</v>
      </c>
      <c r="G1416" s="1" t="s">
        <v>9</v>
      </c>
      <c r="H1416" s="1" t="s">
        <v>10</v>
      </c>
    </row>
    <row r="1417" spans="1:8" x14ac:dyDescent="0.3">
      <c r="A1417" s="1">
        <v>718</v>
      </c>
      <c r="B1417" s="1" t="s">
        <v>1687</v>
      </c>
      <c r="C1417" s="1" t="s">
        <v>1870</v>
      </c>
      <c r="D1417" s="1" t="s">
        <v>1871</v>
      </c>
      <c r="E1417" s="1">
        <v>1563.9</v>
      </c>
      <c r="F1417" s="1" t="s">
        <v>8</v>
      </c>
      <c r="G1417" s="1" t="s">
        <v>9</v>
      </c>
      <c r="H1417" s="1" t="s">
        <v>10</v>
      </c>
    </row>
    <row r="1418" spans="1:8" x14ac:dyDescent="0.3">
      <c r="A1418" s="1">
        <v>718</v>
      </c>
      <c r="B1418" s="1" t="s">
        <v>1687</v>
      </c>
      <c r="C1418" s="1" t="s">
        <v>1874</v>
      </c>
      <c r="D1418" s="1" t="s">
        <v>1875</v>
      </c>
      <c r="E1418" s="1">
        <v>16956.71</v>
      </c>
      <c r="F1418" s="1" t="s">
        <v>8</v>
      </c>
      <c r="G1418" s="1" t="s">
        <v>9</v>
      </c>
      <c r="H1418" s="1" t="s">
        <v>10</v>
      </c>
    </row>
    <row r="1419" spans="1:8" x14ac:dyDescent="0.3">
      <c r="A1419" s="1">
        <v>718</v>
      </c>
      <c r="B1419" s="1" t="s">
        <v>1687</v>
      </c>
      <c r="C1419" s="1" t="s">
        <v>1880</v>
      </c>
      <c r="D1419" s="1" t="s">
        <v>1881</v>
      </c>
      <c r="E1419" s="1">
        <v>20886.48</v>
      </c>
      <c r="F1419" s="1" t="s">
        <v>8</v>
      </c>
      <c r="G1419" s="1" t="s">
        <v>9</v>
      </c>
      <c r="H1419" s="1" t="s">
        <v>10</v>
      </c>
    </row>
    <row r="1420" spans="1:8" x14ac:dyDescent="0.3">
      <c r="A1420" s="1">
        <v>718</v>
      </c>
      <c r="B1420" s="1" t="s">
        <v>1687</v>
      </c>
      <c r="C1420" s="1" t="s">
        <v>1859</v>
      </c>
      <c r="D1420" s="1" t="s">
        <v>1860</v>
      </c>
      <c r="E1420" s="1">
        <v>3926.31</v>
      </c>
      <c r="F1420" s="1" t="s">
        <v>8</v>
      </c>
      <c r="G1420" s="1" t="s">
        <v>9</v>
      </c>
      <c r="H1420" s="1" t="s">
        <v>10</v>
      </c>
    </row>
    <row r="1421" spans="1:8" x14ac:dyDescent="0.3">
      <c r="A1421" s="1">
        <v>718</v>
      </c>
      <c r="B1421" s="1" t="s">
        <v>1687</v>
      </c>
      <c r="C1421" s="1" t="s">
        <v>1861</v>
      </c>
      <c r="D1421" s="1" t="s">
        <v>1862</v>
      </c>
      <c r="E1421" s="1">
        <v>2084.16</v>
      </c>
      <c r="F1421" s="1" t="s">
        <v>8</v>
      </c>
      <c r="G1421" s="1" t="s">
        <v>9</v>
      </c>
      <c r="H1421" s="1" t="s">
        <v>10</v>
      </c>
    </row>
    <row r="1422" spans="1:8" x14ac:dyDescent="0.3">
      <c r="A1422" s="1">
        <v>718</v>
      </c>
      <c r="B1422" s="1" t="s">
        <v>1687</v>
      </c>
      <c r="C1422" s="1" t="s">
        <v>1859</v>
      </c>
      <c r="D1422" s="1" t="s">
        <v>1860</v>
      </c>
      <c r="E1422" s="1">
        <v>3926.31</v>
      </c>
      <c r="F1422" s="1" t="s">
        <v>8</v>
      </c>
      <c r="G1422" s="1" t="s">
        <v>9</v>
      </c>
      <c r="H1422" s="1" t="s">
        <v>10</v>
      </c>
    </row>
    <row r="1423" spans="1:8" x14ac:dyDescent="0.3">
      <c r="A1423" s="1">
        <v>718</v>
      </c>
      <c r="B1423" s="1" t="s">
        <v>1687</v>
      </c>
      <c r="C1423" s="1" t="s">
        <v>1878</v>
      </c>
      <c r="D1423" s="1" t="s">
        <v>1879</v>
      </c>
      <c r="E1423" s="1">
        <v>1551.6</v>
      </c>
      <c r="F1423" s="1" t="s">
        <v>8</v>
      </c>
      <c r="G1423" s="1" t="s">
        <v>9</v>
      </c>
      <c r="H1423" s="1" t="s">
        <v>10</v>
      </c>
    </row>
    <row r="1424" spans="1:8" x14ac:dyDescent="0.3">
      <c r="A1424" s="1">
        <v>718</v>
      </c>
      <c r="B1424" s="1" t="s">
        <v>1687</v>
      </c>
      <c r="C1424" s="1" t="s">
        <v>4831</v>
      </c>
      <c r="D1424" s="1" t="s">
        <v>4832</v>
      </c>
      <c r="E1424" s="1">
        <v>247.81</v>
      </c>
      <c r="F1424" s="1" t="s">
        <v>8</v>
      </c>
      <c r="G1424" s="1" t="s">
        <v>9</v>
      </c>
      <c r="H1424" s="1" t="s">
        <v>10</v>
      </c>
    </row>
    <row r="1425" spans="1:8" x14ac:dyDescent="0.3">
      <c r="A1425" s="1">
        <v>718</v>
      </c>
      <c r="B1425" s="1" t="s">
        <v>1687</v>
      </c>
      <c r="C1425" s="1" t="s">
        <v>1882</v>
      </c>
      <c r="D1425" s="1" t="s">
        <v>1883</v>
      </c>
      <c r="E1425" s="1">
        <v>2259.7600000000002</v>
      </c>
      <c r="F1425" s="1" t="s">
        <v>8</v>
      </c>
      <c r="G1425" s="1" t="s">
        <v>9</v>
      </c>
      <c r="H1425" s="1" t="s">
        <v>10</v>
      </c>
    </row>
    <row r="1426" spans="1:8" x14ac:dyDescent="0.3">
      <c r="A1426" s="1">
        <v>718</v>
      </c>
      <c r="B1426" s="1" t="s">
        <v>1687</v>
      </c>
      <c r="C1426" s="1" t="s">
        <v>1884</v>
      </c>
      <c r="D1426" s="1" t="s">
        <v>1885</v>
      </c>
      <c r="E1426" s="1">
        <v>4850.26</v>
      </c>
      <c r="F1426" s="1" t="s">
        <v>8</v>
      </c>
      <c r="G1426" s="1" t="s">
        <v>9</v>
      </c>
      <c r="H1426" s="1" t="s">
        <v>10</v>
      </c>
    </row>
    <row r="1427" spans="1:8" x14ac:dyDescent="0.3">
      <c r="A1427" s="1">
        <v>718</v>
      </c>
      <c r="B1427" s="1" t="s">
        <v>1687</v>
      </c>
      <c r="C1427" s="1" t="s">
        <v>1886</v>
      </c>
      <c r="D1427" s="1" t="s">
        <v>1887</v>
      </c>
      <c r="E1427" s="1">
        <v>1618.76</v>
      </c>
      <c r="F1427" s="1" t="s">
        <v>8</v>
      </c>
      <c r="G1427" s="1" t="s">
        <v>9</v>
      </c>
      <c r="H1427" s="1" t="s">
        <v>10</v>
      </c>
    </row>
    <row r="1428" spans="1:8" x14ac:dyDescent="0.3">
      <c r="A1428" s="1">
        <v>718</v>
      </c>
      <c r="B1428" s="1" t="s">
        <v>1687</v>
      </c>
      <c r="C1428" s="1" t="s">
        <v>1888</v>
      </c>
      <c r="D1428" s="1" t="s">
        <v>1889</v>
      </c>
      <c r="E1428" s="1">
        <v>6859.83</v>
      </c>
      <c r="F1428" s="1" t="s">
        <v>8</v>
      </c>
      <c r="G1428" s="1" t="s">
        <v>9</v>
      </c>
      <c r="H1428" s="1" t="s">
        <v>10</v>
      </c>
    </row>
    <row r="1429" spans="1:8" x14ac:dyDescent="0.3">
      <c r="A1429" s="1">
        <v>718</v>
      </c>
      <c r="B1429" s="1" t="s">
        <v>1687</v>
      </c>
      <c r="C1429" s="1" t="s">
        <v>1892</v>
      </c>
      <c r="D1429" s="1" t="s">
        <v>1893</v>
      </c>
      <c r="E1429" s="1">
        <v>2376.96</v>
      </c>
      <c r="F1429" s="1" t="s">
        <v>8</v>
      </c>
      <c r="G1429" s="1" t="s">
        <v>9</v>
      </c>
      <c r="H1429" s="1" t="s">
        <v>10</v>
      </c>
    </row>
    <row r="1430" spans="1:8" x14ac:dyDescent="0.3">
      <c r="A1430" s="1">
        <v>718</v>
      </c>
      <c r="B1430" s="1" t="s">
        <v>1687</v>
      </c>
      <c r="C1430" s="1" t="s">
        <v>1890</v>
      </c>
      <c r="D1430" s="1" t="s">
        <v>1891</v>
      </c>
      <c r="E1430" s="1">
        <v>1168.73</v>
      </c>
      <c r="F1430" s="1" t="s">
        <v>8</v>
      </c>
      <c r="G1430" s="1" t="s">
        <v>9</v>
      </c>
      <c r="H1430" s="1" t="s">
        <v>10</v>
      </c>
    </row>
    <row r="1431" spans="1:8" x14ac:dyDescent="0.3">
      <c r="A1431" s="1">
        <v>718</v>
      </c>
      <c r="B1431" s="1" t="s">
        <v>1687</v>
      </c>
      <c r="C1431" s="1" t="s">
        <v>1894</v>
      </c>
      <c r="D1431" s="1" t="s">
        <v>1895</v>
      </c>
      <c r="E1431" s="1">
        <v>48.68</v>
      </c>
      <c r="F1431" s="1" t="s">
        <v>8</v>
      </c>
      <c r="G1431" s="1" t="s">
        <v>9</v>
      </c>
      <c r="H1431" s="1" t="s">
        <v>10</v>
      </c>
    </row>
    <row r="1432" spans="1:8" x14ac:dyDescent="0.3">
      <c r="A1432" s="1">
        <v>718</v>
      </c>
      <c r="B1432" s="1" t="s">
        <v>1687</v>
      </c>
      <c r="C1432" s="1" t="s">
        <v>1896</v>
      </c>
      <c r="D1432" s="1" t="s">
        <v>1897</v>
      </c>
      <c r="E1432" s="1">
        <v>1204.69</v>
      </c>
      <c r="F1432" s="1" t="s">
        <v>8</v>
      </c>
      <c r="G1432" s="1" t="s">
        <v>9</v>
      </c>
      <c r="H1432" s="1" t="s">
        <v>10</v>
      </c>
    </row>
    <row r="1433" spans="1:8" x14ac:dyDescent="0.3">
      <c r="A1433" s="1">
        <v>718</v>
      </c>
      <c r="B1433" s="1" t="s">
        <v>1687</v>
      </c>
      <c r="C1433" s="1" t="s">
        <v>1898</v>
      </c>
      <c r="D1433" s="1" t="s">
        <v>1899</v>
      </c>
      <c r="E1433" s="1">
        <v>401.6</v>
      </c>
      <c r="F1433" s="1" t="s">
        <v>8</v>
      </c>
      <c r="G1433" s="1" t="s">
        <v>9</v>
      </c>
      <c r="H1433" s="1" t="s">
        <v>10</v>
      </c>
    </row>
    <row r="1434" spans="1:8" x14ac:dyDescent="0.3">
      <c r="A1434" s="1">
        <v>718</v>
      </c>
      <c r="B1434" s="1" t="s">
        <v>1687</v>
      </c>
      <c r="C1434" s="1" t="s">
        <v>1867</v>
      </c>
      <c r="D1434" s="1" t="s">
        <v>1900</v>
      </c>
      <c r="E1434" s="1">
        <v>54</v>
      </c>
      <c r="F1434" s="1" t="s">
        <v>8</v>
      </c>
      <c r="G1434" s="1" t="s">
        <v>9</v>
      </c>
      <c r="H1434" s="1" t="s">
        <v>10</v>
      </c>
    </row>
    <row r="1435" spans="1:8" x14ac:dyDescent="0.3">
      <c r="A1435" s="1">
        <v>718</v>
      </c>
      <c r="B1435" s="1" t="s">
        <v>1687</v>
      </c>
      <c r="C1435" s="1" t="s">
        <v>1901</v>
      </c>
      <c r="D1435" s="1" t="s">
        <v>1902</v>
      </c>
      <c r="E1435" s="1">
        <v>600</v>
      </c>
      <c r="F1435" s="1" t="s">
        <v>8</v>
      </c>
      <c r="G1435" s="1" t="s">
        <v>9</v>
      </c>
      <c r="H1435" s="1" t="s">
        <v>10</v>
      </c>
    </row>
    <row r="1436" spans="1:8" x14ac:dyDescent="0.3">
      <c r="A1436" s="1">
        <v>718</v>
      </c>
      <c r="B1436" s="1" t="s">
        <v>1687</v>
      </c>
      <c r="C1436" s="1" t="s">
        <v>1903</v>
      </c>
      <c r="D1436" s="1" t="s">
        <v>1904</v>
      </c>
      <c r="E1436" s="1">
        <v>844.2</v>
      </c>
      <c r="F1436" s="1" t="s">
        <v>8</v>
      </c>
      <c r="G1436" s="1" t="s">
        <v>9</v>
      </c>
      <c r="H1436" s="1" t="s">
        <v>10</v>
      </c>
    </row>
    <row r="1437" spans="1:8" x14ac:dyDescent="0.3">
      <c r="A1437" s="1">
        <v>718</v>
      </c>
      <c r="B1437" s="1" t="s">
        <v>1687</v>
      </c>
      <c r="C1437" s="1" t="s">
        <v>1905</v>
      </c>
      <c r="D1437" s="1" t="s">
        <v>1906</v>
      </c>
      <c r="E1437" s="1">
        <v>560</v>
      </c>
      <c r="F1437" s="1" t="s">
        <v>8</v>
      </c>
      <c r="G1437" s="1" t="s">
        <v>9</v>
      </c>
      <c r="H1437" s="1" t="s">
        <v>10</v>
      </c>
    </row>
    <row r="1438" spans="1:8" x14ac:dyDescent="0.3">
      <c r="A1438" s="1">
        <v>718</v>
      </c>
      <c r="B1438" s="1" t="s">
        <v>1687</v>
      </c>
      <c r="C1438" s="1" t="s">
        <v>1907</v>
      </c>
      <c r="D1438" s="1" t="s">
        <v>1908</v>
      </c>
      <c r="E1438" s="1">
        <v>917.88</v>
      </c>
      <c r="F1438" s="1" t="s">
        <v>8</v>
      </c>
      <c r="G1438" s="1" t="s">
        <v>9</v>
      </c>
      <c r="H1438" s="1" t="s">
        <v>10</v>
      </c>
    </row>
    <row r="1439" spans="1:8" x14ac:dyDescent="0.3">
      <c r="A1439" s="1">
        <v>718</v>
      </c>
      <c r="B1439" s="1" t="s">
        <v>1687</v>
      </c>
      <c r="C1439" s="1" t="s">
        <v>1909</v>
      </c>
      <c r="D1439" s="1" t="s">
        <v>1910</v>
      </c>
      <c r="E1439" s="1">
        <v>290.07</v>
      </c>
      <c r="F1439" s="1" t="s">
        <v>8</v>
      </c>
      <c r="G1439" s="1" t="s">
        <v>9</v>
      </c>
      <c r="H1439" s="1" t="s">
        <v>10</v>
      </c>
    </row>
    <row r="1440" spans="1:8" x14ac:dyDescent="0.3">
      <c r="A1440" s="1">
        <v>718</v>
      </c>
      <c r="B1440" s="1" t="s">
        <v>1687</v>
      </c>
      <c r="C1440" s="1" t="s">
        <v>1911</v>
      </c>
      <c r="D1440" s="1" t="s">
        <v>1912</v>
      </c>
      <c r="E1440" s="1">
        <v>447.39</v>
      </c>
      <c r="F1440" s="1" t="s">
        <v>8</v>
      </c>
      <c r="G1440" s="1" t="s">
        <v>9</v>
      </c>
      <c r="H1440" s="1" t="s">
        <v>10</v>
      </c>
    </row>
    <row r="1441" spans="1:8" x14ac:dyDescent="0.3">
      <c r="A1441" s="1">
        <v>718</v>
      </c>
      <c r="B1441" s="1" t="s">
        <v>1687</v>
      </c>
      <c r="C1441" s="1" t="s">
        <v>1913</v>
      </c>
      <c r="D1441" s="1" t="s">
        <v>1914</v>
      </c>
      <c r="E1441" s="1">
        <v>1396.46</v>
      </c>
      <c r="F1441" s="1" t="s">
        <v>8</v>
      </c>
      <c r="G1441" s="1" t="s">
        <v>9</v>
      </c>
      <c r="H1441" s="1" t="s">
        <v>10</v>
      </c>
    </row>
    <row r="1442" spans="1:8" x14ac:dyDescent="0.3">
      <c r="A1442" s="1">
        <v>718</v>
      </c>
      <c r="B1442" s="1" t="s">
        <v>1687</v>
      </c>
      <c r="C1442" s="1" t="s">
        <v>1915</v>
      </c>
      <c r="D1442" s="1" t="s">
        <v>1916</v>
      </c>
      <c r="E1442" s="1">
        <v>442.56</v>
      </c>
      <c r="F1442" s="1" t="s">
        <v>8</v>
      </c>
      <c r="G1442" s="1" t="s">
        <v>9</v>
      </c>
      <c r="H1442" s="1" t="s">
        <v>10</v>
      </c>
    </row>
    <row r="1443" spans="1:8" x14ac:dyDescent="0.3">
      <c r="A1443" s="1">
        <v>718</v>
      </c>
      <c r="B1443" s="1" t="s">
        <v>1687</v>
      </c>
      <c r="C1443" s="1" t="s">
        <v>1917</v>
      </c>
      <c r="D1443" s="1" t="s">
        <v>1918</v>
      </c>
      <c r="E1443" s="1">
        <v>5581.33</v>
      </c>
      <c r="F1443" s="1" t="s">
        <v>8</v>
      </c>
      <c r="G1443" s="1" t="s">
        <v>9</v>
      </c>
      <c r="H1443" s="1" t="s">
        <v>10</v>
      </c>
    </row>
    <row r="1444" spans="1:8" x14ac:dyDescent="0.3">
      <c r="A1444" s="1">
        <v>718</v>
      </c>
      <c r="B1444" s="1" t="s">
        <v>1687</v>
      </c>
      <c r="C1444" s="1" t="s">
        <v>1919</v>
      </c>
      <c r="D1444" s="1" t="s">
        <v>1920</v>
      </c>
      <c r="E1444" s="1">
        <v>20610.28</v>
      </c>
      <c r="F1444" s="1" t="s">
        <v>8</v>
      </c>
      <c r="G1444" s="1" t="s">
        <v>9</v>
      </c>
      <c r="H1444" s="1" t="s">
        <v>10</v>
      </c>
    </row>
    <row r="1445" spans="1:8" x14ac:dyDescent="0.3">
      <c r="A1445" s="1">
        <v>718</v>
      </c>
      <c r="B1445" s="1" t="s">
        <v>1687</v>
      </c>
      <c r="C1445" s="1" t="s">
        <v>1921</v>
      </c>
      <c r="D1445" s="1" t="s">
        <v>1922</v>
      </c>
      <c r="E1445" s="1">
        <v>1110</v>
      </c>
      <c r="F1445" s="1" t="s">
        <v>8</v>
      </c>
      <c r="G1445" s="1" t="s">
        <v>9</v>
      </c>
      <c r="H1445" s="1" t="s">
        <v>10</v>
      </c>
    </row>
    <row r="1446" spans="1:8" x14ac:dyDescent="0.3">
      <c r="A1446" s="1">
        <v>718</v>
      </c>
      <c r="B1446" s="1" t="s">
        <v>1687</v>
      </c>
      <c r="C1446" s="1" t="s">
        <v>1923</v>
      </c>
      <c r="D1446" s="1" t="s">
        <v>1924</v>
      </c>
      <c r="E1446" s="1">
        <v>2394</v>
      </c>
      <c r="F1446" s="1" t="s">
        <v>8</v>
      </c>
      <c r="G1446" s="1" t="s">
        <v>9</v>
      </c>
      <c r="H1446" s="1" t="s">
        <v>10</v>
      </c>
    </row>
    <row r="1447" spans="1:8" x14ac:dyDescent="0.3">
      <c r="A1447" s="1">
        <v>718</v>
      </c>
      <c r="B1447" s="1" t="s">
        <v>1687</v>
      </c>
      <c r="C1447" s="1" t="s">
        <v>1925</v>
      </c>
      <c r="D1447" s="1" t="s">
        <v>1926</v>
      </c>
      <c r="E1447" s="1">
        <v>5963.37</v>
      </c>
      <c r="F1447" s="1" t="s">
        <v>8</v>
      </c>
      <c r="G1447" s="1" t="s">
        <v>9</v>
      </c>
      <c r="H1447" s="1" t="s">
        <v>10</v>
      </c>
    </row>
    <row r="1448" spans="1:8" x14ac:dyDescent="0.3">
      <c r="A1448" s="1">
        <v>718</v>
      </c>
      <c r="B1448" s="1" t="s">
        <v>1687</v>
      </c>
      <c r="C1448" s="1" t="s">
        <v>1927</v>
      </c>
      <c r="D1448" s="1" t="s">
        <v>1928</v>
      </c>
      <c r="E1448" s="1">
        <v>100</v>
      </c>
      <c r="F1448" s="1" t="s">
        <v>8</v>
      </c>
      <c r="G1448" s="1" t="s">
        <v>9</v>
      </c>
      <c r="H1448" s="1" t="s">
        <v>10</v>
      </c>
    </row>
    <row r="1449" spans="1:8" x14ac:dyDescent="0.3">
      <c r="A1449" s="1">
        <v>718</v>
      </c>
      <c r="B1449" s="1" t="s">
        <v>1687</v>
      </c>
      <c r="C1449" s="1" t="s">
        <v>1931</v>
      </c>
      <c r="D1449" s="1" t="s">
        <v>1932</v>
      </c>
      <c r="E1449" s="1">
        <v>669</v>
      </c>
      <c r="F1449" s="1" t="s">
        <v>8</v>
      </c>
      <c r="G1449" s="1" t="s">
        <v>9</v>
      </c>
      <c r="H1449" s="1" t="s">
        <v>10</v>
      </c>
    </row>
    <row r="1450" spans="1:8" x14ac:dyDescent="0.3">
      <c r="A1450" s="1">
        <v>718</v>
      </c>
      <c r="B1450" s="1" t="s">
        <v>1687</v>
      </c>
      <c r="C1450" s="1" t="s">
        <v>1929</v>
      </c>
      <c r="D1450" s="1" t="s">
        <v>1930</v>
      </c>
      <c r="E1450" s="1">
        <v>2062.1999999999998</v>
      </c>
      <c r="F1450" s="1" t="s">
        <v>8</v>
      </c>
      <c r="G1450" s="1" t="s">
        <v>9</v>
      </c>
      <c r="H1450" s="1" t="s">
        <v>10</v>
      </c>
    </row>
    <row r="1451" spans="1:8" x14ac:dyDescent="0.3">
      <c r="A1451" s="1">
        <v>718</v>
      </c>
      <c r="B1451" s="1" t="s">
        <v>1687</v>
      </c>
      <c r="C1451" s="1" t="s">
        <v>1933</v>
      </c>
      <c r="D1451" s="1" t="s">
        <v>1934</v>
      </c>
      <c r="E1451" s="1">
        <v>886.75</v>
      </c>
      <c r="F1451" s="1" t="s">
        <v>8</v>
      </c>
      <c r="G1451" s="1" t="s">
        <v>9</v>
      </c>
      <c r="H1451" s="1" t="s">
        <v>10</v>
      </c>
    </row>
    <row r="1452" spans="1:8" x14ac:dyDescent="0.3">
      <c r="A1452" s="1">
        <v>718</v>
      </c>
      <c r="B1452" s="1" t="s">
        <v>1687</v>
      </c>
      <c r="C1452" s="1" t="s">
        <v>1935</v>
      </c>
      <c r="D1452" s="1" t="s">
        <v>1936</v>
      </c>
      <c r="E1452" s="1">
        <v>109</v>
      </c>
      <c r="F1452" s="1" t="s">
        <v>8</v>
      </c>
      <c r="G1452" s="1" t="s">
        <v>9</v>
      </c>
      <c r="H1452" s="1" t="s">
        <v>10</v>
      </c>
    </row>
    <row r="1453" spans="1:8" x14ac:dyDescent="0.3">
      <c r="A1453" s="1">
        <v>718</v>
      </c>
      <c r="B1453" s="1" t="s">
        <v>1687</v>
      </c>
      <c r="C1453" s="1" t="s">
        <v>1937</v>
      </c>
      <c r="D1453" s="1" t="s">
        <v>1938</v>
      </c>
      <c r="E1453" s="1">
        <v>15</v>
      </c>
      <c r="F1453" s="1" t="s">
        <v>8</v>
      </c>
      <c r="G1453" s="1" t="s">
        <v>9</v>
      </c>
      <c r="H1453" s="1" t="s">
        <v>10</v>
      </c>
    </row>
    <row r="1454" spans="1:8" x14ac:dyDescent="0.3">
      <c r="A1454" s="1">
        <v>718</v>
      </c>
      <c r="B1454" s="1" t="s">
        <v>1687</v>
      </c>
      <c r="C1454" s="1" t="s">
        <v>1939</v>
      </c>
      <c r="D1454" s="1" t="s">
        <v>1940</v>
      </c>
      <c r="E1454" s="1">
        <v>67</v>
      </c>
      <c r="F1454" s="1" t="s">
        <v>8</v>
      </c>
      <c r="G1454" s="1" t="s">
        <v>9</v>
      </c>
      <c r="H1454" s="1" t="s">
        <v>10</v>
      </c>
    </row>
    <row r="1455" spans="1:8" x14ac:dyDescent="0.3">
      <c r="A1455" s="1">
        <v>718</v>
      </c>
      <c r="B1455" s="1" t="s">
        <v>1687</v>
      </c>
      <c r="C1455" s="1" t="s">
        <v>1941</v>
      </c>
      <c r="D1455" s="1" t="s">
        <v>1942</v>
      </c>
      <c r="E1455" s="1">
        <v>2600</v>
      </c>
      <c r="F1455" s="1" t="s">
        <v>8</v>
      </c>
      <c r="G1455" s="1" t="s">
        <v>9</v>
      </c>
      <c r="H1455" s="1" t="s">
        <v>10</v>
      </c>
    </row>
    <row r="1456" spans="1:8" x14ac:dyDescent="0.3">
      <c r="A1456" s="1">
        <v>718</v>
      </c>
      <c r="B1456" s="1" t="s">
        <v>1687</v>
      </c>
      <c r="C1456" s="1" t="s">
        <v>1943</v>
      </c>
      <c r="D1456" s="1" t="s">
        <v>1944</v>
      </c>
      <c r="E1456" s="1">
        <v>4260</v>
      </c>
      <c r="F1456" s="1" t="s">
        <v>8</v>
      </c>
      <c r="G1456" s="1" t="s">
        <v>9</v>
      </c>
      <c r="H1456" s="1" t="s">
        <v>10</v>
      </c>
    </row>
    <row r="1457" spans="1:8" x14ac:dyDescent="0.3">
      <c r="A1457" s="1">
        <v>718</v>
      </c>
      <c r="B1457" s="1" t="s">
        <v>1687</v>
      </c>
      <c r="C1457" s="1" t="s">
        <v>1945</v>
      </c>
      <c r="D1457" s="1" t="s">
        <v>1946</v>
      </c>
      <c r="E1457" s="1">
        <v>335.16</v>
      </c>
      <c r="F1457" s="1" t="s">
        <v>8</v>
      </c>
      <c r="G1457" s="1" t="s">
        <v>9</v>
      </c>
      <c r="H1457" s="1" t="s">
        <v>10</v>
      </c>
    </row>
    <row r="1458" spans="1:8" x14ac:dyDescent="0.3">
      <c r="A1458" s="1">
        <v>718</v>
      </c>
      <c r="B1458" s="1" t="s">
        <v>1687</v>
      </c>
      <c r="C1458" s="1" t="s">
        <v>1947</v>
      </c>
      <c r="D1458" s="1" t="s">
        <v>1948</v>
      </c>
      <c r="E1458" s="1">
        <v>308.39999999999998</v>
      </c>
      <c r="F1458" s="1" t="s">
        <v>8</v>
      </c>
      <c r="G1458" s="1" t="s">
        <v>9</v>
      </c>
      <c r="H1458" s="1" t="s">
        <v>10</v>
      </c>
    </row>
    <row r="1459" spans="1:8" x14ac:dyDescent="0.3">
      <c r="A1459" s="1">
        <v>718</v>
      </c>
      <c r="B1459" s="1" t="s">
        <v>1687</v>
      </c>
      <c r="C1459" s="1" t="s">
        <v>1949</v>
      </c>
      <c r="D1459" s="1" t="s">
        <v>1950</v>
      </c>
      <c r="E1459" s="1">
        <v>27146.66</v>
      </c>
      <c r="F1459" s="1" t="s">
        <v>8</v>
      </c>
      <c r="G1459" s="1" t="s">
        <v>13</v>
      </c>
      <c r="H1459" s="1" t="s">
        <v>10</v>
      </c>
    </row>
    <row r="1460" spans="1:8" x14ac:dyDescent="0.3">
      <c r="A1460" s="1">
        <v>718</v>
      </c>
      <c r="B1460" s="1" t="s">
        <v>1687</v>
      </c>
      <c r="C1460" s="1" t="s">
        <v>1951</v>
      </c>
      <c r="D1460" s="1" t="s">
        <v>1952</v>
      </c>
      <c r="E1460" s="1">
        <v>292</v>
      </c>
      <c r="F1460" s="1" t="s">
        <v>8</v>
      </c>
      <c r="G1460" s="1" t="s">
        <v>9</v>
      </c>
      <c r="H1460" s="1" t="s">
        <v>10</v>
      </c>
    </row>
    <row r="1461" spans="1:8" x14ac:dyDescent="0.3">
      <c r="A1461" s="1">
        <v>718</v>
      </c>
      <c r="B1461" s="1" t="s">
        <v>1687</v>
      </c>
      <c r="C1461" s="1" t="s">
        <v>1953</v>
      </c>
      <c r="D1461" s="1" t="s">
        <v>1954</v>
      </c>
      <c r="E1461" s="1">
        <v>299.8</v>
      </c>
      <c r="F1461" s="1" t="s">
        <v>8</v>
      </c>
      <c r="G1461" s="1" t="s">
        <v>9</v>
      </c>
      <c r="H1461" s="1" t="s">
        <v>10</v>
      </c>
    </row>
    <row r="1462" spans="1:8" x14ac:dyDescent="0.3">
      <c r="A1462" s="1">
        <v>718</v>
      </c>
      <c r="B1462" s="1" t="s">
        <v>1687</v>
      </c>
      <c r="C1462" s="1" t="s">
        <v>1955</v>
      </c>
      <c r="D1462" s="1" t="s">
        <v>1956</v>
      </c>
      <c r="E1462" s="1">
        <v>5439.2</v>
      </c>
      <c r="F1462" s="1" t="s">
        <v>8</v>
      </c>
      <c r="G1462" s="1" t="s">
        <v>9</v>
      </c>
      <c r="H1462" s="1" t="s">
        <v>10</v>
      </c>
    </row>
    <row r="1463" spans="1:8" x14ac:dyDescent="0.3">
      <c r="A1463" s="1">
        <v>718</v>
      </c>
      <c r="B1463" s="1" t="s">
        <v>1687</v>
      </c>
      <c r="C1463" s="1" t="s">
        <v>1957</v>
      </c>
      <c r="D1463" s="1" t="s">
        <v>1958</v>
      </c>
      <c r="E1463" s="1">
        <v>50</v>
      </c>
      <c r="F1463" s="1" t="s">
        <v>8</v>
      </c>
      <c r="G1463" s="1" t="s">
        <v>9</v>
      </c>
      <c r="H1463" s="1" t="s">
        <v>10</v>
      </c>
    </row>
    <row r="1464" spans="1:8" x14ac:dyDescent="0.3">
      <c r="A1464" s="1">
        <v>718</v>
      </c>
      <c r="B1464" s="1" t="s">
        <v>1687</v>
      </c>
      <c r="C1464" s="1" t="s">
        <v>1959</v>
      </c>
      <c r="D1464" s="1" t="s">
        <v>1960</v>
      </c>
      <c r="E1464" s="1">
        <v>1768.22</v>
      </c>
      <c r="F1464" s="1" t="s">
        <v>8</v>
      </c>
      <c r="G1464" s="1" t="s">
        <v>9</v>
      </c>
      <c r="H1464" s="1" t="s">
        <v>10</v>
      </c>
    </row>
    <row r="1465" spans="1:8" x14ac:dyDescent="0.3">
      <c r="A1465" s="1">
        <v>718</v>
      </c>
      <c r="B1465" s="1" t="s">
        <v>1687</v>
      </c>
      <c r="C1465" s="1" t="s">
        <v>1961</v>
      </c>
      <c r="D1465" s="1" t="s">
        <v>1962</v>
      </c>
      <c r="E1465" s="1">
        <v>480.05</v>
      </c>
      <c r="F1465" s="1" t="s">
        <v>8</v>
      </c>
      <c r="G1465" s="1" t="s">
        <v>9</v>
      </c>
      <c r="H1465" s="1" t="s">
        <v>10</v>
      </c>
    </row>
    <row r="1466" spans="1:8" x14ac:dyDescent="0.3">
      <c r="A1466" s="1">
        <v>718</v>
      </c>
      <c r="B1466" s="1" t="s">
        <v>1687</v>
      </c>
      <c r="C1466" s="1" t="s">
        <v>1963</v>
      </c>
      <c r="D1466" s="1" t="s">
        <v>1964</v>
      </c>
      <c r="E1466" s="1">
        <v>2012.01</v>
      </c>
      <c r="F1466" s="1" t="s">
        <v>8</v>
      </c>
      <c r="G1466" s="1" t="s">
        <v>9</v>
      </c>
      <c r="H1466" s="1" t="s">
        <v>10</v>
      </c>
    </row>
    <row r="1467" spans="1:8" x14ac:dyDescent="0.3">
      <c r="A1467" s="1">
        <v>718</v>
      </c>
      <c r="B1467" s="1" t="s">
        <v>1687</v>
      </c>
      <c r="C1467" s="1" t="s">
        <v>1965</v>
      </c>
      <c r="D1467" s="1" t="s">
        <v>1966</v>
      </c>
      <c r="E1467" s="1">
        <v>405</v>
      </c>
      <c r="F1467" s="1" t="s">
        <v>8</v>
      </c>
      <c r="G1467" s="1" t="s">
        <v>9</v>
      </c>
      <c r="H1467" s="1" t="s">
        <v>10</v>
      </c>
    </row>
    <row r="1468" spans="1:8" x14ac:dyDescent="0.3">
      <c r="A1468" s="1">
        <v>718</v>
      </c>
      <c r="B1468" s="1" t="s">
        <v>1687</v>
      </c>
      <c r="C1468" s="1" t="s">
        <v>1967</v>
      </c>
      <c r="D1468" s="1" t="s">
        <v>1968</v>
      </c>
      <c r="E1468" s="1">
        <v>1670</v>
      </c>
      <c r="F1468" s="1" t="s">
        <v>8</v>
      </c>
      <c r="G1468" s="1" t="s">
        <v>9</v>
      </c>
      <c r="H1468" s="1" t="s">
        <v>10</v>
      </c>
    </row>
    <row r="1469" spans="1:8" x14ac:dyDescent="0.3">
      <c r="A1469" s="1">
        <v>718</v>
      </c>
      <c r="B1469" s="1" t="s">
        <v>1687</v>
      </c>
      <c r="C1469" s="1" t="s">
        <v>1969</v>
      </c>
      <c r="D1469" s="1" t="s">
        <v>1970</v>
      </c>
      <c r="E1469" s="1">
        <v>383.91</v>
      </c>
      <c r="F1469" s="1" t="s">
        <v>8</v>
      </c>
      <c r="G1469" s="1" t="s">
        <v>9</v>
      </c>
      <c r="H1469" s="1" t="s">
        <v>10</v>
      </c>
    </row>
    <row r="1470" spans="1:8" x14ac:dyDescent="0.3">
      <c r="A1470" s="1">
        <v>718</v>
      </c>
      <c r="B1470" s="1" t="s">
        <v>1687</v>
      </c>
      <c r="C1470" s="1" t="s">
        <v>1971</v>
      </c>
      <c r="D1470" s="1" t="s">
        <v>1972</v>
      </c>
      <c r="E1470" s="1">
        <v>1829.5</v>
      </c>
      <c r="F1470" s="1" t="s">
        <v>8</v>
      </c>
      <c r="G1470" s="1" t="s">
        <v>9</v>
      </c>
      <c r="H1470" s="1" t="s">
        <v>10</v>
      </c>
    </row>
    <row r="1471" spans="1:8" x14ac:dyDescent="0.3">
      <c r="A1471" s="1">
        <v>718</v>
      </c>
      <c r="B1471" s="1" t="s">
        <v>1687</v>
      </c>
      <c r="C1471" s="1" t="s">
        <v>1973</v>
      </c>
      <c r="D1471" s="1" t="s">
        <v>1974</v>
      </c>
      <c r="E1471" s="1">
        <v>50</v>
      </c>
      <c r="F1471" s="1" t="s">
        <v>8</v>
      </c>
      <c r="G1471" s="1" t="s">
        <v>9</v>
      </c>
      <c r="H1471" s="1" t="s">
        <v>10</v>
      </c>
    </row>
    <row r="1472" spans="1:8" x14ac:dyDescent="0.3">
      <c r="A1472" s="1">
        <v>718</v>
      </c>
      <c r="B1472" s="1" t="s">
        <v>1687</v>
      </c>
      <c r="C1472" s="1" t="s">
        <v>4833</v>
      </c>
      <c r="D1472" s="1" t="s">
        <v>4834</v>
      </c>
      <c r="E1472" s="1">
        <v>10</v>
      </c>
      <c r="F1472" s="1" t="s">
        <v>8</v>
      </c>
      <c r="G1472" s="1" t="s">
        <v>9</v>
      </c>
      <c r="H1472" s="1" t="s">
        <v>10</v>
      </c>
    </row>
    <row r="1473" spans="1:8" x14ac:dyDescent="0.3">
      <c r="A1473" s="1">
        <v>718</v>
      </c>
      <c r="B1473" s="1" t="s">
        <v>1687</v>
      </c>
      <c r="C1473" s="1" t="s">
        <v>4835</v>
      </c>
      <c r="D1473" s="1" t="s">
        <v>4836</v>
      </c>
      <c r="E1473" s="1">
        <v>1445</v>
      </c>
      <c r="F1473" s="1" t="s">
        <v>8</v>
      </c>
      <c r="G1473" s="1" t="s">
        <v>9</v>
      </c>
      <c r="H1473" s="1" t="s">
        <v>10</v>
      </c>
    </row>
    <row r="1474" spans="1:8" x14ac:dyDescent="0.3">
      <c r="A1474" s="1">
        <v>718</v>
      </c>
      <c r="B1474" s="1" t="s">
        <v>1687</v>
      </c>
      <c r="C1474" s="1" t="s">
        <v>4837</v>
      </c>
      <c r="D1474" s="1" t="s">
        <v>4838</v>
      </c>
      <c r="E1474" s="1">
        <v>65.319999999999993</v>
      </c>
      <c r="F1474" s="1" t="s">
        <v>8</v>
      </c>
      <c r="G1474" s="1" t="s">
        <v>9</v>
      </c>
      <c r="H1474" s="1" t="s">
        <v>10</v>
      </c>
    </row>
    <row r="1475" spans="1:8" x14ac:dyDescent="0.3">
      <c r="A1475" s="1">
        <v>718</v>
      </c>
      <c r="B1475" s="1" t="s">
        <v>1687</v>
      </c>
      <c r="C1475" s="1" t="s">
        <v>4839</v>
      </c>
      <c r="D1475" s="1" t="s">
        <v>4840</v>
      </c>
      <c r="E1475" s="1">
        <v>7112.9</v>
      </c>
      <c r="F1475" s="1" t="s">
        <v>8</v>
      </c>
      <c r="G1475" s="1" t="s">
        <v>9</v>
      </c>
      <c r="H1475" s="1" t="s">
        <v>10</v>
      </c>
    </row>
    <row r="1476" spans="1:8" x14ac:dyDescent="0.3">
      <c r="A1476" s="1">
        <v>718</v>
      </c>
      <c r="B1476" s="1" t="s">
        <v>1687</v>
      </c>
      <c r="C1476" s="1" t="s">
        <v>4841</v>
      </c>
      <c r="D1476" s="1" t="s">
        <v>4842</v>
      </c>
      <c r="E1476" s="1">
        <v>18249.400000000001</v>
      </c>
      <c r="F1476" s="1" t="s">
        <v>8</v>
      </c>
      <c r="G1476" s="1" t="s">
        <v>9</v>
      </c>
      <c r="H1476" s="1" t="s">
        <v>10</v>
      </c>
    </row>
    <row r="1477" spans="1:8" x14ac:dyDescent="0.3">
      <c r="A1477" s="1">
        <v>718</v>
      </c>
      <c r="B1477" s="1" t="s">
        <v>1687</v>
      </c>
      <c r="C1477" s="1" t="s">
        <v>4843</v>
      </c>
      <c r="D1477" s="1" t="s">
        <v>4844</v>
      </c>
      <c r="E1477" s="1">
        <v>67909.59</v>
      </c>
      <c r="F1477" s="1" t="s">
        <v>8</v>
      </c>
      <c r="G1477" s="1" t="s">
        <v>9</v>
      </c>
      <c r="H1477" s="1" t="s">
        <v>10</v>
      </c>
    </row>
    <row r="1478" spans="1:8" x14ac:dyDescent="0.3">
      <c r="A1478" s="1">
        <v>718</v>
      </c>
      <c r="B1478" s="1" t="s">
        <v>1687</v>
      </c>
      <c r="C1478" s="1" t="s">
        <v>4845</v>
      </c>
      <c r="D1478" s="1" t="s">
        <v>4846</v>
      </c>
      <c r="E1478" s="1">
        <v>14804.29</v>
      </c>
      <c r="F1478" s="1" t="s">
        <v>8</v>
      </c>
      <c r="G1478" s="1" t="s">
        <v>9</v>
      </c>
      <c r="H1478" s="1" t="s">
        <v>10</v>
      </c>
    </row>
    <row r="1479" spans="1:8" x14ac:dyDescent="0.3">
      <c r="A1479" s="1">
        <v>718</v>
      </c>
      <c r="B1479" s="1" t="s">
        <v>1687</v>
      </c>
      <c r="C1479" s="1" t="s">
        <v>4847</v>
      </c>
      <c r="D1479" s="1" t="s">
        <v>4848</v>
      </c>
      <c r="E1479" s="1">
        <v>4853.1499999999996</v>
      </c>
      <c r="F1479" s="1" t="s">
        <v>8</v>
      </c>
      <c r="G1479" s="1" t="s">
        <v>9</v>
      </c>
      <c r="H1479" s="1" t="s">
        <v>10</v>
      </c>
    </row>
    <row r="1480" spans="1:8" x14ac:dyDescent="0.3">
      <c r="A1480" s="1">
        <v>718</v>
      </c>
      <c r="B1480" s="1" t="s">
        <v>1687</v>
      </c>
      <c r="C1480" s="1" t="s">
        <v>4849</v>
      </c>
      <c r="D1480" s="1" t="s">
        <v>4850</v>
      </c>
      <c r="E1480" s="1">
        <v>1413.13</v>
      </c>
      <c r="F1480" s="1" t="s">
        <v>8</v>
      </c>
      <c r="G1480" s="1" t="s">
        <v>9</v>
      </c>
      <c r="H1480" s="1" t="s">
        <v>10</v>
      </c>
    </row>
    <row r="1481" spans="1:8" x14ac:dyDescent="0.3">
      <c r="A1481" s="1">
        <v>718</v>
      </c>
      <c r="B1481" s="1" t="s">
        <v>1687</v>
      </c>
      <c r="C1481" s="1" t="s">
        <v>4851</v>
      </c>
      <c r="D1481" s="1" t="s">
        <v>4852</v>
      </c>
      <c r="E1481" s="1">
        <v>40</v>
      </c>
      <c r="F1481" s="1" t="s">
        <v>8</v>
      </c>
      <c r="G1481" s="1" t="s">
        <v>9</v>
      </c>
      <c r="H1481" s="1" t="s">
        <v>10</v>
      </c>
    </row>
    <row r="1482" spans="1:8" x14ac:dyDescent="0.3">
      <c r="A1482" s="1">
        <v>718</v>
      </c>
      <c r="B1482" s="1" t="s">
        <v>1687</v>
      </c>
      <c r="C1482" s="1" t="s">
        <v>4853</v>
      </c>
      <c r="D1482" s="1" t="s">
        <v>4854</v>
      </c>
      <c r="E1482" s="1">
        <v>1972.81</v>
      </c>
      <c r="F1482" s="1" t="s">
        <v>8</v>
      </c>
      <c r="G1482" s="1" t="s">
        <v>9</v>
      </c>
      <c r="H1482" s="1" t="s">
        <v>10</v>
      </c>
    </row>
    <row r="1483" spans="1:8" x14ac:dyDescent="0.3">
      <c r="A1483" s="1">
        <v>718</v>
      </c>
      <c r="B1483" s="1" t="s">
        <v>1687</v>
      </c>
      <c r="C1483" s="1" t="s">
        <v>4855</v>
      </c>
      <c r="D1483" s="1" t="s">
        <v>4856</v>
      </c>
      <c r="E1483" s="1">
        <v>9897</v>
      </c>
      <c r="F1483" s="1" t="s">
        <v>8</v>
      </c>
      <c r="G1483" s="1" t="s">
        <v>9</v>
      </c>
      <c r="H1483" s="1" t="s">
        <v>10</v>
      </c>
    </row>
    <row r="1484" spans="1:8" x14ac:dyDescent="0.3">
      <c r="A1484" s="1">
        <v>718</v>
      </c>
      <c r="B1484" s="1" t="s">
        <v>1687</v>
      </c>
      <c r="C1484" s="1" t="s">
        <v>4857</v>
      </c>
      <c r="D1484" s="1" t="s">
        <v>4858</v>
      </c>
      <c r="E1484" s="1">
        <v>10826.89</v>
      </c>
      <c r="F1484" s="1" t="s">
        <v>8</v>
      </c>
      <c r="G1484" s="1" t="s">
        <v>9</v>
      </c>
      <c r="H1484" s="1" t="s">
        <v>10</v>
      </c>
    </row>
    <row r="1485" spans="1:8" x14ac:dyDescent="0.3">
      <c r="A1485" s="1">
        <v>718</v>
      </c>
      <c r="B1485" s="1" t="s">
        <v>1687</v>
      </c>
      <c r="C1485" s="1" t="s">
        <v>4859</v>
      </c>
      <c r="D1485" s="1" t="s">
        <v>4860</v>
      </c>
      <c r="E1485" s="1">
        <v>1579.08</v>
      </c>
      <c r="F1485" s="1" t="s">
        <v>8</v>
      </c>
      <c r="G1485" s="1" t="s">
        <v>9</v>
      </c>
      <c r="H1485" s="1" t="s">
        <v>10</v>
      </c>
    </row>
    <row r="1486" spans="1:8" x14ac:dyDescent="0.3">
      <c r="A1486" s="1">
        <v>718</v>
      </c>
      <c r="B1486" s="1" t="s">
        <v>1687</v>
      </c>
      <c r="C1486" s="1" t="s">
        <v>4861</v>
      </c>
      <c r="D1486" s="1" t="s">
        <v>4862</v>
      </c>
      <c r="E1486" s="1">
        <v>496.98</v>
      </c>
      <c r="F1486" s="1" t="s">
        <v>8</v>
      </c>
      <c r="G1486" s="1" t="s">
        <v>9</v>
      </c>
      <c r="H1486" s="1" t="s">
        <v>10</v>
      </c>
    </row>
    <row r="1487" spans="1:8" x14ac:dyDescent="0.3">
      <c r="A1487" s="1">
        <v>718</v>
      </c>
      <c r="B1487" s="1" t="s">
        <v>1687</v>
      </c>
      <c r="C1487" s="1" t="s">
        <v>4863</v>
      </c>
      <c r="D1487" s="1" t="s">
        <v>4864</v>
      </c>
      <c r="E1487" s="1">
        <v>855.5</v>
      </c>
      <c r="F1487" s="1" t="s">
        <v>8</v>
      </c>
      <c r="G1487" s="1" t="s">
        <v>9</v>
      </c>
      <c r="H1487" s="1" t="s">
        <v>10</v>
      </c>
    </row>
    <row r="1488" spans="1:8" x14ac:dyDescent="0.3">
      <c r="A1488" s="1">
        <v>718</v>
      </c>
      <c r="B1488" s="1" t="s">
        <v>1687</v>
      </c>
      <c r="C1488" s="1" t="s">
        <v>4865</v>
      </c>
      <c r="D1488" s="1" t="s">
        <v>4866</v>
      </c>
      <c r="E1488" s="1">
        <v>22139.360000000001</v>
      </c>
      <c r="F1488" s="1" t="s">
        <v>8</v>
      </c>
      <c r="G1488" s="1" t="s">
        <v>9</v>
      </c>
      <c r="H1488" s="1" t="s">
        <v>10</v>
      </c>
    </row>
    <row r="1489" spans="1:8" x14ac:dyDescent="0.3">
      <c r="A1489" s="1">
        <v>718</v>
      </c>
      <c r="B1489" s="1" t="s">
        <v>1687</v>
      </c>
      <c r="C1489" s="1" t="s">
        <v>4867</v>
      </c>
      <c r="D1489" s="1" t="s">
        <v>4868</v>
      </c>
      <c r="E1489" s="1">
        <v>4780.95</v>
      </c>
      <c r="F1489" s="1" t="s">
        <v>8</v>
      </c>
      <c r="G1489" s="1" t="s">
        <v>9</v>
      </c>
      <c r="H1489" s="1" t="s">
        <v>10</v>
      </c>
    </row>
    <row r="1490" spans="1:8" x14ac:dyDescent="0.3">
      <c r="A1490" s="1">
        <v>718</v>
      </c>
      <c r="B1490" s="1" t="s">
        <v>1687</v>
      </c>
      <c r="C1490" s="1" t="s">
        <v>4869</v>
      </c>
      <c r="D1490" s="1" t="s">
        <v>4870</v>
      </c>
      <c r="E1490" s="1">
        <v>600.79999999999995</v>
      </c>
      <c r="F1490" s="1" t="s">
        <v>8</v>
      </c>
      <c r="G1490" s="1" t="s">
        <v>9</v>
      </c>
      <c r="H1490" s="1" t="s">
        <v>10</v>
      </c>
    </row>
    <row r="1491" spans="1:8" x14ac:dyDescent="0.3">
      <c r="A1491" s="1">
        <v>718</v>
      </c>
      <c r="B1491" s="1" t="s">
        <v>1687</v>
      </c>
      <c r="C1491" s="1" t="s">
        <v>4871</v>
      </c>
      <c r="D1491" s="1" t="s">
        <v>4872</v>
      </c>
      <c r="E1491" s="1">
        <v>1619</v>
      </c>
      <c r="F1491" s="1" t="s">
        <v>8</v>
      </c>
      <c r="G1491" s="1" t="s">
        <v>9</v>
      </c>
      <c r="H1491" s="1" t="s">
        <v>10</v>
      </c>
    </row>
    <row r="1492" spans="1:8" x14ac:dyDescent="0.3">
      <c r="A1492" s="1">
        <v>718</v>
      </c>
      <c r="B1492" s="1" t="s">
        <v>1687</v>
      </c>
      <c r="C1492" s="1" t="s">
        <v>4873</v>
      </c>
      <c r="D1492" s="1" t="s">
        <v>4874</v>
      </c>
      <c r="E1492" s="1">
        <v>13514.2</v>
      </c>
      <c r="F1492" s="1" t="s">
        <v>8</v>
      </c>
      <c r="G1492" s="1" t="s">
        <v>9</v>
      </c>
      <c r="H1492" s="1" t="s">
        <v>10</v>
      </c>
    </row>
    <row r="1493" spans="1:8" x14ac:dyDescent="0.3">
      <c r="A1493" s="1">
        <v>718</v>
      </c>
      <c r="B1493" s="1" t="s">
        <v>1687</v>
      </c>
      <c r="C1493" s="1" t="s">
        <v>4875</v>
      </c>
      <c r="D1493" s="1" t="s">
        <v>4876</v>
      </c>
      <c r="E1493" s="1">
        <v>50</v>
      </c>
      <c r="F1493" s="1" t="s">
        <v>8</v>
      </c>
      <c r="G1493" s="1" t="s">
        <v>9</v>
      </c>
      <c r="H1493" s="1" t="s">
        <v>10</v>
      </c>
    </row>
    <row r="1494" spans="1:8" x14ac:dyDescent="0.3">
      <c r="A1494" s="1">
        <v>718</v>
      </c>
      <c r="B1494" s="1" t="s">
        <v>1687</v>
      </c>
      <c r="C1494" s="1" t="s">
        <v>4877</v>
      </c>
      <c r="D1494" s="1" t="s">
        <v>4878</v>
      </c>
      <c r="E1494" s="1">
        <v>2848.55</v>
      </c>
      <c r="F1494" s="1" t="s">
        <v>8</v>
      </c>
      <c r="G1494" s="1" t="s">
        <v>9</v>
      </c>
      <c r="H1494" s="1" t="s">
        <v>10</v>
      </c>
    </row>
    <row r="1495" spans="1:8" x14ac:dyDescent="0.3">
      <c r="A1495" s="1">
        <v>718</v>
      </c>
      <c r="B1495" s="1" t="s">
        <v>1687</v>
      </c>
      <c r="C1495" s="1" t="s">
        <v>4879</v>
      </c>
      <c r="D1495" s="1" t="s">
        <v>4880</v>
      </c>
      <c r="E1495" s="1">
        <v>257.27999999999997</v>
      </c>
      <c r="F1495" s="1" t="s">
        <v>8</v>
      </c>
      <c r="G1495" s="1" t="s">
        <v>9</v>
      </c>
      <c r="H1495" s="1" t="s">
        <v>10</v>
      </c>
    </row>
    <row r="1496" spans="1:8" x14ac:dyDescent="0.3">
      <c r="A1496" s="1">
        <v>718</v>
      </c>
      <c r="B1496" s="1" t="s">
        <v>1687</v>
      </c>
      <c r="C1496" s="1" t="s">
        <v>4881</v>
      </c>
      <c r="D1496" s="1" t="s">
        <v>4882</v>
      </c>
      <c r="E1496" s="1">
        <v>514.79999999999995</v>
      </c>
      <c r="F1496" s="1" t="s">
        <v>8</v>
      </c>
      <c r="G1496" s="1" t="s">
        <v>9</v>
      </c>
      <c r="H1496" s="1" t="s">
        <v>10</v>
      </c>
    </row>
    <row r="1497" spans="1:8" x14ac:dyDescent="0.3">
      <c r="A1497" s="1">
        <v>718</v>
      </c>
      <c r="B1497" s="1" t="s">
        <v>1687</v>
      </c>
      <c r="C1497" s="1" t="s">
        <v>4883</v>
      </c>
      <c r="D1497" s="1" t="s">
        <v>4884</v>
      </c>
      <c r="E1497" s="1">
        <v>10222.469999999999</v>
      </c>
      <c r="F1497" s="1" t="s">
        <v>8</v>
      </c>
      <c r="G1497" s="1" t="s">
        <v>9</v>
      </c>
      <c r="H1497" s="1" t="s">
        <v>10</v>
      </c>
    </row>
    <row r="1498" spans="1:8" x14ac:dyDescent="0.3">
      <c r="A1498" s="1">
        <v>718</v>
      </c>
      <c r="B1498" s="1" t="s">
        <v>1687</v>
      </c>
      <c r="C1498" s="1" t="s">
        <v>4885</v>
      </c>
      <c r="D1498" s="1" t="s">
        <v>4886</v>
      </c>
      <c r="E1498" s="1">
        <v>980</v>
      </c>
      <c r="F1498" s="1" t="s">
        <v>8</v>
      </c>
      <c r="G1498" s="1" t="s">
        <v>9</v>
      </c>
      <c r="H1498" s="1" t="s">
        <v>10</v>
      </c>
    </row>
    <row r="1499" spans="1:8" x14ac:dyDescent="0.3">
      <c r="A1499" s="1">
        <v>718</v>
      </c>
      <c r="B1499" s="1" t="s">
        <v>1687</v>
      </c>
      <c r="C1499" s="1" t="s">
        <v>4887</v>
      </c>
      <c r="D1499" s="1" t="s">
        <v>4888</v>
      </c>
      <c r="E1499" s="1">
        <v>850</v>
      </c>
      <c r="F1499" s="1" t="s">
        <v>8</v>
      </c>
      <c r="G1499" s="1" t="s">
        <v>9</v>
      </c>
      <c r="H1499" s="1" t="s">
        <v>10</v>
      </c>
    </row>
    <row r="1500" spans="1:8" x14ac:dyDescent="0.3">
      <c r="A1500" s="1">
        <v>718</v>
      </c>
      <c r="B1500" s="1" t="s">
        <v>1687</v>
      </c>
      <c r="C1500" s="1" t="s">
        <v>4889</v>
      </c>
      <c r="D1500" s="1" t="s">
        <v>4890</v>
      </c>
      <c r="E1500" s="1">
        <v>267.32</v>
      </c>
      <c r="F1500" s="1" t="s">
        <v>8</v>
      </c>
      <c r="G1500" s="1" t="s">
        <v>9</v>
      </c>
      <c r="H1500" s="1" t="s">
        <v>10</v>
      </c>
    </row>
    <row r="1501" spans="1:8" x14ac:dyDescent="0.3">
      <c r="A1501" s="1">
        <v>718</v>
      </c>
      <c r="B1501" s="1" t="s">
        <v>1687</v>
      </c>
      <c r="C1501" s="1" t="s">
        <v>4891</v>
      </c>
      <c r="D1501" s="1" t="s">
        <v>4892</v>
      </c>
      <c r="E1501" s="1">
        <v>107</v>
      </c>
      <c r="F1501" s="1" t="s">
        <v>8</v>
      </c>
      <c r="G1501" s="1" t="s">
        <v>9</v>
      </c>
      <c r="H1501" s="1" t="s">
        <v>10</v>
      </c>
    </row>
    <row r="1502" spans="1:8" x14ac:dyDescent="0.3">
      <c r="A1502" s="1">
        <v>718</v>
      </c>
      <c r="B1502" s="1" t="s">
        <v>1687</v>
      </c>
      <c r="C1502" s="1" t="s">
        <v>4893</v>
      </c>
      <c r="D1502" s="1" t="s">
        <v>4894</v>
      </c>
      <c r="E1502" s="1">
        <v>218</v>
      </c>
      <c r="F1502" s="1" t="s">
        <v>8</v>
      </c>
      <c r="G1502" s="1" t="s">
        <v>9</v>
      </c>
      <c r="H1502" s="1" t="s">
        <v>10</v>
      </c>
    </row>
    <row r="1503" spans="1:8" x14ac:dyDescent="0.3">
      <c r="A1503" s="1">
        <v>718</v>
      </c>
      <c r="B1503" s="1" t="s">
        <v>1687</v>
      </c>
      <c r="C1503" s="1" t="s">
        <v>4895</v>
      </c>
      <c r="D1503" s="1" t="s">
        <v>4896</v>
      </c>
      <c r="E1503" s="1">
        <v>3094</v>
      </c>
      <c r="F1503" s="1" t="s">
        <v>8</v>
      </c>
      <c r="G1503" s="1" t="s">
        <v>9</v>
      </c>
      <c r="H1503" s="1" t="s">
        <v>10</v>
      </c>
    </row>
    <row r="1504" spans="1:8" x14ac:dyDescent="0.3">
      <c r="A1504" s="1">
        <v>718</v>
      </c>
      <c r="B1504" s="1" t="s">
        <v>1687</v>
      </c>
      <c r="C1504" s="1" t="s">
        <v>4897</v>
      </c>
      <c r="D1504" s="1" t="s">
        <v>4898</v>
      </c>
      <c r="E1504" s="1">
        <v>50</v>
      </c>
      <c r="F1504" s="1" t="s">
        <v>8</v>
      </c>
      <c r="G1504" s="1" t="s">
        <v>9</v>
      </c>
      <c r="H1504" s="1" t="s">
        <v>10</v>
      </c>
    </row>
    <row r="1505" spans="1:8" x14ac:dyDescent="0.3">
      <c r="A1505" s="1">
        <v>718</v>
      </c>
      <c r="B1505" s="1" t="s">
        <v>1687</v>
      </c>
      <c r="C1505" s="1" t="s">
        <v>4899</v>
      </c>
      <c r="D1505" s="1" t="s">
        <v>4900</v>
      </c>
      <c r="E1505" s="1">
        <v>50.02</v>
      </c>
      <c r="F1505" s="1" t="s">
        <v>8</v>
      </c>
      <c r="G1505" s="1" t="s">
        <v>9</v>
      </c>
      <c r="H1505" s="1" t="s">
        <v>10</v>
      </c>
    </row>
    <row r="1506" spans="1:8" x14ac:dyDescent="0.3">
      <c r="A1506" s="1">
        <v>718</v>
      </c>
      <c r="B1506" s="1" t="s">
        <v>1687</v>
      </c>
      <c r="C1506" s="1" t="s">
        <v>4901</v>
      </c>
      <c r="D1506" s="1" t="s">
        <v>4902</v>
      </c>
      <c r="E1506" s="1">
        <v>9929.42</v>
      </c>
      <c r="F1506" s="1" t="s">
        <v>8</v>
      </c>
      <c r="G1506" s="1" t="s">
        <v>9</v>
      </c>
      <c r="H1506" s="1" t="s">
        <v>10</v>
      </c>
    </row>
    <row r="1507" spans="1:8" x14ac:dyDescent="0.3">
      <c r="A1507" s="1">
        <v>718</v>
      </c>
      <c r="B1507" s="1" t="s">
        <v>1687</v>
      </c>
      <c r="C1507" s="1" t="s">
        <v>4903</v>
      </c>
      <c r="D1507" s="1" t="s">
        <v>4904</v>
      </c>
      <c r="E1507" s="1">
        <v>81.2</v>
      </c>
      <c r="F1507" s="1" t="s">
        <v>8</v>
      </c>
      <c r="G1507" s="1" t="s">
        <v>9</v>
      </c>
      <c r="H1507" s="1" t="s">
        <v>10</v>
      </c>
    </row>
    <row r="1508" spans="1:8" x14ac:dyDescent="0.3">
      <c r="A1508" s="1">
        <v>718</v>
      </c>
      <c r="B1508" s="1" t="s">
        <v>1687</v>
      </c>
      <c r="C1508" s="1" t="s">
        <v>4905</v>
      </c>
      <c r="D1508" s="1" t="s">
        <v>4906</v>
      </c>
      <c r="E1508" s="1">
        <v>1108</v>
      </c>
      <c r="F1508" s="1" t="s">
        <v>8</v>
      </c>
      <c r="G1508" s="1" t="s">
        <v>9</v>
      </c>
      <c r="H1508" s="1" t="s">
        <v>10</v>
      </c>
    </row>
    <row r="1509" spans="1:8" x14ac:dyDescent="0.3">
      <c r="A1509" s="1">
        <v>718</v>
      </c>
      <c r="B1509" s="1" t="s">
        <v>1687</v>
      </c>
      <c r="C1509" s="1" t="s">
        <v>4907</v>
      </c>
      <c r="D1509" s="1" t="s">
        <v>4908</v>
      </c>
      <c r="E1509" s="1">
        <v>3738.71</v>
      </c>
      <c r="F1509" s="1" t="s">
        <v>8</v>
      </c>
      <c r="G1509" s="1" t="s">
        <v>9</v>
      </c>
      <c r="H1509" s="1" t="s">
        <v>10</v>
      </c>
    </row>
    <row r="1510" spans="1:8" x14ac:dyDescent="0.3">
      <c r="A1510" s="1">
        <v>718</v>
      </c>
      <c r="B1510" s="1" t="s">
        <v>1687</v>
      </c>
      <c r="C1510" s="1" t="s">
        <v>4909</v>
      </c>
      <c r="D1510" s="1" t="s">
        <v>4910</v>
      </c>
      <c r="E1510" s="1">
        <v>86</v>
      </c>
      <c r="F1510" s="1" t="s">
        <v>8</v>
      </c>
      <c r="G1510" s="1" t="s">
        <v>9</v>
      </c>
      <c r="H1510" s="1" t="s">
        <v>10</v>
      </c>
    </row>
    <row r="1511" spans="1:8" x14ac:dyDescent="0.3">
      <c r="A1511" s="1">
        <v>718</v>
      </c>
      <c r="B1511" s="1" t="s">
        <v>1687</v>
      </c>
      <c r="C1511" s="1" t="s">
        <v>4911</v>
      </c>
      <c r="D1511" s="1" t="s">
        <v>4912</v>
      </c>
      <c r="E1511" s="1">
        <v>50</v>
      </c>
      <c r="F1511" s="1" t="s">
        <v>8</v>
      </c>
      <c r="G1511" s="1" t="s">
        <v>9</v>
      </c>
      <c r="H1511" s="1" t="s">
        <v>10</v>
      </c>
    </row>
    <row r="1512" spans="1:8" x14ac:dyDescent="0.3">
      <c r="A1512" s="1">
        <v>718</v>
      </c>
      <c r="B1512" s="1" t="s">
        <v>1687</v>
      </c>
      <c r="C1512" s="1" t="s">
        <v>4913</v>
      </c>
      <c r="D1512" s="1" t="s">
        <v>4914</v>
      </c>
      <c r="E1512" s="1">
        <v>969</v>
      </c>
      <c r="F1512" s="1" t="s">
        <v>8</v>
      </c>
      <c r="G1512" s="1" t="s">
        <v>9</v>
      </c>
      <c r="H1512" s="1" t="s">
        <v>10</v>
      </c>
    </row>
    <row r="1513" spans="1:8" x14ac:dyDescent="0.3">
      <c r="A1513" s="1">
        <v>718</v>
      </c>
      <c r="B1513" s="1" t="s">
        <v>1687</v>
      </c>
      <c r="C1513" s="1" t="s">
        <v>4915</v>
      </c>
      <c r="D1513" s="1" t="s">
        <v>4916</v>
      </c>
      <c r="E1513" s="1">
        <v>679</v>
      </c>
      <c r="F1513" s="1" t="s">
        <v>8</v>
      </c>
      <c r="G1513" s="1" t="s">
        <v>9</v>
      </c>
      <c r="H1513" s="1" t="s">
        <v>10</v>
      </c>
    </row>
    <row r="1514" spans="1:8" x14ac:dyDescent="0.3">
      <c r="A1514" s="1">
        <v>718</v>
      </c>
      <c r="B1514" s="1" t="s">
        <v>1687</v>
      </c>
      <c r="C1514" s="1" t="s">
        <v>4917</v>
      </c>
      <c r="D1514" s="1" t="s">
        <v>4918</v>
      </c>
      <c r="E1514" s="1">
        <v>1284.6500000000001</v>
      </c>
      <c r="F1514" s="1" t="s">
        <v>8</v>
      </c>
      <c r="G1514" s="1" t="s">
        <v>9</v>
      </c>
      <c r="H1514" s="1" t="s">
        <v>10</v>
      </c>
    </row>
    <row r="1515" spans="1:8" x14ac:dyDescent="0.3">
      <c r="A1515" s="1">
        <v>718</v>
      </c>
      <c r="B1515" s="1" t="s">
        <v>1687</v>
      </c>
      <c r="C1515" s="1" t="s">
        <v>4919</v>
      </c>
      <c r="D1515" s="1" t="s">
        <v>4920</v>
      </c>
      <c r="E1515" s="1">
        <v>540</v>
      </c>
      <c r="F1515" s="1" t="s">
        <v>8</v>
      </c>
      <c r="G1515" s="1" t="s">
        <v>9</v>
      </c>
      <c r="H1515" s="1" t="s">
        <v>10</v>
      </c>
    </row>
    <row r="1516" spans="1:8" x14ac:dyDescent="0.3">
      <c r="A1516" s="1">
        <v>718</v>
      </c>
      <c r="B1516" s="1" t="s">
        <v>1687</v>
      </c>
      <c r="C1516" s="1" t="s">
        <v>4921</v>
      </c>
      <c r="D1516" s="1" t="s">
        <v>4922</v>
      </c>
      <c r="E1516" s="1">
        <v>3860</v>
      </c>
      <c r="F1516" s="1" t="s">
        <v>8</v>
      </c>
      <c r="G1516" s="1" t="s">
        <v>9</v>
      </c>
      <c r="H1516" s="1" t="s">
        <v>10</v>
      </c>
    </row>
    <row r="1517" spans="1:8" x14ac:dyDescent="0.3">
      <c r="A1517" s="1">
        <v>718</v>
      </c>
      <c r="B1517" s="1" t="s">
        <v>1687</v>
      </c>
      <c r="C1517" s="1" t="s">
        <v>4923</v>
      </c>
      <c r="D1517" s="1" t="s">
        <v>4924</v>
      </c>
      <c r="E1517" s="1">
        <v>1237.32</v>
      </c>
      <c r="F1517" s="1" t="s">
        <v>8</v>
      </c>
      <c r="G1517" s="1" t="s">
        <v>9</v>
      </c>
      <c r="H1517" s="1" t="s">
        <v>10</v>
      </c>
    </row>
    <row r="1518" spans="1:8" x14ac:dyDescent="0.3">
      <c r="A1518" s="1">
        <v>718</v>
      </c>
      <c r="B1518" s="1" t="s">
        <v>1687</v>
      </c>
      <c r="C1518" s="1" t="s">
        <v>4925</v>
      </c>
      <c r="D1518" s="1" t="s">
        <v>4926</v>
      </c>
      <c r="E1518" s="1">
        <v>1324.69</v>
      </c>
      <c r="F1518" s="1" t="s">
        <v>8</v>
      </c>
      <c r="G1518" s="1" t="s">
        <v>9</v>
      </c>
      <c r="H1518" s="1" t="s">
        <v>10</v>
      </c>
    </row>
    <row r="1519" spans="1:8" x14ac:dyDescent="0.3">
      <c r="A1519" s="1">
        <v>718</v>
      </c>
      <c r="B1519" s="1" t="s">
        <v>1687</v>
      </c>
      <c r="C1519" s="1" t="s">
        <v>4927</v>
      </c>
      <c r="D1519" s="1" t="s">
        <v>4928</v>
      </c>
      <c r="E1519" s="1">
        <v>1016.11</v>
      </c>
      <c r="F1519" s="1" t="s">
        <v>8</v>
      </c>
      <c r="G1519" s="1" t="s">
        <v>9</v>
      </c>
      <c r="H1519" s="1" t="s">
        <v>10</v>
      </c>
    </row>
    <row r="1520" spans="1:8" x14ac:dyDescent="0.3">
      <c r="A1520" s="1">
        <v>718</v>
      </c>
      <c r="B1520" s="1" t="s">
        <v>1687</v>
      </c>
      <c r="C1520" s="1" t="s">
        <v>4929</v>
      </c>
      <c r="D1520" s="1" t="s">
        <v>4930</v>
      </c>
      <c r="E1520" s="1">
        <v>771.7</v>
      </c>
      <c r="F1520" s="1" t="s">
        <v>8</v>
      </c>
      <c r="G1520" s="1" t="s">
        <v>9</v>
      </c>
      <c r="H1520" s="1" t="s">
        <v>10</v>
      </c>
    </row>
    <row r="1521" spans="1:8" x14ac:dyDescent="0.3">
      <c r="A1521" s="1">
        <v>718</v>
      </c>
      <c r="B1521" s="1" t="s">
        <v>1687</v>
      </c>
      <c r="C1521" s="1" t="s">
        <v>4931</v>
      </c>
      <c r="D1521" s="1" t="s">
        <v>4932</v>
      </c>
      <c r="E1521" s="1">
        <v>3710.65</v>
      </c>
      <c r="F1521" s="1" t="s">
        <v>8</v>
      </c>
      <c r="G1521" s="1" t="s">
        <v>9</v>
      </c>
      <c r="H1521" s="1" t="s">
        <v>10</v>
      </c>
    </row>
    <row r="1522" spans="1:8" x14ac:dyDescent="0.3">
      <c r="A1522" s="1">
        <v>718</v>
      </c>
      <c r="B1522" s="1" t="s">
        <v>1687</v>
      </c>
      <c r="C1522" s="1" t="s">
        <v>4933</v>
      </c>
      <c r="D1522" s="1" t="s">
        <v>4934</v>
      </c>
      <c r="E1522" s="1">
        <v>36616.32</v>
      </c>
      <c r="F1522" s="1" t="s">
        <v>8</v>
      </c>
      <c r="G1522" s="1" t="s">
        <v>9</v>
      </c>
      <c r="H1522" s="1" t="s">
        <v>10</v>
      </c>
    </row>
    <row r="1523" spans="1:8" x14ac:dyDescent="0.3">
      <c r="A1523" s="1">
        <v>718</v>
      </c>
      <c r="B1523" s="1" t="s">
        <v>1687</v>
      </c>
      <c r="C1523" s="1" t="s">
        <v>4935</v>
      </c>
      <c r="D1523" s="1" t="s">
        <v>4936</v>
      </c>
      <c r="E1523" s="1">
        <v>725</v>
      </c>
      <c r="F1523" s="1" t="s">
        <v>8</v>
      </c>
      <c r="G1523" s="1" t="s">
        <v>9</v>
      </c>
      <c r="H1523" s="1" t="s">
        <v>10</v>
      </c>
    </row>
    <row r="1524" spans="1:8" x14ac:dyDescent="0.3">
      <c r="A1524" s="1">
        <v>718</v>
      </c>
      <c r="B1524" s="1" t="s">
        <v>1687</v>
      </c>
      <c r="C1524" s="1" t="s">
        <v>4937</v>
      </c>
      <c r="D1524" s="1" t="s">
        <v>4938</v>
      </c>
      <c r="E1524" s="1">
        <v>4292.99</v>
      </c>
      <c r="F1524" s="1" t="s">
        <v>8</v>
      </c>
      <c r="G1524" s="1" t="s">
        <v>9</v>
      </c>
      <c r="H1524" s="1" t="s">
        <v>10</v>
      </c>
    </row>
    <row r="1525" spans="1:8" x14ac:dyDescent="0.3">
      <c r="A1525" s="1">
        <v>718</v>
      </c>
      <c r="B1525" s="1" t="s">
        <v>1687</v>
      </c>
      <c r="C1525" s="1" t="s">
        <v>4939</v>
      </c>
      <c r="D1525" s="1" t="s">
        <v>4940</v>
      </c>
      <c r="E1525" s="1">
        <v>1154.3</v>
      </c>
      <c r="F1525" s="1" t="s">
        <v>8</v>
      </c>
      <c r="G1525" s="1" t="s">
        <v>9</v>
      </c>
      <c r="H1525" s="1" t="s">
        <v>10</v>
      </c>
    </row>
    <row r="1526" spans="1:8" x14ac:dyDescent="0.3">
      <c r="A1526" s="1">
        <v>718</v>
      </c>
      <c r="B1526" s="1" t="s">
        <v>1687</v>
      </c>
      <c r="C1526" s="1" t="s">
        <v>4941</v>
      </c>
      <c r="D1526" s="1" t="s">
        <v>4942</v>
      </c>
      <c r="E1526" s="1">
        <v>4522.21</v>
      </c>
      <c r="F1526" s="1" t="s">
        <v>8</v>
      </c>
      <c r="G1526" s="1" t="s">
        <v>9</v>
      </c>
      <c r="H1526" s="1" t="s">
        <v>10</v>
      </c>
    </row>
    <row r="1527" spans="1:8" x14ac:dyDescent="0.3">
      <c r="A1527" s="1">
        <v>718</v>
      </c>
      <c r="B1527" s="1" t="s">
        <v>1687</v>
      </c>
      <c r="C1527" s="1" t="s">
        <v>4943</v>
      </c>
      <c r="D1527" s="1" t="s">
        <v>4944</v>
      </c>
      <c r="E1527" s="1">
        <v>1171.03</v>
      </c>
      <c r="F1527" s="1" t="s">
        <v>8</v>
      </c>
      <c r="G1527" s="1" t="s">
        <v>9</v>
      </c>
      <c r="H1527" s="1" t="s">
        <v>10</v>
      </c>
    </row>
    <row r="1528" spans="1:8" x14ac:dyDescent="0.3">
      <c r="A1528" s="1">
        <v>718</v>
      </c>
      <c r="B1528" s="1" t="s">
        <v>1687</v>
      </c>
      <c r="C1528" s="1" t="s">
        <v>4945</v>
      </c>
      <c r="D1528" s="1" t="s">
        <v>4946</v>
      </c>
      <c r="E1528" s="1">
        <v>399.01</v>
      </c>
      <c r="F1528" s="1" t="s">
        <v>8</v>
      </c>
      <c r="G1528" s="1" t="s">
        <v>9</v>
      </c>
      <c r="H1528" s="1" t="s">
        <v>10</v>
      </c>
    </row>
    <row r="1529" spans="1:8" x14ac:dyDescent="0.3">
      <c r="A1529" s="1">
        <v>718</v>
      </c>
      <c r="B1529" s="1" t="s">
        <v>1687</v>
      </c>
      <c r="C1529" s="1" t="s">
        <v>4947</v>
      </c>
      <c r="D1529" s="1" t="s">
        <v>4948</v>
      </c>
      <c r="E1529" s="1">
        <v>11741.08</v>
      </c>
      <c r="F1529" s="1" t="s">
        <v>8</v>
      </c>
      <c r="G1529" s="1" t="s">
        <v>9</v>
      </c>
      <c r="H1529" s="1" t="s">
        <v>10</v>
      </c>
    </row>
    <row r="1530" spans="1:8" x14ac:dyDescent="0.3">
      <c r="A1530" s="1">
        <v>718</v>
      </c>
      <c r="B1530" s="1" t="s">
        <v>1687</v>
      </c>
      <c r="C1530" s="1" t="s">
        <v>4949</v>
      </c>
      <c r="D1530" s="1" t="s">
        <v>4950</v>
      </c>
      <c r="E1530" s="1">
        <v>20647.57</v>
      </c>
      <c r="F1530" s="1" t="s">
        <v>8</v>
      </c>
      <c r="G1530" s="1" t="s">
        <v>9</v>
      </c>
      <c r="H1530" s="1" t="s">
        <v>10</v>
      </c>
    </row>
    <row r="1531" spans="1:8" x14ac:dyDescent="0.3">
      <c r="A1531" s="1">
        <v>718</v>
      </c>
      <c r="B1531" s="1" t="s">
        <v>1687</v>
      </c>
      <c r="C1531" s="1" t="s">
        <v>4951</v>
      </c>
      <c r="D1531" s="1" t="s">
        <v>4952</v>
      </c>
      <c r="E1531" s="1">
        <v>3922.78</v>
      </c>
      <c r="F1531" s="1" t="s">
        <v>8</v>
      </c>
      <c r="G1531" s="1" t="s">
        <v>9</v>
      </c>
      <c r="H1531" s="1" t="s">
        <v>10</v>
      </c>
    </row>
    <row r="1532" spans="1:8" x14ac:dyDescent="0.3">
      <c r="A1532" s="1">
        <v>718</v>
      </c>
      <c r="B1532" s="1" t="s">
        <v>1687</v>
      </c>
      <c r="C1532" s="1" t="s">
        <v>4953</v>
      </c>
      <c r="D1532" s="1" t="s">
        <v>4954</v>
      </c>
      <c r="E1532" s="1">
        <v>1237.8900000000001</v>
      </c>
      <c r="F1532" s="1" t="s">
        <v>8</v>
      </c>
      <c r="G1532" s="1" t="s">
        <v>9</v>
      </c>
      <c r="H1532" s="1" t="s">
        <v>10</v>
      </c>
    </row>
    <row r="1533" spans="1:8" x14ac:dyDescent="0.3">
      <c r="A1533" s="1">
        <v>718</v>
      </c>
      <c r="B1533" s="1" t="s">
        <v>1687</v>
      </c>
      <c r="C1533" s="1" t="s">
        <v>4955</v>
      </c>
      <c r="D1533" s="1" t="s">
        <v>4956</v>
      </c>
      <c r="E1533" s="1">
        <v>1260.5999999999999</v>
      </c>
      <c r="F1533" s="1" t="s">
        <v>8</v>
      </c>
      <c r="G1533" s="1" t="s">
        <v>9</v>
      </c>
      <c r="H1533" s="1" t="s">
        <v>10</v>
      </c>
    </row>
    <row r="1534" spans="1:8" x14ac:dyDescent="0.3">
      <c r="A1534" s="1">
        <v>718</v>
      </c>
      <c r="B1534" s="1" t="s">
        <v>1687</v>
      </c>
      <c r="C1534" s="1" t="s">
        <v>4957</v>
      </c>
      <c r="D1534" s="1" t="s">
        <v>4958</v>
      </c>
      <c r="E1534" s="1">
        <v>698.4</v>
      </c>
      <c r="F1534" s="1" t="s">
        <v>8</v>
      </c>
      <c r="G1534" s="1" t="s">
        <v>9</v>
      </c>
      <c r="H1534" s="1" t="s">
        <v>10</v>
      </c>
    </row>
    <row r="1535" spans="1:8" x14ac:dyDescent="0.3">
      <c r="A1535" s="1">
        <v>718</v>
      </c>
      <c r="B1535" s="1" t="s">
        <v>1687</v>
      </c>
      <c r="C1535" s="1" t="s">
        <v>4959</v>
      </c>
      <c r="D1535" s="1" t="s">
        <v>4960</v>
      </c>
      <c r="E1535" s="1">
        <v>418.56</v>
      </c>
      <c r="F1535" s="1" t="s">
        <v>8</v>
      </c>
      <c r="G1535" s="1" t="s">
        <v>9</v>
      </c>
      <c r="H1535" s="1" t="s">
        <v>10</v>
      </c>
    </row>
    <row r="1536" spans="1:8" x14ac:dyDescent="0.3">
      <c r="A1536" s="1">
        <v>718</v>
      </c>
      <c r="B1536" s="1" t="s">
        <v>1687</v>
      </c>
      <c r="C1536" s="1" t="s">
        <v>4961</v>
      </c>
      <c r="D1536" s="1" t="s">
        <v>4962</v>
      </c>
      <c r="E1536" s="1">
        <v>646.80999999999995</v>
      </c>
      <c r="F1536" s="1" t="s">
        <v>8</v>
      </c>
      <c r="G1536" s="1" t="s">
        <v>9</v>
      </c>
      <c r="H1536" s="1" t="s">
        <v>10</v>
      </c>
    </row>
    <row r="1537" spans="1:8" x14ac:dyDescent="0.3">
      <c r="A1537" s="1">
        <v>718</v>
      </c>
      <c r="B1537" s="1" t="s">
        <v>1687</v>
      </c>
      <c r="C1537" s="1" t="s">
        <v>4963</v>
      </c>
      <c r="D1537" s="1" t="s">
        <v>4964</v>
      </c>
      <c r="E1537" s="1">
        <v>3214.75</v>
      </c>
      <c r="F1537" s="1" t="s">
        <v>8</v>
      </c>
      <c r="G1537" s="1" t="s">
        <v>9</v>
      </c>
      <c r="H1537" s="1" t="s">
        <v>10</v>
      </c>
    </row>
    <row r="1538" spans="1:8" x14ac:dyDescent="0.3">
      <c r="A1538" s="1">
        <v>718</v>
      </c>
      <c r="B1538" s="1" t="s">
        <v>1687</v>
      </c>
      <c r="C1538" s="1" t="s">
        <v>4965</v>
      </c>
      <c r="D1538" s="1" t="s">
        <v>4966</v>
      </c>
      <c r="E1538" s="1">
        <v>161.88</v>
      </c>
      <c r="F1538" s="1" t="s">
        <v>8</v>
      </c>
      <c r="G1538" s="1" t="s">
        <v>9</v>
      </c>
      <c r="H1538" s="1" t="s">
        <v>10</v>
      </c>
    </row>
    <row r="1539" spans="1:8" x14ac:dyDescent="0.3">
      <c r="A1539" s="1">
        <v>718</v>
      </c>
      <c r="B1539" s="1" t="s">
        <v>1687</v>
      </c>
      <c r="C1539" s="1" t="s">
        <v>4967</v>
      </c>
      <c r="D1539" s="1" t="s">
        <v>4968</v>
      </c>
      <c r="E1539" s="1">
        <v>3923.4</v>
      </c>
      <c r="F1539" s="1" t="s">
        <v>8</v>
      </c>
      <c r="G1539" s="1" t="s">
        <v>9</v>
      </c>
      <c r="H1539" s="1" t="s">
        <v>10</v>
      </c>
    </row>
    <row r="1540" spans="1:8" x14ac:dyDescent="0.3">
      <c r="A1540" s="1">
        <v>718</v>
      </c>
      <c r="B1540" s="1" t="s">
        <v>1687</v>
      </c>
      <c r="C1540" s="1" t="s">
        <v>4969</v>
      </c>
      <c r="D1540" s="1" t="s">
        <v>4970</v>
      </c>
      <c r="E1540" s="1">
        <v>4856.53</v>
      </c>
      <c r="F1540" s="1" t="s">
        <v>8</v>
      </c>
      <c r="G1540" s="1" t="s">
        <v>9</v>
      </c>
      <c r="H1540" s="1" t="s">
        <v>10</v>
      </c>
    </row>
    <row r="1541" spans="1:8" x14ac:dyDescent="0.3">
      <c r="A1541" s="1">
        <v>718</v>
      </c>
      <c r="B1541" s="1" t="s">
        <v>1687</v>
      </c>
      <c r="C1541" s="1" t="s">
        <v>4971</v>
      </c>
      <c r="D1541" s="1" t="s">
        <v>4972</v>
      </c>
      <c r="E1541" s="1">
        <v>1095.9000000000001</v>
      </c>
      <c r="F1541" s="1" t="s">
        <v>8</v>
      </c>
      <c r="G1541" s="1" t="s">
        <v>9</v>
      </c>
      <c r="H1541" s="1" t="s">
        <v>10</v>
      </c>
    </row>
    <row r="1542" spans="1:8" x14ac:dyDescent="0.3">
      <c r="A1542" s="1">
        <v>718</v>
      </c>
      <c r="B1542" s="1" t="s">
        <v>1687</v>
      </c>
      <c r="C1542" s="1" t="s">
        <v>4973</v>
      </c>
      <c r="D1542" s="1" t="s">
        <v>4974</v>
      </c>
      <c r="E1542" s="1">
        <v>114.96</v>
      </c>
      <c r="F1542" s="1" t="s">
        <v>8</v>
      </c>
      <c r="G1542" s="1" t="s">
        <v>9</v>
      </c>
      <c r="H1542" s="1" t="s">
        <v>10</v>
      </c>
    </row>
    <row r="1543" spans="1:8" x14ac:dyDescent="0.3">
      <c r="A1543" s="1">
        <v>718</v>
      </c>
      <c r="B1543" s="1" t="s">
        <v>1687</v>
      </c>
      <c r="C1543" s="1" t="s">
        <v>4975</v>
      </c>
      <c r="D1543" s="1" t="s">
        <v>4976</v>
      </c>
      <c r="E1543" s="1">
        <v>2210.35</v>
      </c>
      <c r="F1543" s="1" t="s">
        <v>8</v>
      </c>
      <c r="G1543" s="1" t="s">
        <v>9</v>
      </c>
      <c r="H1543" s="1" t="s">
        <v>10</v>
      </c>
    </row>
    <row r="1544" spans="1:8" x14ac:dyDescent="0.3">
      <c r="A1544" s="1">
        <v>718</v>
      </c>
      <c r="B1544" s="1" t="s">
        <v>1687</v>
      </c>
      <c r="C1544" s="1" t="s">
        <v>4977</v>
      </c>
      <c r="D1544" s="1" t="s">
        <v>4978</v>
      </c>
      <c r="E1544" s="1">
        <v>1528.98</v>
      </c>
      <c r="F1544" s="1" t="s">
        <v>8</v>
      </c>
      <c r="G1544" s="1" t="s">
        <v>9</v>
      </c>
      <c r="H1544" s="1" t="s">
        <v>10</v>
      </c>
    </row>
    <row r="1545" spans="1:8" x14ac:dyDescent="0.3">
      <c r="A1545" s="1">
        <v>718</v>
      </c>
      <c r="B1545" s="1" t="s">
        <v>1687</v>
      </c>
      <c r="C1545" s="1" t="s">
        <v>4979</v>
      </c>
      <c r="D1545" s="1" t="s">
        <v>4980</v>
      </c>
      <c r="E1545" s="1">
        <v>3747.02</v>
      </c>
      <c r="F1545" s="1" t="s">
        <v>8</v>
      </c>
      <c r="G1545" s="1" t="s">
        <v>9</v>
      </c>
      <c r="H1545" s="1" t="s">
        <v>10</v>
      </c>
    </row>
    <row r="1546" spans="1:8" x14ac:dyDescent="0.3">
      <c r="A1546" s="1">
        <v>718</v>
      </c>
      <c r="B1546" s="1" t="s">
        <v>1687</v>
      </c>
      <c r="C1546" s="1" t="s">
        <v>4981</v>
      </c>
      <c r="D1546" s="1" t="s">
        <v>4982</v>
      </c>
      <c r="E1546" s="1">
        <v>4091.4</v>
      </c>
      <c r="F1546" s="1" t="s">
        <v>8</v>
      </c>
      <c r="G1546" s="1" t="s">
        <v>9</v>
      </c>
      <c r="H1546" s="1" t="s">
        <v>10</v>
      </c>
    </row>
    <row r="1547" spans="1:8" x14ac:dyDescent="0.3">
      <c r="A1547" s="1">
        <v>718</v>
      </c>
      <c r="B1547" s="1" t="s">
        <v>1687</v>
      </c>
      <c r="C1547" s="1" t="s">
        <v>4983</v>
      </c>
      <c r="D1547" s="1" t="s">
        <v>4984</v>
      </c>
      <c r="E1547" s="1">
        <v>1004.4</v>
      </c>
      <c r="F1547" s="1" t="s">
        <v>8</v>
      </c>
      <c r="G1547" s="1" t="s">
        <v>9</v>
      </c>
      <c r="H1547" s="1" t="s">
        <v>10</v>
      </c>
    </row>
    <row r="1548" spans="1:8" x14ac:dyDescent="0.3">
      <c r="A1548" s="1">
        <v>718</v>
      </c>
      <c r="B1548" s="1" t="s">
        <v>1687</v>
      </c>
      <c r="C1548" s="1" t="s">
        <v>4985</v>
      </c>
      <c r="D1548" s="1" t="s">
        <v>4986</v>
      </c>
      <c r="E1548" s="1">
        <v>4795.01</v>
      </c>
      <c r="F1548" s="1" t="s">
        <v>8</v>
      </c>
      <c r="G1548" s="1" t="s">
        <v>9</v>
      </c>
      <c r="H1548" s="1" t="s">
        <v>10</v>
      </c>
    </row>
    <row r="1549" spans="1:8" x14ac:dyDescent="0.3">
      <c r="A1549" s="1">
        <v>718</v>
      </c>
      <c r="B1549" s="1" t="s">
        <v>1687</v>
      </c>
      <c r="C1549" s="1" t="s">
        <v>4987</v>
      </c>
      <c r="D1549" s="1" t="s">
        <v>4988</v>
      </c>
      <c r="E1549" s="1">
        <v>4410</v>
      </c>
      <c r="F1549" s="1" t="s">
        <v>8</v>
      </c>
      <c r="G1549" s="1" t="s">
        <v>9</v>
      </c>
      <c r="H1549" s="1" t="s">
        <v>10</v>
      </c>
    </row>
    <row r="1550" spans="1:8" x14ac:dyDescent="0.3">
      <c r="A1550" s="1">
        <v>718</v>
      </c>
      <c r="B1550" s="1" t="s">
        <v>1687</v>
      </c>
      <c r="C1550" s="1" t="s">
        <v>4989</v>
      </c>
      <c r="D1550" s="1" t="s">
        <v>4990</v>
      </c>
      <c r="E1550" s="1">
        <v>10620</v>
      </c>
      <c r="F1550" s="1" t="s">
        <v>8</v>
      </c>
      <c r="G1550" s="1" t="s">
        <v>9</v>
      </c>
      <c r="H1550" s="1" t="s">
        <v>10</v>
      </c>
    </row>
    <row r="1551" spans="1:8" x14ac:dyDescent="0.3">
      <c r="A1551" s="1">
        <v>718</v>
      </c>
      <c r="B1551" s="1" t="s">
        <v>1687</v>
      </c>
      <c r="C1551" s="1" t="s">
        <v>4991</v>
      </c>
      <c r="D1551" s="1" t="s">
        <v>4992</v>
      </c>
      <c r="E1551" s="1">
        <v>264</v>
      </c>
      <c r="F1551" s="1" t="s">
        <v>8</v>
      </c>
      <c r="G1551" s="1" t="s">
        <v>9</v>
      </c>
      <c r="H1551" s="1" t="s">
        <v>10</v>
      </c>
    </row>
    <row r="1552" spans="1:8" x14ac:dyDescent="0.3">
      <c r="A1552" s="1">
        <v>718</v>
      </c>
      <c r="B1552" s="1" t="s">
        <v>1687</v>
      </c>
      <c r="C1552" s="1" t="s">
        <v>4993</v>
      </c>
      <c r="D1552" s="1" t="s">
        <v>4994</v>
      </c>
      <c r="E1552" s="1">
        <v>1379.05</v>
      </c>
      <c r="F1552" s="1" t="s">
        <v>8</v>
      </c>
      <c r="G1552" s="1" t="s">
        <v>9</v>
      </c>
      <c r="H1552" s="1" t="s">
        <v>10</v>
      </c>
    </row>
    <row r="1553" spans="1:8" x14ac:dyDescent="0.3">
      <c r="A1553" s="1">
        <v>718</v>
      </c>
      <c r="B1553" s="1" t="s">
        <v>1687</v>
      </c>
      <c r="C1553" s="1" t="s">
        <v>4995</v>
      </c>
      <c r="D1553" s="1" t="s">
        <v>4996</v>
      </c>
      <c r="E1553" s="1">
        <v>389.48</v>
      </c>
      <c r="F1553" s="1" t="s">
        <v>8</v>
      </c>
      <c r="G1553" s="1" t="s">
        <v>9</v>
      </c>
      <c r="H1553" s="1" t="s">
        <v>10</v>
      </c>
    </row>
    <row r="1554" spans="1:8" x14ac:dyDescent="0.3">
      <c r="A1554" s="1">
        <v>718</v>
      </c>
      <c r="B1554" s="1" t="s">
        <v>1687</v>
      </c>
      <c r="C1554" s="1" t="s">
        <v>4997</v>
      </c>
      <c r="D1554" s="1" t="s">
        <v>4998</v>
      </c>
      <c r="E1554" s="1">
        <v>45</v>
      </c>
      <c r="F1554" s="1" t="s">
        <v>8</v>
      </c>
      <c r="G1554" s="1" t="s">
        <v>9</v>
      </c>
      <c r="H1554" s="1" t="s">
        <v>10</v>
      </c>
    </row>
    <row r="1555" spans="1:8" x14ac:dyDescent="0.3">
      <c r="A1555" s="1">
        <v>718</v>
      </c>
      <c r="B1555" s="1" t="s">
        <v>1687</v>
      </c>
      <c r="C1555" s="1" t="s">
        <v>4999</v>
      </c>
      <c r="D1555" s="1" t="s">
        <v>5000</v>
      </c>
      <c r="E1555" s="1">
        <v>380</v>
      </c>
      <c r="F1555" s="1" t="s">
        <v>8</v>
      </c>
      <c r="G1555" s="1" t="s">
        <v>9</v>
      </c>
      <c r="H1555" s="1" t="s">
        <v>10</v>
      </c>
    </row>
    <row r="1556" spans="1:8" x14ac:dyDescent="0.3">
      <c r="A1556" s="1">
        <v>718</v>
      </c>
      <c r="B1556" s="1" t="s">
        <v>1687</v>
      </c>
      <c r="C1556" s="1" t="s">
        <v>5001</v>
      </c>
      <c r="D1556" s="1" t="s">
        <v>5002</v>
      </c>
      <c r="E1556" s="1">
        <v>1027.6300000000001</v>
      </c>
      <c r="F1556" s="1" t="s">
        <v>8</v>
      </c>
      <c r="G1556" s="1" t="s">
        <v>9</v>
      </c>
      <c r="H1556" s="1" t="s">
        <v>10</v>
      </c>
    </row>
    <row r="1557" spans="1:8" x14ac:dyDescent="0.3">
      <c r="A1557" s="1">
        <v>718</v>
      </c>
      <c r="B1557" s="1" t="s">
        <v>1687</v>
      </c>
      <c r="C1557" s="1" t="s">
        <v>5003</v>
      </c>
      <c r="D1557" s="1" t="s">
        <v>5004</v>
      </c>
      <c r="E1557" s="1">
        <v>918.75</v>
      </c>
      <c r="F1557" s="1" t="s">
        <v>8</v>
      </c>
      <c r="G1557" s="1" t="s">
        <v>9</v>
      </c>
      <c r="H1557" s="1" t="s">
        <v>10</v>
      </c>
    </row>
    <row r="1558" spans="1:8" x14ac:dyDescent="0.3">
      <c r="A1558" s="1">
        <v>718</v>
      </c>
      <c r="B1558" s="1" t="s">
        <v>1687</v>
      </c>
      <c r="C1558" s="1" t="s">
        <v>5005</v>
      </c>
      <c r="D1558" s="1" t="s">
        <v>5006</v>
      </c>
      <c r="E1558" s="1">
        <v>80</v>
      </c>
      <c r="F1558" s="1" t="s">
        <v>8</v>
      </c>
      <c r="G1558" s="1" t="s">
        <v>9</v>
      </c>
      <c r="H1558" s="1" t="s">
        <v>10</v>
      </c>
    </row>
    <row r="1559" spans="1:8" x14ac:dyDescent="0.3">
      <c r="A1559" s="1">
        <v>718</v>
      </c>
      <c r="B1559" s="1" t="s">
        <v>1687</v>
      </c>
      <c r="C1559" s="1" t="s">
        <v>5007</v>
      </c>
      <c r="D1559" s="1" t="s">
        <v>5008</v>
      </c>
      <c r="E1559" s="1">
        <v>5500</v>
      </c>
      <c r="F1559" s="1" t="s">
        <v>8</v>
      </c>
      <c r="G1559" s="1" t="s">
        <v>9</v>
      </c>
      <c r="H1559" s="1" t="s">
        <v>10</v>
      </c>
    </row>
    <row r="1560" spans="1:8" x14ac:dyDescent="0.3">
      <c r="A1560" s="1">
        <v>718</v>
      </c>
      <c r="B1560" s="1" t="s">
        <v>1687</v>
      </c>
      <c r="C1560" s="1" t="s">
        <v>5009</v>
      </c>
      <c r="D1560" s="1" t="s">
        <v>5010</v>
      </c>
      <c r="E1560" s="1">
        <v>693.6</v>
      </c>
      <c r="F1560" s="1" t="s">
        <v>8</v>
      </c>
      <c r="G1560" s="1" t="s">
        <v>9</v>
      </c>
      <c r="H1560" s="1" t="s">
        <v>10</v>
      </c>
    </row>
    <row r="1561" spans="1:8" x14ac:dyDescent="0.3">
      <c r="A1561" s="1">
        <v>718</v>
      </c>
      <c r="B1561" s="1" t="s">
        <v>1687</v>
      </c>
      <c r="C1561" s="1" t="s">
        <v>5011</v>
      </c>
      <c r="D1561" s="1" t="s">
        <v>5012</v>
      </c>
      <c r="E1561" s="1">
        <v>3567.9</v>
      </c>
      <c r="F1561" s="1" t="s">
        <v>11</v>
      </c>
      <c r="G1561" s="1" t="s">
        <v>9</v>
      </c>
      <c r="H1561" s="1" t="s">
        <v>10</v>
      </c>
    </row>
    <row r="1562" spans="1:8" x14ac:dyDescent="0.3">
      <c r="A1562" s="1">
        <v>718</v>
      </c>
      <c r="B1562" s="1" t="s">
        <v>1687</v>
      </c>
      <c r="C1562" s="1" t="s">
        <v>5013</v>
      </c>
      <c r="D1562" s="1" t="s">
        <v>5014</v>
      </c>
      <c r="E1562" s="1">
        <v>50</v>
      </c>
      <c r="F1562" s="1" t="s">
        <v>8</v>
      </c>
      <c r="G1562" s="1" t="s">
        <v>9</v>
      </c>
      <c r="H1562" s="1" t="s">
        <v>10</v>
      </c>
    </row>
    <row r="1563" spans="1:8" x14ac:dyDescent="0.3">
      <c r="A1563" s="1">
        <v>718</v>
      </c>
      <c r="B1563" s="1" t="s">
        <v>1687</v>
      </c>
      <c r="C1563" s="1" t="s">
        <v>5015</v>
      </c>
      <c r="D1563" s="1" t="s">
        <v>5016</v>
      </c>
      <c r="E1563" s="1">
        <v>1960.89</v>
      </c>
      <c r="F1563" s="1" t="s">
        <v>8</v>
      </c>
      <c r="G1563" s="1" t="s">
        <v>9</v>
      </c>
      <c r="H1563" s="1" t="s">
        <v>10</v>
      </c>
    </row>
    <row r="1564" spans="1:8" x14ac:dyDescent="0.3">
      <c r="A1564" s="1">
        <v>718</v>
      </c>
      <c r="B1564" s="1" t="s">
        <v>1687</v>
      </c>
      <c r="C1564" s="1" t="s">
        <v>3892</v>
      </c>
      <c r="D1564" s="1" t="s">
        <v>5017</v>
      </c>
      <c r="E1564" s="1">
        <v>40.97</v>
      </c>
      <c r="F1564" s="1" t="s">
        <v>8</v>
      </c>
      <c r="G1564" s="1" t="s">
        <v>9</v>
      </c>
      <c r="H1564" s="1" t="s">
        <v>10</v>
      </c>
    </row>
    <row r="1565" spans="1:8" x14ac:dyDescent="0.3">
      <c r="A1565" s="1">
        <v>718</v>
      </c>
      <c r="B1565" s="1" t="s">
        <v>1687</v>
      </c>
      <c r="C1565" s="1" t="s">
        <v>3892</v>
      </c>
      <c r="D1565" s="1" t="s">
        <v>5017</v>
      </c>
      <c r="E1565" s="1">
        <v>40.97</v>
      </c>
      <c r="F1565" s="1" t="s">
        <v>8</v>
      </c>
      <c r="G1565" s="1" t="s">
        <v>9</v>
      </c>
      <c r="H1565" s="1" t="s">
        <v>10</v>
      </c>
    </row>
    <row r="1566" spans="1:8" x14ac:dyDescent="0.3">
      <c r="A1566" s="1">
        <v>718</v>
      </c>
      <c r="B1566" s="1" t="s">
        <v>1687</v>
      </c>
      <c r="C1566" s="1" t="s">
        <v>5018</v>
      </c>
      <c r="D1566" s="1" t="s">
        <v>5019</v>
      </c>
      <c r="E1566" s="1">
        <v>3344.66</v>
      </c>
      <c r="F1566" s="1" t="s">
        <v>8</v>
      </c>
      <c r="G1566" s="1" t="s">
        <v>9</v>
      </c>
      <c r="H1566" s="1" t="s">
        <v>10</v>
      </c>
    </row>
    <row r="1567" spans="1:8" x14ac:dyDescent="0.3">
      <c r="A1567" s="1">
        <v>718</v>
      </c>
      <c r="B1567" s="1" t="s">
        <v>1687</v>
      </c>
      <c r="C1567" s="1" t="s">
        <v>5020</v>
      </c>
      <c r="D1567" s="1" t="s">
        <v>5021</v>
      </c>
      <c r="E1567" s="1">
        <v>828.24</v>
      </c>
      <c r="F1567" s="1" t="s">
        <v>8</v>
      </c>
      <c r="G1567" s="1" t="s">
        <v>9</v>
      </c>
      <c r="H1567" s="1" t="s">
        <v>10</v>
      </c>
    </row>
    <row r="1568" spans="1:8" x14ac:dyDescent="0.3">
      <c r="A1568" s="1">
        <v>718</v>
      </c>
      <c r="B1568" s="1" t="s">
        <v>1687</v>
      </c>
      <c r="C1568" s="1" t="s">
        <v>5022</v>
      </c>
      <c r="D1568" s="1" t="s">
        <v>5023</v>
      </c>
      <c r="E1568" s="1">
        <v>74.75</v>
      </c>
      <c r="F1568" s="1" t="s">
        <v>8</v>
      </c>
      <c r="G1568" s="1" t="s">
        <v>9</v>
      </c>
      <c r="H1568" s="1" t="s">
        <v>10</v>
      </c>
    </row>
    <row r="1569" spans="1:8" x14ac:dyDescent="0.3">
      <c r="A1569" s="1">
        <v>718</v>
      </c>
      <c r="B1569" s="1" t="s">
        <v>1687</v>
      </c>
      <c r="C1569" s="1" t="s">
        <v>5024</v>
      </c>
      <c r="D1569" s="1" t="s">
        <v>5025</v>
      </c>
      <c r="E1569" s="1">
        <v>2317.8000000000002</v>
      </c>
      <c r="F1569" s="1" t="s">
        <v>8</v>
      </c>
      <c r="G1569" s="1" t="s">
        <v>9</v>
      </c>
      <c r="H1569" s="1" t="s">
        <v>10</v>
      </c>
    </row>
    <row r="1570" spans="1:8" x14ac:dyDescent="0.3">
      <c r="A1570" s="1">
        <v>718</v>
      </c>
      <c r="B1570" s="1" t="s">
        <v>1687</v>
      </c>
      <c r="C1570" s="1" t="s">
        <v>5026</v>
      </c>
      <c r="D1570" s="1" t="s">
        <v>5027</v>
      </c>
      <c r="E1570" s="1">
        <v>3577.47</v>
      </c>
      <c r="F1570" s="1" t="s">
        <v>8</v>
      </c>
      <c r="G1570" s="1" t="s">
        <v>9</v>
      </c>
      <c r="H1570" s="1" t="s">
        <v>10</v>
      </c>
    </row>
    <row r="1571" spans="1:8" x14ac:dyDescent="0.3">
      <c r="A1571" s="1">
        <v>718</v>
      </c>
      <c r="B1571" s="1" t="s">
        <v>1687</v>
      </c>
      <c r="C1571" s="1" t="s">
        <v>5028</v>
      </c>
      <c r="D1571" s="1" t="s">
        <v>5029</v>
      </c>
      <c r="E1571" s="1">
        <v>7441.36</v>
      </c>
      <c r="F1571" s="1" t="s">
        <v>8</v>
      </c>
      <c r="G1571" s="1" t="s">
        <v>9</v>
      </c>
      <c r="H1571" s="1" t="s">
        <v>10</v>
      </c>
    </row>
    <row r="1572" spans="1:8" x14ac:dyDescent="0.3">
      <c r="A1572" s="1">
        <v>718</v>
      </c>
      <c r="B1572" s="1" t="s">
        <v>1687</v>
      </c>
      <c r="C1572" s="1" t="s">
        <v>5030</v>
      </c>
      <c r="D1572" s="1" t="s">
        <v>5031</v>
      </c>
      <c r="E1572" s="1">
        <v>2317.36</v>
      </c>
      <c r="F1572" s="1" t="s">
        <v>8</v>
      </c>
      <c r="G1572" s="1" t="s">
        <v>9</v>
      </c>
      <c r="H1572" s="1" t="s">
        <v>10</v>
      </c>
    </row>
    <row r="1573" spans="1:8" x14ac:dyDescent="0.3">
      <c r="A1573" s="1">
        <v>718</v>
      </c>
      <c r="B1573" s="1" t="s">
        <v>1687</v>
      </c>
      <c r="C1573" s="1" t="s">
        <v>5032</v>
      </c>
      <c r="D1573" s="1" t="s">
        <v>5033</v>
      </c>
      <c r="E1573" s="1">
        <v>6653.09</v>
      </c>
      <c r="F1573" s="1" t="s">
        <v>8</v>
      </c>
      <c r="G1573" s="1" t="s">
        <v>9</v>
      </c>
      <c r="H1573" s="1" t="s">
        <v>10</v>
      </c>
    </row>
    <row r="1574" spans="1:8" x14ac:dyDescent="0.3">
      <c r="A1574" s="1">
        <v>718</v>
      </c>
      <c r="B1574" s="1" t="s">
        <v>1687</v>
      </c>
      <c r="C1574" s="1" t="s">
        <v>5034</v>
      </c>
      <c r="D1574" s="1" t="s">
        <v>5035</v>
      </c>
      <c r="E1574" s="1">
        <v>4987.3900000000003</v>
      </c>
      <c r="F1574" s="1" t="s">
        <v>8</v>
      </c>
      <c r="G1574" s="1" t="s">
        <v>9</v>
      </c>
      <c r="H1574" s="1" t="s">
        <v>10</v>
      </c>
    </row>
    <row r="1575" spans="1:8" x14ac:dyDescent="0.3">
      <c r="A1575" s="1">
        <v>718</v>
      </c>
      <c r="B1575" s="1" t="s">
        <v>1687</v>
      </c>
      <c r="C1575" s="1" t="s">
        <v>5036</v>
      </c>
      <c r="D1575" s="1" t="s">
        <v>5037</v>
      </c>
      <c r="E1575" s="1">
        <v>510.6</v>
      </c>
      <c r="F1575" s="1" t="s">
        <v>8</v>
      </c>
      <c r="G1575" s="1" t="s">
        <v>9</v>
      </c>
      <c r="H1575" s="1" t="s">
        <v>10</v>
      </c>
    </row>
    <row r="1576" spans="1:8" x14ac:dyDescent="0.3">
      <c r="A1576" s="1">
        <v>718</v>
      </c>
      <c r="B1576" s="1" t="s">
        <v>1687</v>
      </c>
      <c r="C1576" s="1" t="s">
        <v>5038</v>
      </c>
      <c r="D1576" s="1" t="s">
        <v>5039</v>
      </c>
      <c r="E1576" s="1">
        <v>2671.4</v>
      </c>
      <c r="F1576" s="1" t="s">
        <v>8</v>
      </c>
      <c r="G1576" s="1" t="s">
        <v>9</v>
      </c>
      <c r="H1576" s="1" t="s">
        <v>10</v>
      </c>
    </row>
    <row r="1577" spans="1:8" x14ac:dyDescent="0.3">
      <c r="A1577" s="1">
        <v>718</v>
      </c>
      <c r="B1577" s="1" t="s">
        <v>1687</v>
      </c>
      <c r="C1577" s="1" t="s">
        <v>5040</v>
      </c>
      <c r="D1577" s="1" t="s">
        <v>5041</v>
      </c>
      <c r="E1577" s="1">
        <v>676.2</v>
      </c>
      <c r="F1577" s="1" t="s">
        <v>8</v>
      </c>
      <c r="G1577" s="1" t="s">
        <v>9</v>
      </c>
      <c r="H1577" s="1" t="s">
        <v>10</v>
      </c>
    </row>
    <row r="1578" spans="1:8" x14ac:dyDescent="0.3">
      <c r="A1578" s="1">
        <v>718</v>
      </c>
      <c r="B1578" s="1" t="s">
        <v>1687</v>
      </c>
      <c r="C1578" s="1" t="s">
        <v>5042</v>
      </c>
      <c r="D1578" s="1" t="s">
        <v>5043</v>
      </c>
      <c r="E1578" s="1">
        <v>2639.65</v>
      </c>
      <c r="F1578" s="1" t="s">
        <v>8</v>
      </c>
      <c r="G1578" s="1" t="s">
        <v>9</v>
      </c>
      <c r="H1578" s="1" t="s">
        <v>10</v>
      </c>
    </row>
    <row r="1579" spans="1:8" x14ac:dyDescent="0.3">
      <c r="A1579" s="1">
        <v>718</v>
      </c>
      <c r="B1579" s="1" t="s">
        <v>1687</v>
      </c>
      <c r="C1579" s="1" t="s">
        <v>5044</v>
      </c>
      <c r="D1579" s="1" t="s">
        <v>5045</v>
      </c>
      <c r="E1579" s="1">
        <v>3368.24</v>
      </c>
      <c r="F1579" s="1" t="s">
        <v>8</v>
      </c>
      <c r="G1579" s="1" t="s">
        <v>9</v>
      </c>
      <c r="H1579" s="1" t="s">
        <v>10</v>
      </c>
    </row>
    <row r="1580" spans="1:8" x14ac:dyDescent="0.3">
      <c r="A1580" s="1">
        <v>718</v>
      </c>
      <c r="B1580" s="1" t="s">
        <v>1687</v>
      </c>
      <c r="C1580" s="1" t="s">
        <v>5046</v>
      </c>
      <c r="D1580" s="1" t="s">
        <v>5047</v>
      </c>
      <c r="E1580" s="1">
        <v>5397.37</v>
      </c>
      <c r="F1580" s="1" t="s">
        <v>8</v>
      </c>
      <c r="G1580" s="1" t="s">
        <v>9</v>
      </c>
      <c r="H1580" s="1" t="s">
        <v>10</v>
      </c>
    </row>
    <row r="1581" spans="1:8" x14ac:dyDescent="0.3">
      <c r="A1581" s="1">
        <v>718</v>
      </c>
      <c r="B1581" s="1" t="s">
        <v>1687</v>
      </c>
      <c r="C1581" s="1" t="s">
        <v>5048</v>
      </c>
      <c r="D1581" s="1" t="s">
        <v>5049</v>
      </c>
      <c r="E1581" s="1">
        <v>6745</v>
      </c>
      <c r="F1581" s="1" t="s">
        <v>8</v>
      </c>
      <c r="G1581" s="1" t="s">
        <v>9</v>
      </c>
      <c r="H1581" s="1" t="s">
        <v>10</v>
      </c>
    </row>
    <row r="1582" spans="1:8" x14ac:dyDescent="0.3">
      <c r="A1582" s="1">
        <v>718</v>
      </c>
      <c r="B1582" s="1" t="s">
        <v>1687</v>
      </c>
      <c r="C1582" s="1" t="s">
        <v>5050</v>
      </c>
      <c r="D1582" s="1" t="s">
        <v>5051</v>
      </c>
      <c r="E1582" s="1">
        <v>1135.76</v>
      </c>
      <c r="F1582" s="1" t="s">
        <v>8</v>
      </c>
      <c r="G1582" s="1" t="s">
        <v>9</v>
      </c>
      <c r="H1582" s="1" t="s">
        <v>10</v>
      </c>
    </row>
    <row r="1583" spans="1:8" x14ac:dyDescent="0.3">
      <c r="A1583" s="1">
        <v>718</v>
      </c>
      <c r="B1583" s="1" t="s">
        <v>1687</v>
      </c>
      <c r="C1583" s="1" t="s">
        <v>5052</v>
      </c>
      <c r="D1583" s="1" t="s">
        <v>5053</v>
      </c>
      <c r="E1583" s="1">
        <v>1702.18</v>
      </c>
      <c r="F1583" s="1" t="s">
        <v>8</v>
      </c>
      <c r="G1583" s="1" t="s">
        <v>9</v>
      </c>
      <c r="H1583" s="1" t="s">
        <v>10</v>
      </c>
    </row>
    <row r="1584" spans="1:8" x14ac:dyDescent="0.3">
      <c r="A1584" s="1">
        <v>718</v>
      </c>
      <c r="B1584" s="1" t="s">
        <v>1687</v>
      </c>
      <c r="C1584" s="1" t="s">
        <v>5054</v>
      </c>
      <c r="D1584" s="1" t="s">
        <v>5055</v>
      </c>
      <c r="E1584" s="1">
        <v>50</v>
      </c>
      <c r="F1584" s="1" t="s">
        <v>8</v>
      </c>
      <c r="G1584" s="1" t="s">
        <v>9</v>
      </c>
      <c r="H1584" s="1" t="s">
        <v>10</v>
      </c>
    </row>
    <row r="1585" spans="1:8" x14ac:dyDescent="0.3">
      <c r="A1585" s="1">
        <v>718</v>
      </c>
      <c r="B1585" s="1" t="s">
        <v>1687</v>
      </c>
      <c r="C1585" s="1" t="s">
        <v>5056</v>
      </c>
      <c r="D1585" s="1" t="s">
        <v>5057</v>
      </c>
      <c r="E1585" s="1">
        <v>729</v>
      </c>
      <c r="F1585" s="1" t="s">
        <v>8</v>
      </c>
      <c r="G1585" s="1" t="s">
        <v>9</v>
      </c>
      <c r="H1585" s="1" t="s">
        <v>10</v>
      </c>
    </row>
    <row r="1586" spans="1:8" x14ac:dyDescent="0.3">
      <c r="A1586" s="1">
        <v>718</v>
      </c>
      <c r="B1586" s="1" t="s">
        <v>1687</v>
      </c>
      <c r="C1586" s="1" t="s">
        <v>5058</v>
      </c>
      <c r="D1586" s="1" t="s">
        <v>5059</v>
      </c>
      <c r="E1586" s="1">
        <v>820</v>
      </c>
      <c r="F1586" s="1" t="s">
        <v>8</v>
      </c>
      <c r="G1586" s="1" t="s">
        <v>9</v>
      </c>
      <c r="H1586" s="1" t="s">
        <v>10</v>
      </c>
    </row>
    <row r="1587" spans="1:8" x14ac:dyDescent="0.3">
      <c r="A1587" s="1">
        <v>718</v>
      </c>
      <c r="B1587" s="1" t="s">
        <v>1687</v>
      </c>
      <c r="C1587" s="1" t="s">
        <v>5060</v>
      </c>
      <c r="D1587" s="1" t="s">
        <v>5061</v>
      </c>
      <c r="E1587" s="1">
        <v>880</v>
      </c>
      <c r="F1587" s="1" t="s">
        <v>8</v>
      </c>
      <c r="G1587" s="1" t="s">
        <v>9</v>
      </c>
      <c r="H1587" s="1" t="s">
        <v>10</v>
      </c>
    </row>
    <row r="1588" spans="1:8" x14ac:dyDescent="0.3">
      <c r="A1588" s="1">
        <v>718</v>
      </c>
      <c r="B1588" s="1" t="s">
        <v>1687</v>
      </c>
      <c r="C1588" s="1" t="s">
        <v>5062</v>
      </c>
      <c r="D1588" s="1" t="s">
        <v>5063</v>
      </c>
      <c r="E1588" s="1">
        <v>929.84</v>
      </c>
      <c r="F1588" s="1" t="s">
        <v>8</v>
      </c>
      <c r="G1588" s="1" t="s">
        <v>9</v>
      </c>
      <c r="H1588" s="1" t="s">
        <v>10</v>
      </c>
    </row>
    <row r="1589" spans="1:8" x14ac:dyDescent="0.3">
      <c r="A1589" s="1">
        <v>718</v>
      </c>
      <c r="B1589" s="1" t="s">
        <v>1687</v>
      </c>
      <c r="C1589" s="1" t="s">
        <v>5064</v>
      </c>
      <c r="D1589" s="1" t="s">
        <v>5065</v>
      </c>
      <c r="E1589" s="1">
        <v>61.18</v>
      </c>
      <c r="F1589" s="1" t="s">
        <v>8</v>
      </c>
      <c r="G1589" s="1" t="s">
        <v>9</v>
      </c>
      <c r="H1589" s="1" t="s">
        <v>10</v>
      </c>
    </row>
    <row r="1590" spans="1:8" x14ac:dyDescent="0.3">
      <c r="A1590" s="1">
        <v>718</v>
      </c>
      <c r="B1590" s="1" t="s">
        <v>1687</v>
      </c>
      <c r="C1590" s="1" t="s">
        <v>4172</v>
      </c>
      <c r="D1590" s="1" t="s">
        <v>5066</v>
      </c>
      <c r="E1590" s="1">
        <v>57.12</v>
      </c>
      <c r="F1590" s="1" t="s">
        <v>8</v>
      </c>
      <c r="G1590" s="1" t="s">
        <v>9</v>
      </c>
      <c r="H1590" s="1" t="s">
        <v>10</v>
      </c>
    </row>
    <row r="1591" spans="1:8" x14ac:dyDescent="0.3">
      <c r="A1591" s="1">
        <v>718</v>
      </c>
      <c r="B1591" s="1" t="s">
        <v>1687</v>
      </c>
      <c r="C1591" s="1" t="s">
        <v>5067</v>
      </c>
      <c r="D1591" s="1" t="s">
        <v>5068</v>
      </c>
      <c r="E1591" s="1">
        <v>2516.37</v>
      </c>
      <c r="F1591" s="1" t="s">
        <v>8</v>
      </c>
      <c r="G1591" s="1" t="s">
        <v>9</v>
      </c>
      <c r="H1591" s="1" t="s">
        <v>10</v>
      </c>
    </row>
    <row r="1592" spans="1:8" x14ac:dyDescent="0.3">
      <c r="A1592" s="1">
        <v>718</v>
      </c>
      <c r="B1592" s="1" t="s">
        <v>1687</v>
      </c>
      <c r="C1592" s="1" t="s">
        <v>5069</v>
      </c>
      <c r="D1592" s="1" t="s">
        <v>5070</v>
      </c>
      <c r="E1592" s="1">
        <v>210.68</v>
      </c>
      <c r="F1592" s="1" t="s">
        <v>8</v>
      </c>
      <c r="G1592" s="1" t="s">
        <v>9</v>
      </c>
      <c r="H1592" s="1" t="s">
        <v>10</v>
      </c>
    </row>
    <row r="1593" spans="1:8" x14ac:dyDescent="0.3">
      <c r="A1593" s="1">
        <v>718</v>
      </c>
      <c r="B1593" s="1" t="s">
        <v>1687</v>
      </c>
      <c r="C1593" s="1" t="s">
        <v>5071</v>
      </c>
      <c r="D1593" s="1" t="s">
        <v>5072</v>
      </c>
      <c r="E1593" s="1">
        <v>1063.23</v>
      </c>
      <c r="F1593" s="1" t="s">
        <v>8</v>
      </c>
      <c r="G1593" s="1" t="s">
        <v>9</v>
      </c>
      <c r="H1593" s="1" t="s">
        <v>10</v>
      </c>
    </row>
    <row r="1594" spans="1:8" x14ac:dyDescent="0.3">
      <c r="A1594" s="1">
        <v>718</v>
      </c>
      <c r="B1594" s="1" t="s">
        <v>1687</v>
      </c>
      <c r="C1594" s="1" t="s">
        <v>5073</v>
      </c>
      <c r="D1594" s="1" t="s">
        <v>5074</v>
      </c>
      <c r="E1594" s="1">
        <v>285.35000000000002</v>
      </c>
      <c r="F1594" s="1" t="s">
        <v>8</v>
      </c>
      <c r="G1594" s="1" t="s">
        <v>9</v>
      </c>
      <c r="H1594" s="1" t="s">
        <v>10</v>
      </c>
    </row>
    <row r="1595" spans="1:8" x14ac:dyDescent="0.3">
      <c r="A1595" s="1">
        <v>718</v>
      </c>
      <c r="B1595" s="1" t="s">
        <v>1687</v>
      </c>
      <c r="C1595" s="1" t="s">
        <v>5075</v>
      </c>
      <c r="D1595" s="1" t="s">
        <v>5076</v>
      </c>
      <c r="E1595" s="1">
        <v>330</v>
      </c>
      <c r="F1595" s="1" t="s">
        <v>8</v>
      </c>
      <c r="G1595" s="1" t="s">
        <v>9</v>
      </c>
      <c r="H1595" s="1" t="s">
        <v>10</v>
      </c>
    </row>
    <row r="1596" spans="1:8" x14ac:dyDescent="0.3">
      <c r="A1596" s="1">
        <v>718</v>
      </c>
      <c r="B1596" s="1" t="s">
        <v>1687</v>
      </c>
      <c r="C1596" s="1" t="s">
        <v>5077</v>
      </c>
      <c r="D1596" s="1" t="s">
        <v>5078</v>
      </c>
      <c r="E1596" s="1">
        <v>115</v>
      </c>
      <c r="F1596" s="1" t="s">
        <v>8</v>
      </c>
      <c r="G1596" s="1" t="s">
        <v>9</v>
      </c>
      <c r="H1596" s="1" t="s">
        <v>10</v>
      </c>
    </row>
    <row r="1597" spans="1:8" x14ac:dyDescent="0.3">
      <c r="A1597" s="1">
        <v>718</v>
      </c>
      <c r="B1597" s="1" t="s">
        <v>1687</v>
      </c>
      <c r="C1597" s="1" t="s">
        <v>5079</v>
      </c>
      <c r="D1597" s="1" t="s">
        <v>5080</v>
      </c>
      <c r="E1597" s="1">
        <v>22</v>
      </c>
      <c r="F1597" s="1" t="s">
        <v>8</v>
      </c>
      <c r="G1597" s="1" t="s">
        <v>9</v>
      </c>
      <c r="H1597" s="1" t="s">
        <v>10</v>
      </c>
    </row>
    <row r="1598" spans="1:8" x14ac:dyDescent="0.3">
      <c r="A1598" s="1">
        <v>718</v>
      </c>
      <c r="B1598" s="1" t="s">
        <v>1687</v>
      </c>
      <c r="C1598" s="1" t="s">
        <v>5081</v>
      </c>
      <c r="D1598" s="1" t="s">
        <v>5082</v>
      </c>
      <c r="E1598" s="1">
        <v>3440</v>
      </c>
      <c r="F1598" s="1" t="s">
        <v>8</v>
      </c>
      <c r="G1598" s="1" t="s">
        <v>9</v>
      </c>
      <c r="H1598" s="1" t="s">
        <v>10</v>
      </c>
    </row>
    <row r="1599" spans="1:8" x14ac:dyDescent="0.3">
      <c r="A1599" s="1">
        <v>718</v>
      </c>
      <c r="B1599" s="1" t="s">
        <v>1687</v>
      </c>
      <c r="C1599" s="1" t="s">
        <v>5083</v>
      </c>
      <c r="D1599" s="1" t="s">
        <v>5084</v>
      </c>
      <c r="E1599" s="1">
        <v>2037.38</v>
      </c>
      <c r="F1599" s="1" t="s">
        <v>11</v>
      </c>
      <c r="G1599" s="1" t="s">
        <v>9</v>
      </c>
      <c r="H1599" s="1" t="s">
        <v>10</v>
      </c>
    </row>
    <row r="1600" spans="1:8" x14ac:dyDescent="0.3">
      <c r="A1600" s="1">
        <v>718</v>
      </c>
      <c r="B1600" s="1" t="s">
        <v>1687</v>
      </c>
      <c r="C1600" s="1" t="s">
        <v>5085</v>
      </c>
      <c r="D1600" s="1" t="s">
        <v>5086</v>
      </c>
      <c r="E1600" s="1">
        <v>88.78</v>
      </c>
      <c r="F1600" s="1" t="s">
        <v>8</v>
      </c>
      <c r="G1600" s="1" t="s">
        <v>9</v>
      </c>
      <c r="H1600" s="1" t="s">
        <v>10</v>
      </c>
    </row>
    <row r="1601" spans="1:8" x14ac:dyDescent="0.3">
      <c r="A1601" s="1">
        <v>718</v>
      </c>
      <c r="B1601" s="1" t="s">
        <v>1687</v>
      </c>
      <c r="C1601" s="1" t="s">
        <v>5087</v>
      </c>
      <c r="D1601" s="1" t="s">
        <v>5088</v>
      </c>
      <c r="E1601" s="1">
        <v>2539.0500000000002</v>
      </c>
      <c r="F1601" s="1" t="s">
        <v>8</v>
      </c>
      <c r="G1601" s="1" t="s">
        <v>9</v>
      </c>
      <c r="H1601" s="1" t="s">
        <v>10</v>
      </c>
    </row>
    <row r="1602" spans="1:8" x14ac:dyDescent="0.3">
      <c r="A1602" s="1">
        <v>718</v>
      </c>
      <c r="B1602" s="1" t="s">
        <v>1687</v>
      </c>
      <c r="C1602" s="1" t="s">
        <v>5089</v>
      </c>
      <c r="D1602" s="1" t="s">
        <v>5090</v>
      </c>
      <c r="E1602" s="1">
        <v>50</v>
      </c>
      <c r="F1602" s="1" t="s">
        <v>8</v>
      </c>
      <c r="G1602" s="1" t="s">
        <v>9</v>
      </c>
      <c r="H1602" s="1" t="s">
        <v>10</v>
      </c>
    </row>
    <row r="1603" spans="1:8" x14ac:dyDescent="0.3">
      <c r="A1603" s="1">
        <v>718</v>
      </c>
      <c r="B1603" s="1" t="s">
        <v>1687</v>
      </c>
      <c r="C1603" s="1" t="s">
        <v>5091</v>
      </c>
      <c r="D1603" s="1" t="s">
        <v>5092</v>
      </c>
      <c r="E1603" s="1">
        <v>51.04</v>
      </c>
      <c r="F1603" s="1" t="s">
        <v>8</v>
      </c>
      <c r="G1603" s="1" t="s">
        <v>9</v>
      </c>
      <c r="H1603" s="1" t="s">
        <v>10</v>
      </c>
    </row>
    <row r="1604" spans="1:8" x14ac:dyDescent="0.3">
      <c r="A1604" s="1">
        <v>718</v>
      </c>
      <c r="B1604" s="1" t="s">
        <v>1687</v>
      </c>
      <c r="C1604" s="1" t="s">
        <v>5093</v>
      </c>
      <c r="D1604" s="1" t="s">
        <v>5094</v>
      </c>
      <c r="E1604" s="1">
        <v>704.85</v>
      </c>
      <c r="F1604" s="1" t="s">
        <v>8</v>
      </c>
      <c r="G1604" s="1" t="s">
        <v>9</v>
      </c>
      <c r="H1604" s="1" t="s">
        <v>10</v>
      </c>
    </row>
    <row r="1605" spans="1:8" x14ac:dyDescent="0.3">
      <c r="A1605" s="1">
        <v>718</v>
      </c>
      <c r="B1605" s="1" t="s">
        <v>1687</v>
      </c>
      <c r="C1605" s="1" t="s">
        <v>5095</v>
      </c>
      <c r="D1605" s="1" t="s">
        <v>5096</v>
      </c>
      <c r="E1605" s="1">
        <v>3216.78</v>
      </c>
      <c r="F1605" s="1" t="s">
        <v>8</v>
      </c>
      <c r="G1605" s="1" t="s">
        <v>9</v>
      </c>
      <c r="H1605" s="1" t="s">
        <v>10</v>
      </c>
    </row>
    <row r="1606" spans="1:8" x14ac:dyDescent="0.3">
      <c r="A1606" s="1">
        <v>718</v>
      </c>
      <c r="B1606" s="1" t="s">
        <v>1687</v>
      </c>
      <c r="C1606" s="1" t="s">
        <v>5097</v>
      </c>
      <c r="D1606" s="1" t="s">
        <v>5098</v>
      </c>
      <c r="E1606" s="1">
        <v>2037.38</v>
      </c>
      <c r="F1606" s="1" t="s">
        <v>8</v>
      </c>
      <c r="G1606" s="1" t="s">
        <v>9</v>
      </c>
      <c r="H1606" s="1" t="s">
        <v>10</v>
      </c>
    </row>
    <row r="1607" spans="1:8" x14ac:dyDescent="0.3">
      <c r="A1607" s="1">
        <v>718</v>
      </c>
      <c r="B1607" s="1" t="s">
        <v>1687</v>
      </c>
      <c r="C1607" s="1" t="s">
        <v>5099</v>
      </c>
      <c r="D1607" s="1" t="s">
        <v>5100</v>
      </c>
      <c r="E1607" s="1">
        <v>4313</v>
      </c>
      <c r="F1607" s="1" t="s">
        <v>8</v>
      </c>
      <c r="G1607" s="1" t="s">
        <v>9</v>
      </c>
      <c r="H1607" s="1" t="s">
        <v>10</v>
      </c>
    </row>
    <row r="1608" spans="1:8" x14ac:dyDescent="0.3">
      <c r="A1608" s="1">
        <v>718</v>
      </c>
      <c r="B1608" s="1" t="s">
        <v>1687</v>
      </c>
      <c r="C1608" s="1" t="s">
        <v>5101</v>
      </c>
      <c r="D1608" s="1" t="s">
        <v>5102</v>
      </c>
      <c r="E1608" s="1">
        <v>86</v>
      </c>
      <c r="F1608" s="1" t="s">
        <v>8</v>
      </c>
      <c r="G1608" s="1" t="s">
        <v>9</v>
      </c>
      <c r="H1608" s="1" t="s">
        <v>10</v>
      </c>
    </row>
    <row r="1609" spans="1:8" x14ac:dyDescent="0.3">
      <c r="A1609" s="1">
        <v>718</v>
      </c>
      <c r="B1609" s="1" t="s">
        <v>1687</v>
      </c>
      <c r="C1609" s="1" t="s">
        <v>5103</v>
      </c>
      <c r="D1609" s="1" t="s">
        <v>5104</v>
      </c>
      <c r="E1609" s="1">
        <v>49</v>
      </c>
      <c r="F1609" s="1" t="s">
        <v>8</v>
      </c>
      <c r="G1609" s="1" t="s">
        <v>9</v>
      </c>
      <c r="H1609" s="1" t="s">
        <v>10</v>
      </c>
    </row>
    <row r="1610" spans="1:8" x14ac:dyDescent="0.3">
      <c r="A1610" s="1">
        <v>718</v>
      </c>
      <c r="B1610" s="1" t="s">
        <v>1687</v>
      </c>
      <c r="C1610" s="1" t="s">
        <v>5105</v>
      </c>
      <c r="D1610" s="1" t="s">
        <v>5106</v>
      </c>
      <c r="E1610" s="1">
        <v>750</v>
      </c>
      <c r="F1610" s="1" t="s">
        <v>8</v>
      </c>
      <c r="G1610" s="1" t="s">
        <v>9</v>
      </c>
      <c r="H1610" s="1" t="s">
        <v>10</v>
      </c>
    </row>
    <row r="1611" spans="1:8" x14ac:dyDescent="0.3">
      <c r="A1611" s="1">
        <v>718</v>
      </c>
      <c r="B1611" s="1" t="s">
        <v>1687</v>
      </c>
      <c r="C1611" s="1" t="s">
        <v>5107</v>
      </c>
      <c r="D1611" s="1" t="s">
        <v>5108</v>
      </c>
      <c r="E1611" s="1">
        <v>350.08</v>
      </c>
      <c r="F1611" s="1" t="s">
        <v>8</v>
      </c>
      <c r="G1611" s="1" t="s">
        <v>9</v>
      </c>
      <c r="H1611" s="1" t="s">
        <v>10</v>
      </c>
    </row>
    <row r="1612" spans="1:8" x14ac:dyDescent="0.3">
      <c r="A1612" s="1">
        <v>718</v>
      </c>
      <c r="B1612" s="1" t="s">
        <v>1687</v>
      </c>
      <c r="C1612" s="1" t="s">
        <v>5109</v>
      </c>
      <c r="D1612" s="1" t="s">
        <v>5110</v>
      </c>
      <c r="E1612" s="1">
        <v>2400</v>
      </c>
      <c r="F1612" s="1" t="s">
        <v>8</v>
      </c>
      <c r="G1612" s="1" t="s">
        <v>9</v>
      </c>
      <c r="H1612" s="1" t="s">
        <v>10</v>
      </c>
    </row>
    <row r="1613" spans="1:8" x14ac:dyDescent="0.3">
      <c r="A1613" s="1">
        <v>718</v>
      </c>
      <c r="B1613" s="1" t="s">
        <v>1687</v>
      </c>
      <c r="C1613" s="1" t="s">
        <v>5111</v>
      </c>
      <c r="D1613" s="1" t="s">
        <v>5112</v>
      </c>
      <c r="E1613" s="1">
        <v>492.72</v>
      </c>
      <c r="F1613" s="1" t="s">
        <v>8</v>
      </c>
      <c r="G1613" s="1" t="s">
        <v>9</v>
      </c>
      <c r="H1613" s="1" t="s">
        <v>10</v>
      </c>
    </row>
    <row r="1614" spans="1:8" x14ac:dyDescent="0.3">
      <c r="A1614" s="1">
        <v>718</v>
      </c>
      <c r="B1614" s="1" t="s">
        <v>1687</v>
      </c>
      <c r="C1614" s="1" t="s">
        <v>5113</v>
      </c>
      <c r="D1614" s="1" t="s">
        <v>5114</v>
      </c>
      <c r="E1614" s="1">
        <v>1447.84</v>
      </c>
      <c r="F1614" s="1" t="s">
        <v>8</v>
      </c>
      <c r="G1614" s="1" t="s">
        <v>9</v>
      </c>
      <c r="H1614" s="1" t="s">
        <v>10</v>
      </c>
    </row>
    <row r="1615" spans="1:8" x14ac:dyDescent="0.3">
      <c r="A1615" s="1">
        <v>718</v>
      </c>
      <c r="B1615" s="1" t="s">
        <v>1687</v>
      </c>
      <c r="C1615" s="1" t="s">
        <v>5115</v>
      </c>
      <c r="D1615" s="1" t="s">
        <v>5116</v>
      </c>
      <c r="E1615" s="1">
        <v>1450</v>
      </c>
      <c r="F1615" s="1" t="s">
        <v>8</v>
      </c>
      <c r="G1615" s="1" t="s">
        <v>9</v>
      </c>
      <c r="H1615" s="1" t="s">
        <v>10</v>
      </c>
    </row>
    <row r="1616" spans="1:8" x14ac:dyDescent="0.3">
      <c r="A1616" s="1">
        <v>718</v>
      </c>
      <c r="B1616" s="1" t="s">
        <v>1687</v>
      </c>
      <c r="C1616" s="1" t="s">
        <v>5117</v>
      </c>
      <c r="D1616" s="1" t="s">
        <v>5118</v>
      </c>
      <c r="E1616" s="1">
        <v>50</v>
      </c>
      <c r="F1616" s="1" t="s">
        <v>8</v>
      </c>
      <c r="G1616" s="1" t="s">
        <v>9</v>
      </c>
      <c r="H1616" s="1" t="s">
        <v>10</v>
      </c>
    </row>
    <row r="1617" spans="1:8" x14ac:dyDescent="0.3">
      <c r="A1617" s="1">
        <v>718</v>
      </c>
      <c r="B1617" s="1" t="s">
        <v>1687</v>
      </c>
      <c r="C1617" s="1" t="s">
        <v>5119</v>
      </c>
      <c r="D1617" s="1" t="s">
        <v>5120</v>
      </c>
      <c r="E1617" s="1">
        <v>2478</v>
      </c>
      <c r="F1617" s="1" t="s">
        <v>8</v>
      </c>
      <c r="G1617" s="1" t="s">
        <v>9</v>
      </c>
      <c r="H1617" s="1" t="s">
        <v>10</v>
      </c>
    </row>
    <row r="1618" spans="1:8" x14ac:dyDescent="0.3">
      <c r="A1618" s="1">
        <v>718</v>
      </c>
      <c r="B1618" s="1" t="s">
        <v>1687</v>
      </c>
      <c r="C1618" s="1" t="s">
        <v>5121</v>
      </c>
      <c r="D1618" s="1" t="s">
        <v>5122</v>
      </c>
      <c r="E1618" s="1">
        <v>2443.5700000000002</v>
      </c>
      <c r="F1618" s="1" t="s">
        <v>8</v>
      </c>
      <c r="G1618" s="1" t="s">
        <v>9</v>
      </c>
      <c r="H1618" s="1" t="s">
        <v>10</v>
      </c>
    </row>
    <row r="1619" spans="1:8" x14ac:dyDescent="0.3">
      <c r="A1619" s="1">
        <v>718</v>
      </c>
      <c r="B1619" s="1" t="s">
        <v>1687</v>
      </c>
      <c r="C1619" s="1" t="s">
        <v>5123</v>
      </c>
      <c r="D1619" s="1" t="s">
        <v>5124</v>
      </c>
      <c r="E1619" s="1">
        <v>6470</v>
      </c>
      <c r="F1619" s="1" t="s">
        <v>8</v>
      </c>
      <c r="G1619" s="1" t="s">
        <v>9</v>
      </c>
      <c r="H1619" s="1" t="s">
        <v>10</v>
      </c>
    </row>
    <row r="1620" spans="1:8" x14ac:dyDescent="0.3">
      <c r="A1620" s="1">
        <v>718</v>
      </c>
      <c r="B1620" s="1" t="s">
        <v>1687</v>
      </c>
      <c r="C1620" s="1" t="s">
        <v>5125</v>
      </c>
      <c r="D1620" s="1" t="s">
        <v>5126</v>
      </c>
      <c r="E1620" s="1">
        <v>9335.4599999999991</v>
      </c>
      <c r="F1620" s="1" t="s">
        <v>8</v>
      </c>
      <c r="G1620" s="1" t="s">
        <v>9</v>
      </c>
      <c r="H1620" s="1" t="s">
        <v>10</v>
      </c>
    </row>
    <row r="1621" spans="1:8" x14ac:dyDescent="0.3">
      <c r="A1621" s="1">
        <v>718</v>
      </c>
      <c r="B1621" s="1" t="s">
        <v>1687</v>
      </c>
      <c r="C1621" s="1" t="s">
        <v>5127</v>
      </c>
      <c r="D1621" s="1" t="s">
        <v>5128</v>
      </c>
      <c r="E1621" s="1">
        <v>246.36</v>
      </c>
      <c r="F1621" s="1" t="s">
        <v>8</v>
      </c>
      <c r="G1621" s="1" t="s">
        <v>9</v>
      </c>
      <c r="H1621" s="1" t="s">
        <v>10</v>
      </c>
    </row>
    <row r="1622" spans="1:8" x14ac:dyDescent="0.3">
      <c r="A1622" s="1">
        <v>718</v>
      </c>
      <c r="B1622" s="1" t="s">
        <v>1687</v>
      </c>
      <c r="C1622" s="1" t="s">
        <v>5129</v>
      </c>
      <c r="D1622" s="1" t="s">
        <v>5130</v>
      </c>
      <c r="E1622" s="1">
        <v>97.2</v>
      </c>
      <c r="F1622" s="1" t="s">
        <v>8</v>
      </c>
      <c r="G1622" s="1" t="s">
        <v>9</v>
      </c>
      <c r="H1622" s="1" t="s">
        <v>10</v>
      </c>
    </row>
    <row r="1623" spans="1:8" x14ac:dyDescent="0.3">
      <c r="A1623" s="1">
        <v>718</v>
      </c>
      <c r="B1623" s="1" t="s">
        <v>1687</v>
      </c>
      <c r="C1623" s="1" t="s">
        <v>5131</v>
      </c>
      <c r="D1623" s="1" t="s">
        <v>5132</v>
      </c>
      <c r="E1623" s="1">
        <v>146.53</v>
      </c>
      <c r="F1623" s="1" t="s">
        <v>8</v>
      </c>
      <c r="G1623" s="1" t="s">
        <v>9</v>
      </c>
      <c r="H1623" s="1" t="s">
        <v>10</v>
      </c>
    </row>
    <row r="1624" spans="1:8" x14ac:dyDescent="0.3">
      <c r="A1624" s="1">
        <v>718</v>
      </c>
      <c r="B1624" s="1" t="s">
        <v>1687</v>
      </c>
      <c r="C1624" s="1" t="s">
        <v>5133</v>
      </c>
      <c r="D1624" s="1" t="s">
        <v>5134</v>
      </c>
      <c r="E1624" s="1">
        <v>64.77</v>
      </c>
      <c r="F1624" s="1" t="s">
        <v>8</v>
      </c>
      <c r="G1624" s="1" t="s">
        <v>9</v>
      </c>
      <c r="H1624" s="1" t="s">
        <v>10</v>
      </c>
    </row>
    <row r="1625" spans="1:8" x14ac:dyDescent="0.3">
      <c r="A1625" s="1">
        <v>718</v>
      </c>
      <c r="B1625" s="1" t="s">
        <v>1687</v>
      </c>
      <c r="C1625" s="1" t="s">
        <v>5135</v>
      </c>
      <c r="D1625" s="1" t="s">
        <v>5136</v>
      </c>
      <c r="E1625" s="1">
        <v>1280.23</v>
      </c>
      <c r="F1625" s="1" t="s">
        <v>8</v>
      </c>
      <c r="G1625" s="1" t="s">
        <v>9</v>
      </c>
      <c r="H1625" s="1" t="s">
        <v>10</v>
      </c>
    </row>
    <row r="1626" spans="1:8" x14ac:dyDescent="0.3">
      <c r="A1626" s="1">
        <v>718</v>
      </c>
      <c r="B1626" s="1" t="s">
        <v>1687</v>
      </c>
      <c r="C1626" s="1" t="s">
        <v>5137</v>
      </c>
      <c r="D1626" s="1" t="s">
        <v>5138</v>
      </c>
      <c r="E1626" s="1">
        <v>5930.28</v>
      </c>
      <c r="F1626" s="1" t="s">
        <v>8</v>
      </c>
      <c r="G1626" s="1" t="s">
        <v>9</v>
      </c>
      <c r="H1626" s="1" t="s">
        <v>10</v>
      </c>
    </row>
    <row r="1627" spans="1:8" x14ac:dyDescent="0.3">
      <c r="A1627" s="1">
        <v>718</v>
      </c>
      <c r="B1627" s="1" t="s">
        <v>1687</v>
      </c>
      <c r="C1627" s="1" t="s">
        <v>5139</v>
      </c>
      <c r="D1627" s="1" t="s">
        <v>5140</v>
      </c>
      <c r="E1627" s="1">
        <v>5447.59</v>
      </c>
      <c r="F1627" s="1" t="s">
        <v>8</v>
      </c>
      <c r="G1627" s="1" t="s">
        <v>9</v>
      </c>
      <c r="H1627" s="1" t="s">
        <v>10</v>
      </c>
    </row>
    <row r="1628" spans="1:8" x14ac:dyDescent="0.3">
      <c r="A1628" s="1">
        <v>718</v>
      </c>
      <c r="B1628" s="1" t="s">
        <v>1687</v>
      </c>
      <c r="C1628" s="1" t="s">
        <v>5141</v>
      </c>
      <c r="D1628" s="1" t="s">
        <v>5142</v>
      </c>
      <c r="E1628" s="1">
        <v>2140.1999999999998</v>
      </c>
      <c r="F1628" s="1" t="s">
        <v>8</v>
      </c>
      <c r="G1628" s="1" t="s">
        <v>9</v>
      </c>
      <c r="H1628" s="1" t="s">
        <v>10</v>
      </c>
    </row>
    <row r="1629" spans="1:8" x14ac:dyDescent="0.3">
      <c r="A1629" s="1">
        <v>718</v>
      </c>
      <c r="B1629" s="1" t="s">
        <v>1687</v>
      </c>
      <c r="C1629" s="1" t="s">
        <v>5143</v>
      </c>
      <c r="D1629" s="1" t="s">
        <v>5144</v>
      </c>
      <c r="E1629" s="1">
        <v>916.2</v>
      </c>
      <c r="F1629" s="1" t="s">
        <v>8</v>
      </c>
      <c r="G1629" s="1" t="s">
        <v>9</v>
      </c>
      <c r="H1629" s="1" t="s">
        <v>10</v>
      </c>
    </row>
    <row r="1630" spans="1:8" x14ac:dyDescent="0.3">
      <c r="A1630" s="1">
        <v>718</v>
      </c>
      <c r="B1630" s="1" t="s">
        <v>1687</v>
      </c>
      <c r="C1630" s="1" t="s">
        <v>5145</v>
      </c>
      <c r="D1630" s="1" t="s">
        <v>5146</v>
      </c>
      <c r="E1630" s="1">
        <v>1890</v>
      </c>
      <c r="F1630" s="1" t="s">
        <v>8</v>
      </c>
      <c r="G1630" s="1" t="s">
        <v>9</v>
      </c>
      <c r="H1630" s="1" t="s">
        <v>10</v>
      </c>
    </row>
    <row r="1631" spans="1:8" x14ac:dyDescent="0.3">
      <c r="A1631" s="1">
        <v>718</v>
      </c>
      <c r="B1631" s="1" t="s">
        <v>1687</v>
      </c>
      <c r="C1631" s="1" t="s">
        <v>5147</v>
      </c>
      <c r="D1631" s="1" t="s">
        <v>5148</v>
      </c>
      <c r="E1631" s="1">
        <v>2377.08</v>
      </c>
      <c r="F1631" s="1" t="s">
        <v>8</v>
      </c>
      <c r="G1631" s="1" t="s">
        <v>9</v>
      </c>
      <c r="H1631" s="1" t="s">
        <v>10</v>
      </c>
    </row>
    <row r="1632" spans="1:8" x14ac:dyDescent="0.3">
      <c r="A1632" s="1">
        <v>718</v>
      </c>
      <c r="B1632" s="1" t="s">
        <v>1687</v>
      </c>
      <c r="C1632" s="1" t="s">
        <v>5149</v>
      </c>
      <c r="D1632" s="1" t="s">
        <v>5150</v>
      </c>
      <c r="E1632" s="1">
        <v>799.92</v>
      </c>
      <c r="F1632" s="1" t="s">
        <v>8</v>
      </c>
      <c r="G1632" s="1" t="s">
        <v>9</v>
      </c>
      <c r="H1632" s="1" t="s">
        <v>10</v>
      </c>
    </row>
    <row r="1633" spans="1:8" x14ac:dyDescent="0.3">
      <c r="A1633" s="1">
        <v>718</v>
      </c>
      <c r="B1633" s="1" t="s">
        <v>1687</v>
      </c>
      <c r="C1633" s="1" t="s">
        <v>5151</v>
      </c>
      <c r="D1633" s="1" t="s">
        <v>5152</v>
      </c>
      <c r="E1633" s="1">
        <v>8761.83</v>
      </c>
      <c r="F1633" s="1" t="s">
        <v>8</v>
      </c>
      <c r="G1633" s="1" t="s">
        <v>9</v>
      </c>
      <c r="H1633" s="1" t="s">
        <v>10</v>
      </c>
    </row>
    <row r="1634" spans="1:8" x14ac:dyDescent="0.3">
      <c r="A1634" s="1">
        <v>718</v>
      </c>
      <c r="B1634" s="1" t="s">
        <v>1687</v>
      </c>
      <c r="C1634" s="1" t="s">
        <v>5153</v>
      </c>
      <c r="D1634" s="1" t="s">
        <v>5154</v>
      </c>
      <c r="E1634" s="1">
        <v>873.36</v>
      </c>
      <c r="F1634" s="1" t="s">
        <v>8</v>
      </c>
      <c r="G1634" s="1" t="s">
        <v>9</v>
      </c>
      <c r="H1634" s="1" t="s">
        <v>10</v>
      </c>
    </row>
    <row r="1635" spans="1:8" x14ac:dyDescent="0.3">
      <c r="A1635" s="1">
        <v>718</v>
      </c>
      <c r="B1635" s="1" t="s">
        <v>1687</v>
      </c>
      <c r="C1635" s="1" t="s">
        <v>5155</v>
      </c>
      <c r="D1635" s="1" t="s">
        <v>5156</v>
      </c>
      <c r="E1635" s="1">
        <v>1527.72</v>
      </c>
      <c r="F1635" s="1" t="s">
        <v>8</v>
      </c>
      <c r="G1635" s="1" t="s">
        <v>9</v>
      </c>
      <c r="H1635" s="1" t="s">
        <v>10</v>
      </c>
    </row>
    <row r="1636" spans="1:8" x14ac:dyDescent="0.3">
      <c r="A1636" s="1">
        <v>718</v>
      </c>
      <c r="B1636" s="1" t="s">
        <v>1687</v>
      </c>
      <c r="C1636" s="1" t="s">
        <v>5157</v>
      </c>
      <c r="D1636" s="1" t="s">
        <v>5158</v>
      </c>
      <c r="E1636" s="1">
        <v>445</v>
      </c>
      <c r="F1636" s="1" t="s">
        <v>8</v>
      </c>
      <c r="G1636" s="1" t="s">
        <v>9</v>
      </c>
      <c r="H1636" s="1" t="s">
        <v>10</v>
      </c>
    </row>
    <row r="1637" spans="1:8" x14ac:dyDescent="0.3">
      <c r="A1637" s="1">
        <v>718</v>
      </c>
      <c r="B1637" s="1" t="s">
        <v>1687</v>
      </c>
      <c r="C1637" s="1" t="s">
        <v>5159</v>
      </c>
      <c r="D1637" s="1" t="s">
        <v>5160</v>
      </c>
      <c r="E1637" s="1">
        <v>287.04000000000002</v>
      </c>
      <c r="F1637" s="1" t="s">
        <v>8</v>
      </c>
      <c r="G1637" s="1" t="s">
        <v>9</v>
      </c>
      <c r="H1637" s="1" t="s">
        <v>10</v>
      </c>
    </row>
    <row r="1638" spans="1:8" x14ac:dyDescent="0.3">
      <c r="A1638" s="1">
        <v>718</v>
      </c>
      <c r="B1638" s="1" t="s">
        <v>1687</v>
      </c>
      <c r="C1638" s="1" t="s">
        <v>5161</v>
      </c>
      <c r="D1638" s="1" t="s">
        <v>5162</v>
      </c>
      <c r="E1638" s="1">
        <v>4106.3999999999996</v>
      </c>
      <c r="F1638" s="1" t="s">
        <v>8</v>
      </c>
      <c r="G1638" s="1" t="s">
        <v>9</v>
      </c>
      <c r="H1638" s="1" t="s">
        <v>10</v>
      </c>
    </row>
    <row r="1639" spans="1:8" x14ac:dyDescent="0.3">
      <c r="A1639" s="1">
        <v>718</v>
      </c>
      <c r="B1639" s="1" t="s">
        <v>1687</v>
      </c>
      <c r="C1639" s="1" t="s">
        <v>5163</v>
      </c>
      <c r="D1639" s="1" t="s">
        <v>5164</v>
      </c>
      <c r="E1639" s="1">
        <v>1299</v>
      </c>
      <c r="F1639" s="1" t="s">
        <v>8</v>
      </c>
      <c r="G1639" s="1" t="s">
        <v>9</v>
      </c>
      <c r="H1639" s="1" t="s">
        <v>10</v>
      </c>
    </row>
    <row r="1640" spans="1:8" x14ac:dyDescent="0.3">
      <c r="A1640" s="1">
        <v>718</v>
      </c>
      <c r="B1640" s="1" t="s">
        <v>1687</v>
      </c>
      <c r="C1640" s="1" t="s">
        <v>5165</v>
      </c>
      <c r="D1640" s="1" t="s">
        <v>5166</v>
      </c>
      <c r="E1640" s="1">
        <v>89</v>
      </c>
      <c r="F1640" s="1" t="s">
        <v>8</v>
      </c>
      <c r="G1640" s="1" t="s">
        <v>9</v>
      </c>
      <c r="H1640" s="1" t="s">
        <v>10</v>
      </c>
    </row>
    <row r="1641" spans="1:8" x14ac:dyDescent="0.3">
      <c r="A1641" s="1">
        <v>718</v>
      </c>
      <c r="B1641" s="1" t="s">
        <v>1687</v>
      </c>
      <c r="C1641" s="1" t="s">
        <v>5167</v>
      </c>
      <c r="D1641" s="1" t="s">
        <v>5168</v>
      </c>
      <c r="E1641" s="1">
        <v>1874.31</v>
      </c>
      <c r="F1641" s="1" t="s">
        <v>8</v>
      </c>
      <c r="G1641" s="1" t="s">
        <v>9</v>
      </c>
      <c r="H1641" s="1" t="s">
        <v>10</v>
      </c>
    </row>
    <row r="1642" spans="1:8" x14ac:dyDescent="0.3">
      <c r="A1642" s="1">
        <v>718</v>
      </c>
      <c r="B1642" s="1" t="s">
        <v>1687</v>
      </c>
      <c r="C1642" s="1" t="s">
        <v>5169</v>
      </c>
      <c r="D1642" s="1" t="s">
        <v>5170</v>
      </c>
      <c r="E1642" s="1">
        <v>464.04</v>
      </c>
      <c r="F1642" s="1" t="s">
        <v>8</v>
      </c>
      <c r="G1642" s="1" t="s">
        <v>9</v>
      </c>
      <c r="H1642" s="1" t="s">
        <v>10</v>
      </c>
    </row>
    <row r="1643" spans="1:8" x14ac:dyDescent="0.3">
      <c r="A1643" s="1">
        <v>718</v>
      </c>
      <c r="B1643" s="1" t="s">
        <v>1687</v>
      </c>
      <c r="C1643" s="1" t="s">
        <v>5171</v>
      </c>
      <c r="D1643" s="1" t="s">
        <v>5172</v>
      </c>
      <c r="E1643" s="1">
        <v>5505.99</v>
      </c>
      <c r="F1643" s="1" t="s">
        <v>8</v>
      </c>
      <c r="G1643" s="1" t="s">
        <v>9</v>
      </c>
      <c r="H1643" s="1" t="s">
        <v>10</v>
      </c>
    </row>
    <row r="1644" spans="1:8" x14ac:dyDescent="0.3">
      <c r="A1644" s="1">
        <v>718</v>
      </c>
      <c r="B1644" s="1" t="s">
        <v>1687</v>
      </c>
      <c r="C1644" s="1" t="s">
        <v>5173</v>
      </c>
      <c r="D1644" s="1" t="s">
        <v>5174</v>
      </c>
      <c r="E1644" s="1">
        <v>1830.93</v>
      </c>
      <c r="F1644" s="1" t="s">
        <v>8</v>
      </c>
      <c r="G1644" s="1" t="s">
        <v>9</v>
      </c>
      <c r="H1644" s="1" t="s">
        <v>10</v>
      </c>
    </row>
    <row r="1645" spans="1:8" x14ac:dyDescent="0.3">
      <c r="A1645" s="1">
        <v>718</v>
      </c>
      <c r="B1645" s="1" t="s">
        <v>1687</v>
      </c>
      <c r="C1645" s="1" t="s">
        <v>5175</v>
      </c>
      <c r="D1645" s="1" t="s">
        <v>5176</v>
      </c>
      <c r="E1645" s="1">
        <v>2388</v>
      </c>
      <c r="F1645" s="1" t="s">
        <v>8</v>
      </c>
      <c r="G1645" s="1" t="s">
        <v>9</v>
      </c>
      <c r="H1645" s="1" t="s">
        <v>10</v>
      </c>
    </row>
    <row r="1646" spans="1:8" x14ac:dyDescent="0.3">
      <c r="A1646" s="1">
        <v>718</v>
      </c>
      <c r="B1646" s="1" t="s">
        <v>1687</v>
      </c>
      <c r="C1646" s="1" t="s">
        <v>5177</v>
      </c>
      <c r="D1646" s="1" t="s">
        <v>5178</v>
      </c>
      <c r="E1646" s="1">
        <v>316</v>
      </c>
      <c r="F1646" s="1" t="s">
        <v>8</v>
      </c>
      <c r="G1646" s="1" t="s">
        <v>9</v>
      </c>
      <c r="H1646" s="1" t="s">
        <v>10</v>
      </c>
    </row>
    <row r="1647" spans="1:8" x14ac:dyDescent="0.3">
      <c r="A1647" s="1">
        <v>718</v>
      </c>
      <c r="B1647" s="1" t="s">
        <v>1687</v>
      </c>
      <c r="C1647" s="1" t="s">
        <v>5179</v>
      </c>
      <c r="D1647" s="1" t="s">
        <v>5180</v>
      </c>
      <c r="E1647" s="1">
        <v>1603.74</v>
      </c>
      <c r="F1647" s="1" t="s">
        <v>8</v>
      </c>
      <c r="G1647" s="1" t="s">
        <v>9</v>
      </c>
      <c r="H1647" s="1" t="s">
        <v>10</v>
      </c>
    </row>
    <row r="1648" spans="1:8" x14ac:dyDescent="0.3">
      <c r="A1648" s="1">
        <v>718</v>
      </c>
      <c r="B1648" s="1" t="s">
        <v>1687</v>
      </c>
      <c r="C1648" s="1" t="s">
        <v>5181</v>
      </c>
      <c r="D1648" s="1" t="s">
        <v>5182</v>
      </c>
      <c r="E1648" s="1">
        <v>2197.0700000000002</v>
      </c>
      <c r="F1648" s="1" t="s">
        <v>8</v>
      </c>
      <c r="G1648" s="1" t="s">
        <v>9</v>
      </c>
      <c r="H1648" s="1" t="s">
        <v>10</v>
      </c>
    </row>
    <row r="1649" spans="1:8" x14ac:dyDescent="0.3">
      <c r="A1649" s="1">
        <v>718</v>
      </c>
      <c r="B1649" s="1" t="s">
        <v>1687</v>
      </c>
      <c r="C1649" s="1" t="s">
        <v>5183</v>
      </c>
      <c r="D1649" s="1" t="s">
        <v>5184</v>
      </c>
      <c r="E1649" s="1">
        <v>3918.53</v>
      </c>
      <c r="F1649" s="1" t="s">
        <v>8</v>
      </c>
      <c r="G1649" s="1" t="s">
        <v>9</v>
      </c>
      <c r="H1649" s="1" t="s">
        <v>10</v>
      </c>
    </row>
    <row r="1650" spans="1:8" x14ac:dyDescent="0.3">
      <c r="A1650" s="1">
        <v>718</v>
      </c>
      <c r="B1650" s="1" t="s">
        <v>1687</v>
      </c>
      <c r="C1650" s="1" t="s">
        <v>5185</v>
      </c>
      <c r="D1650" s="1" t="s">
        <v>5186</v>
      </c>
      <c r="E1650" s="1">
        <v>6723.21</v>
      </c>
      <c r="F1650" s="1" t="s">
        <v>8</v>
      </c>
      <c r="G1650" s="1" t="s">
        <v>9</v>
      </c>
      <c r="H1650" s="1" t="s">
        <v>10</v>
      </c>
    </row>
    <row r="1651" spans="1:8" x14ac:dyDescent="0.3">
      <c r="A1651" s="1">
        <v>718</v>
      </c>
      <c r="B1651" s="1" t="s">
        <v>1687</v>
      </c>
      <c r="C1651" s="1" t="s">
        <v>5187</v>
      </c>
      <c r="D1651" s="1" t="s">
        <v>5188</v>
      </c>
      <c r="E1651" s="1">
        <v>27203.759999999998</v>
      </c>
      <c r="F1651" s="1" t="s">
        <v>8</v>
      </c>
      <c r="G1651" s="1" t="s">
        <v>9</v>
      </c>
      <c r="H1651" s="1" t="s">
        <v>10</v>
      </c>
    </row>
    <row r="1652" spans="1:8" x14ac:dyDescent="0.3">
      <c r="A1652" s="1">
        <v>718</v>
      </c>
      <c r="B1652" s="1" t="s">
        <v>1687</v>
      </c>
      <c r="C1652" s="1" t="s">
        <v>5189</v>
      </c>
      <c r="D1652" s="1" t="s">
        <v>5190</v>
      </c>
      <c r="E1652" s="1">
        <v>20189.419999999998</v>
      </c>
      <c r="F1652" s="1" t="s">
        <v>8</v>
      </c>
      <c r="G1652" s="1" t="s">
        <v>9</v>
      </c>
      <c r="H1652" s="1" t="s">
        <v>10</v>
      </c>
    </row>
    <row r="1653" spans="1:8" x14ac:dyDescent="0.3">
      <c r="A1653" s="1">
        <v>718</v>
      </c>
      <c r="B1653" s="1" t="s">
        <v>1687</v>
      </c>
      <c r="C1653" s="1" t="s">
        <v>5191</v>
      </c>
      <c r="D1653" s="1" t="s">
        <v>5192</v>
      </c>
      <c r="E1653" s="1">
        <v>524.08000000000004</v>
      </c>
      <c r="F1653" s="1" t="s">
        <v>8</v>
      </c>
      <c r="G1653" s="1" t="s">
        <v>9</v>
      </c>
      <c r="H1653" s="1" t="s">
        <v>10</v>
      </c>
    </row>
    <row r="1654" spans="1:8" x14ac:dyDescent="0.3">
      <c r="A1654" s="1">
        <v>718</v>
      </c>
      <c r="B1654" s="1" t="s">
        <v>1687</v>
      </c>
      <c r="C1654" s="1" t="s">
        <v>5193</v>
      </c>
      <c r="D1654" s="1" t="s">
        <v>5194</v>
      </c>
      <c r="E1654" s="1">
        <v>53.69</v>
      </c>
      <c r="F1654" s="1" t="s">
        <v>8</v>
      </c>
      <c r="G1654" s="1" t="s">
        <v>9</v>
      </c>
      <c r="H1654" s="1" t="s">
        <v>10</v>
      </c>
    </row>
    <row r="1655" spans="1:8" x14ac:dyDescent="0.3">
      <c r="A1655" s="1">
        <v>718</v>
      </c>
      <c r="B1655" s="1" t="s">
        <v>1687</v>
      </c>
      <c r="C1655" s="1" t="s">
        <v>5195</v>
      </c>
      <c r="D1655" s="1" t="s">
        <v>5196</v>
      </c>
      <c r="E1655" s="1">
        <v>64000</v>
      </c>
      <c r="F1655" s="1" t="s">
        <v>8</v>
      </c>
      <c r="G1655" s="1" t="s">
        <v>13</v>
      </c>
      <c r="H1655" s="1" t="s">
        <v>10</v>
      </c>
    </row>
    <row r="1656" spans="1:8" x14ac:dyDescent="0.3">
      <c r="A1656" s="1">
        <v>718</v>
      </c>
      <c r="B1656" s="1" t="s">
        <v>1687</v>
      </c>
      <c r="C1656" s="1" t="s">
        <v>5197</v>
      </c>
      <c r="D1656" s="1" t="s">
        <v>5198</v>
      </c>
      <c r="E1656" s="1">
        <v>106080</v>
      </c>
      <c r="F1656" s="1" t="s">
        <v>8</v>
      </c>
      <c r="G1656" s="1" t="s">
        <v>13</v>
      </c>
      <c r="H1656" s="1" t="s">
        <v>10</v>
      </c>
    </row>
    <row r="1657" spans="1:8" x14ac:dyDescent="0.3">
      <c r="A1657" s="1">
        <v>718</v>
      </c>
      <c r="B1657" s="1" t="s">
        <v>1687</v>
      </c>
      <c r="C1657" s="1" t="s">
        <v>5199</v>
      </c>
      <c r="D1657" s="1" t="s">
        <v>5200</v>
      </c>
      <c r="E1657" s="1">
        <v>9120</v>
      </c>
      <c r="F1657" s="1" t="s">
        <v>8</v>
      </c>
      <c r="G1657" s="1" t="s">
        <v>13</v>
      </c>
      <c r="H1657" s="1" t="s">
        <v>10</v>
      </c>
    </row>
    <row r="1658" spans="1:8" x14ac:dyDescent="0.3">
      <c r="A1658" s="1">
        <v>718</v>
      </c>
      <c r="B1658" s="1" t="s">
        <v>1687</v>
      </c>
      <c r="C1658" s="1" t="s">
        <v>5201</v>
      </c>
      <c r="D1658" s="1" t="s">
        <v>5202</v>
      </c>
      <c r="E1658" s="1">
        <v>6910</v>
      </c>
      <c r="F1658" s="1" t="s">
        <v>8</v>
      </c>
      <c r="G1658" s="1" t="s">
        <v>9</v>
      </c>
      <c r="H1658" s="1" t="s">
        <v>10</v>
      </c>
    </row>
    <row r="1659" spans="1:8" x14ac:dyDescent="0.3">
      <c r="A1659" s="1">
        <v>718</v>
      </c>
      <c r="B1659" s="1" t="s">
        <v>1687</v>
      </c>
      <c r="C1659" s="1" t="s">
        <v>5203</v>
      </c>
      <c r="D1659" s="1" t="s">
        <v>5204</v>
      </c>
      <c r="E1659" s="1">
        <v>43.95</v>
      </c>
      <c r="F1659" s="1" t="s">
        <v>8</v>
      </c>
      <c r="G1659" s="1" t="s">
        <v>9</v>
      </c>
      <c r="H1659" s="1" t="s">
        <v>10</v>
      </c>
    </row>
    <row r="1660" spans="1:8" x14ac:dyDescent="0.3">
      <c r="A1660" s="1">
        <v>718</v>
      </c>
      <c r="B1660" s="1" t="s">
        <v>1687</v>
      </c>
      <c r="C1660" s="1" t="s">
        <v>5205</v>
      </c>
      <c r="D1660" s="1" t="s">
        <v>5206</v>
      </c>
      <c r="E1660" s="1">
        <v>1545.12</v>
      </c>
      <c r="F1660" s="1" t="s">
        <v>8</v>
      </c>
      <c r="G1660" s="1" t="s">
        <v>9</v>
      </c>
      <c r="H1660" s="1" t="s">
        <v>10</v>
      </c>
    </row>
    <row r="1661" spans="1:8" x14ac:dyDescent="0.3">
      <c r="A1661" s="1">
        <v>718</v>
      </c>
      <c r="B1661" s="1" t="s">
        <v>1687</v>
      </c>
      <c r="C1661" s="1" t="s">
        <v>5207</v>
      </c>
      <c r="D1661" s="1" t="s">
        <v>5208</v>
      </c>
      <c r="E1661" s="1">
        <v>1345</v>
      </c>
      <c r="F1661" s="1" t="s">
        <v>8</v>
      </c>
      <c r="G1661" s="1" t="s">
        <v>9</v>
      </c>
      <c r="H1661" s="1" t="s">
        <v>10</v>
      </c>
    </row>
    <row r="1662" spans="1:8" x14ac:dyDescent="0.3">
      <c r="A1662" s="1">
        <v>718</v>
      </c>
      <c r="B1662" s="1" t="s">
        <v>1687</v>
      </c>
      <c r="C1662" s="1" t="s">
        <v>5209</v>
      </c>
      <c r="D1662" s="1" t="s">
        <v>5210</v>
      </c>
      <c r="E1662" s="1">
        <v>193.98</v>
      </c>
      <c r="F1662" s="1" t="s">
        <v>8</v>
      </c>
      <c r="G1662" s="1" t="s">
        <v>9</v>
      </c>
      <c r="H1662" s="1" t="s">
        <v>10</v>
      </c>
    </row>
    <row r="1663" spans="1:8" x14ac:dyDescent="0.3">
      <c r="A1663" s="1">
        <v>718</v>
      </c>
      <c r="B1663" s="1" t="s">
        <v>1687</v>
      </c>
      <c r="C1663" s="1" t="s">
        <v>5211</v>
      </c>
      <c r="D1663" s="1" t="s">
        <v>5212</v>
      </c>
      <c r="E1663" s="1">
        <v>351.03</v>
      </c>
      <c r="F1663" s="1" t="s">
        <v>8</v>
      </c>
      <c r="G1663" s="1" t="s">
        <v>9</v>
      </c>
      <c r="H1663" s="1" t="s">
        <v>10</v>
      </c>
    </row>
    <row r="1664" spans="1:8" x14ac:dyDescent="0.3">
      <c r="A1664" s="1">
        <v>718</v>
      </c>
      <c r="B1664" s="1" t="s">
        <v>1687</v>
      </c>
      <c r="C1664" s="1" t="s">
        <v>5213</v>
      </c>
      <c r="D1664" s="1" t="s">
        <v>5214</v>
      </c>
      <c r="E1664" s="1">
        <v>750</v>
      </c>
      <c r="F1664" s="1" t="s">
        <v>8</v>
      </c>
      <c r="G1664" s="1" t="s">
        <v>9</v>
      </c>
      <c r="H1664" s="1" t="s">
        <v>10</v>
      </c>
    </row>
    <row r="1665" spans="1:8" x14ac:dyDescent="0.3">
      <c r="A1665" s="1">
        <v>718</v>
      </c>
      <c r="B1665" s="1" t="s">
        <v>1687</v>
      </c>
      <c r="C1665" s="1" t="s">
        <v>5215</v>
      </c>
      <c r="D1665" s="1" t="s">
        <v>5216</v>
      </c>
      <c r="E1665" s="1">
        <v>41</v>
      </c>
      <c r="F1665" s="1" t="s">
        <v>8</v>
      </c>
      <c r="G1665" s="1" t="s">
        <v>9</v>
      </c>
      <c r="H1665" s="1" t="s">
        <v>10</v>
      </c>
    </row>
    <row r="1666" spans="1:8" x14ac:dyDescent="0.3">
      <c r="A1666" s="1">
        <v>718</v>
      </c>
      <c r="B1666" s="1" t="s">
        <v>1687</v>
      </c>
      <c r="C1666" s="1" t="s">
        <v>5217</v>
      </c>
      <c r="D1666" s="1" t="s">
        <v>5218</v>
      </c>
      <c r="E1666" s="1">
        <v>2101.2199999999998</v>
      </c>
      <c r="F1666" s="1" t="s">
        <v>8</v>
      </c>
      <c r="G1666" s="1" t="s">
        <v>9</v>
      </c>
      <c r="H1666" s="1" t="s">
        <v>10</v>
      </c>
    </row>
    <row r="1667" spans="1:8" x14ac:dyDescent="0.3">
      <c r="A1667" s="1">
        <v>718</v>
      </c>
      <c r="B1667" s="1" t="s">
        <v>1687</v>
      </c>
      <c r="C1667" s="1" t="s">
        <v>5219</v>
      </c>
      <c r="D1667" s="1" t="s">
        <v>5220</v>
      </c>
      <c r="E1667" s="1">
        <v>16519.5</v>
      </c>
      <c r="F1667" s="1" t="s">
        <v>8</v>
      </c>
      <c r="G1667" s="1" t="s">
        <v>9</v>
      </c>
      <c r="H1667" s="1" t="s">
        <v>10</v>
      </c>
    </row>
    <row r="1668" spans="1:8" x14ac:dyDescent="0.3">
      <c r="A1668" s="1">
        <v>718</v>
      </c>
      <c r="B1668" s="1" t="s">
        <v>1687</v>
      </c>
      <c r="C1668" s="1" t="s">
        <v>5221</v>
      </c>
      <c r="D1668" s="1" t="s">
        <v>5222</v>
      </c>
      <c r="E1668" s="1">
        <v>999</v>
      </c>
      <c r="F1668" s="1" t="s">
        <v>8</v>
      </c>
      <c r="G1668" s="1" t="s">
        <v>9</v>
      </c>
      <c r="H1668" s="1" t="s">
        <v>10</v>
      </c>
    </row>
    <row r="1669" spans="1:8" x14ac:dyDescent="0.3">
      <c r="A1669" s="1">
        <v>718</v>
      </c>
      <c r="B1669" s="1" t="s">
        <v>1687</v>
      </c>
      <c r="C1669" s="1" t="s">
        <v>5223</v>
      </c>
      <c r="D1669" s="1" t="s">
        <v>5224</v>
      </c>
      <c r="E1669" s="1">
        <v>420</v>
      </c>
      <c r="F1669" s="1" t="s">
        <v>8</v>
      </c>
      <c r="G1669" s="1" t="s">
        <v>9</v>
      </c>
      <c r="H1669" s="1" t="s">
        <v>10</v>
      </c>
    </row>
    <row r="1670" spans="1:8" x14ac:dyDescent="0.3">
      <c r="A1670" s="1">
        <v>718</v>
      </c>
      <c r="B1670" s="1" t="s">
        <v>1687</v>
      </c>
      <c r="C1670" s="1" t="s">
        <v>5225</v>
      </c>
      <c r="D1670" s="1" t="s">
        <v>5226</v>
      </c>
      <c r="E1670" s="1">
        <v>867</v>
      </c>
      <c r="F1670" s="1" t="s">
        <v>8</v>
      </c>
      <c r="G1670" s="1" t="s">
        <v>9</v>
      </c>
      <c r="H1670" s="1" t="s">
        <v>10</v>
      </c>
    </row>
    <row r="1671" spans="1:8" x14ac:dyDescent="0.3">
      <c r="A1671" s="1">
        <v>718</v>
      </c>
      <c r="B1671" s="1" t="s">
        <v>1687</v>
      </c>
      <c r="C1671" s="1" t="s">
        <v>2321</v>
      </c>
      <c r="D1671" s="1" t="s">
        <v>5227</v>
      </c>
      <c r="E1671" s="1">
        <v>34.47</v>
      </c>
      <c r="F1671" s="1" t="s">
        <v>8</v>
      </c>
      <c r="G1671" s="1" t="s">
        <v>9</v>
      </c>
      <c r="H1671" s="1" t="s">
        <v>10</v>
      </c>
    </row>
    <row r="1672" spans="1:8" x14ac:dyDescent="0.3">
      <c r="A1672" s="1">
        <v>718</v>
      </c>
      <c r="B1672" s="1" t="s">
        <v>1687</v>
      </c>
      <c r="C1672" s="1" t="s">
        <v>5228</v>
      </c>
      <c r="D1672" s="1" t="s">
        <v>5229</v>
      </c>
      <c r="E1672" s="1">
        <v>193</v>
      </c>
      <c r="F1672" s="1" t="s">
        <v>8</v>
      </c>
      <c r="G1672" s="1" t="s">
        <v>9</v>
      </c>
      <c r="H1672" s="1" t="s">
        <v>10</v>
      </c>
    </row>
    <row r="1673" spans="1:8" x14ac:dyDescent="0.3">
      <c r="A1673" s="1">
        <v>718</v>
      </c>
      <c r="B1673" s="1" t="s">
        <v>1687</v>
      </c>
      <c r="C1673" s="1" t="s">
        <v>5230</v>
      </c>
      <c r="D1673" s="1" t="s">
        <v>5231</v>
      </c>
      <c r="E1673" s="1">
        <v>11098.7</v>
      </c>
      <c r="F1673" s="1" t="s">
        <v>8</v>
      </c>
      <c r="G1673" s="1" t="s">
        <v>9</v>
      </c>
      <c r="H1673" s="1" t="s">
        <v>10</v>
      </c>
    </row>
    <row r="1674" spans="1:8" x14ac:dyDescent="0.3">
      <c r="A1674" s="1">
        <v>718</v>
      </c>
      <c r="B1674" s="1" t="s">
        <v>1687</v>
      </c>
      <c r="C1674" s="1" t="s">
        <v>3958</v>
      </c>
      <c r="D1674" s="1" t="s">
        <v>5232</v>
      </c>
      <c r="E1674" s="1">
        <v>14395.68</v>
      </c>
      <c r="F1674" s="1" t="s">
        <v>8</v>
      </c>
      <c r="G1674" s="1" t="s">
        <v>9</v>
      </c>
      <c r="H1674" s="1" t="s">
        <v>10</v>
      </c>
    </row>
    <row r="1675" spans="1:8" x14ac:dyDescent="0.3">
      <c r="A1675" s="1">
        <v>718</v>
      </c>
      <c r="B1675" s="1" t="s">
        <v>1687</v>
      </c>
      <c r="C1675" s="1" t="s">
        <v>5233</v>
      </c>
      <c r="D1675" s="1" t="s">
        <v>5234</v>
      </c>
      <c r="E1675" s="1">
        <v>135.19999999999999</v>
      </c>
      <c r="F1675" s="1" t="s">
        <v>8</v>
      </c>
      <c r="G1675" s="1" t="s">
        <v>9</v>
      </c>
      <c r="H1675" s="1" t="s">
        <v>10</v>
      </c>
    </row>
    <row r="1676" spans="1:8" x14ac:dyDescent="0.3">
      <c r="A1676" s="1">
        <v>718</v>
      </c>
      <c r="B1676" s="1" t="s">
        <v>1687</v>
      </c>
      <c r="C1676" s="1" t="s">
        <v>5235</v>
      </c>
      <c r="D1676" s="1" t="s">
        <v>5236</v>
      </c>
      <c r="E1676" s="1">
        <v>1379.67</v>
      </c>
      <c r="F1676" s="1" t="s">
        <v>8</v>
      </c>
      <c r="G1676" s="1" t="s">
        <v>9</v>
      </c>
      <c r="H1676" s="1" t="s">
        <v>10</v>
      </c>
    </row>
    <row r="1677" spans="1:8" x14ac:dyDescent="0.3">
      <c r="A1677" s="1">
        <v>718</v>
      </c>
      <c r="B1677" s="1" t="s">
        <v>1687</v>
      </c>
      <c r="C1677" s="1" t="s">
        <v>5237</v>
      </c>
      <c r="D1677" s="1" t="s">
        <v>5238</v>
      </c>
      <c r="E1677" s="1">
        <v>165.81</v>
      </c>
      <c r="F1677" s="1" t="s">
        <v>8</v>
      </c>
      <c r="G1677" s="1" t="s">
        <v>9</v>
      </c>
      <c r="H1677" s="1" t="s">
        <v>10</v>
      </c>
    </row>
    <row r="1678" spans="1:8" x14ac:dyDescent="0.3">
      <c r="A1678" s="1">
        <v>718</v>
      </c>
      <c r="B1678" s="1" t="s">
        <v>1687</v>
      </c>
      <c r="C1678" s="1" t="s">
        <v>5239</v>
      </c>
      <c r="D1678" s="1" t="s">
        <v>5240</v>
      </c>
      <c r="E1678" s="1">
        <v>7744.37</v>
      </c>
      <c r="F1678" s="1" t="s">
        <v>8</v>
      </c>
      <c r="G1678" s="1" t="s">
        <v>9</v>
      </c>
      <c r="H1678" s="1" t="s">
        <v>10</v>
      </c>
    </row>
    <row r="1679" spans="1:8" x14ac:dyDescent="0.3">
      <c r="A1679" s="1">
        <v>718</v>
      </c>
      <c r="B1679" s="1" t="s">
        <v>1687</v>
      </c>
      <c r="C1679" s="1" t="s">
        <v>5241</v>
      </c>
      <c r="D1679" s="1" t="s">
        <v>5242</v>
      </c>
      <c r="E1679" s="1">
        <v>4090.69</v>
      </c>
      <c r="F1679" s="1" t="s">
        <v>8</v>
      </c>
      <c r="G1679" s="1" t="s">
        <v>9</v>
      </c>
      <c r="H1679" s="1" t="s">
        <v>10</v>
      </c>
    </row>
    <row r="1680" spans="1:8" x14ac:dyDescent="0.3">
      <c r="A1680" s="1">
        <v>718</v>
      </c>
      <c r="B1680" s="1" t="s">
        <v>1687</v>
      </c>
      <c r="C1680" s="1" t="s">
        <v>5243</v>
      </c>
      <c r="D1680" s="1" t="s">
        <v>5244</v>
      </c>
      <c r="E1680" s="1">
        <v>679.6</v>
      </c>
      <c r="F1680" s="1" t="s">
        <v>8</v>
      </c>
      <c r="G1680" s="1" t="s">
        <v>9</v>
      </c>
      <c r="H1680" s="1" t="s">
        <v>10</v>
      </c>
    </row>
    <row r="1681" spans="1:8" x14ac:dyDescent="0.3">
      <c r="A1681" s="1">
        <v>718</v>
      </c>
      <c r="B1681" s="1" t="s">
        <v>1687</v>
      </c>
      <c r="C1681" s="1" t="s">
        <v>5245</v>
      </c>
      <c r="D1681" s="1" t="s">
        <v>5246</v>
      </c>
      <c r="E1681" s="1">
        <v>5595.51</v>
      </c>
      <c r="F1681" s="1" t="s">
        <v>8</v>
      </c>
      <c r="G1681" s="1" t="s">
        <v>9</v>
      </c>
      <c r="H1681" s="1" t="s">
        <v>10</v>
      </c>
    </row>
    <row r="1682" spans="1:8" x14ac:dyDescent="0.3">
      <c r="A1682" s="1">
        <v>718</v>
      </c>
      <c r="B1682" s="1" t="s">
        <v>1687</v>
      </c>
      <c r="C1682" s="1" t="s">
        <v>5247</v>
      </c>
      <c r="D1682" s="1" t="s">
        <v>5248</v>
      </c>
      <c r="E1682" s="1">
        <v>1099.6600000000001</v>
      </c>
      <c r="F1682" s="1" t="s">
        <v>8</v>
      </c>
      <c r="G1682" s="1" t="s">
        <v>9</v>
      </c>
      <c r="H1682" s="1" t="s">
        <v>10</v>
      </c>
    </row>
    <row r="1683" spans="1:8" x14ac:dyDescent="0.3">
      <c r="A1683" s="1">
        <v>718</v>
      </c>
      <c r="B1683" s="1" t="s">
        <v>1687</v>
      </c>
      <c r="C1683" s="1" t="s">
        <v>5249</v>
      </c>
      <c r="D1683" s="1" t="s">
        <v>5250</v>
      </c>
      <c r="E1683" s="1">
        <v>1099.6600000000001</v>
      </c>
      <c r="F1683" s="1" t="s">
        <v>8</v>
      </c>
      <c r="G1683" s="1" t="s">
        <v>9</v>
      </c>
      <c r="H1683" s="1" t="s">
        <v>10</v>
      </c>
    </row>
    <row r="1684" spans="1:8" x14ac:dyDescent="0.3">
      <c r="A1684" s="1">
        <v>718</v>
      </c>
      <c r="B1684" s="1" t="s">
        <v>1687</v>
      </c>
      <c r="C1684" s="1" t="s">
        <v>5251</v>
      </c>
      <c r="D1684" s="1" t="s">
        <v>5252</v>
      </c>
      <c r="E1684" s="1">
        <v>2701.6</v>
      </c>
      <c r="F1684" s="1" t="s">
        <v>8</v>
      </c>
      <c r="G1684" s="1" t="s">
        <v>9</v>
      </c>
      <c r="H1684" s="1" t="s">
        <v>10</v>
      </c>
    </row>
    <row r="1685" spans="1:8" x14ac:dyDescent="0.3">
      <c r="A1685" s="1">
        <v>718</v>
      </c>
      <c r="B1685" s="1" t="s">
        <v>1687</v>
      </c>
      <c r="C1685" s="1" t="s">
        <v>5253</v>
      </c>
      <c r="D1685" s="1" t="s">
        <v>5254</v>
      </c>
      <c r="E1685" s="1">
        <v>5826.11</v>
      </c>
      <c r="F1685" s="1" t="s">
        <v>8</v>
      </c>
      <c r="G1685" s="1" t="s">
        <v>9</v>
      </c>
      <c r="H1685" s="1" t="s">
        <v>10</v>
      </c>
    </row>
    <row r="1686" spans="1:8" x14ac:dyDescent="0.3">
      <c r="A1686" s="1">
        <v>718</v>
      </c>
      <c r="B1686" s="1" t="s">
        <v>1687</v>
      </c>
      <c r="C1686" s="1" t="s">
        <v>5255</v>
      </c>
      <c r="D1686" s="1" t="s">
        <v>5256</v>
      </c>
      <c r="E1686" s="1">
        <v>604.79999999999995</v>
      </c>
      <c r="F1686" s="1" t="s">
        <v>8</v>
      </c>
      <c r="G1686" s="1" t="s">
        <v>9</v>
      </c>
      <c r="H1686" s="1" t="s">
        <v>10</v>
      </c>
    </row>
    <row r="1687" spans="1:8" x14ac:dyDescent="0.3">
      <c r="A1687" s="1">
        <v>718</v>
      </c>
      <c r="B1687" s="1" t="s">
        <v>1687</v>
      </c>
      <c r="C1687" s="1" t="s">
        <v>5257</v>
      </c>
      <c r="D1687" s="1" t="s">
        <v>5258</v>
      </c>
      <c r="E1687" s="1">
        <v>9614.09</v>
      </c>
      <c r="F1687" s="1" t="s">
        <v>8</v>
      </c>
      <c r="G1687" s="1" t="s">
        <v>9</v>
      </c>
      <c r="H1687" s="1" t="s">
        <v>10</v>
      </c>
    </row>
    <row r="1688" spans="1:8" x14ac:dyDescent="0.3">
      <c r="A1688" s="1">
        <v>718</v>
      </c>
      <c r="B1688" s="1" t="s">
        <v>1687</v>
      </c>
      <c r="C1688" s="1" t="s">
        <v>5259</v>
      </c>
      <c r="D1688" s="1" t="s">
        <v>5260</v>
      </c>
      <c r="E1688" s="1">
        <v>2201.34</v>
      </c>
      <c r="F1688" s="1" t="s">
        <v>8</v>
      </c>
      <c r="G1688" s="1" t="s">
        <v>9</v>
      </c>
      <c r="H1688" s="1" t="s">
        <v>10</v>
      </c>
    </row>
    <row r="1689" spans="1:8" x14ac:dyDescent="0.3">
      <c r="A1689" s="1">
        <v>718</v>
      </c>
      <c r="B1689" s="1" t="s">
        <v>1687</v>
      </c>
      <c r="C1689" s="1" t="s">
        <v>5261</v>
      </c>
      <c r="D1689" s="1" t="s">
        <v>5262</v>
      </c>
      <c r="E1689" s="1">
        <v>5338.56</v>
      </c>
      <c r="F1689" s="1" t="s">
        <v>8</v>
      </c>
      <c r="G1689" s="1" t="s">
        <v>9</v>
      </c>
      <c r="H1689" s="1" t="s">
        <v>10</v>
      </c>
    </row>
    <row r="1690" spans="1:8" x14ac:dyDescent="0.3">
      <c r="A1690" s="1">
        <v>718</v>
      </c>
      <c r="B1690" s="1" t="s">
        <v>1687</v>
      </c>
      <c r="C1690" s="1" t="s">
        <v>5263</v>
      </c>
      <c r="D1690" s="1" t="s">
        <v>5264</v>
      </c>
      <c r="E1690" s="1">
        <v>3743.7</v>
      </c>
      <c r="F1690" s="1" t="s">
        <v>8</v>
      </c>
      <c r="G1690" s="1" t="s">
        <v>9</v>
      </c>
      <c r="H1690" s="1" t="s">
        <v>10</v>
      </c>
    </row>
    <row r="1691" spans="1:8" x14ac:dyDescent="0.3">
      <c r="A1691" s="1">
        <v>718</v>
      </c>
      <c r="B1691" s="1" t="s">
        <v>1687</v>
      </c>
      <c r="C1691" s="1" t="s">
        <v>5265</v>
      </c>
      <c r="D1691" s="1" t="s">
        <v>5266</v>
      </c>
      <c r="E1691" s="1">
        <v>4810.7</v>
      </c>
      <c r="F1691" s="1" t="s">
        <v>8</v>
      </c>
      <c r="G1691" s="1" t="s">
        <v>9</v>
      </c>
      <c r="H1691" s="1" t="s">
        <v>10</v>
      </c>
    </row>
    <row r="1692" spans="1:8" x14ac:dyDescent="0.3">
      <c r="A1692" s="1">
        <v>718</v>
      </c>
      <c r="B1692" s="1" t="s">
        <v>1687</v>
      </c>
      <c r="C1692" s="1" t="s">
        <v>5267</v>
      </c>
      <c r="D1692" s="1" t="s">
        <v>5268</v>
      </c>
      <c r="E1692" s="1">
        <v>13536.23</v>
      </c>
      <c r="F1692" s="1" t="s">
        <v>8</v>
      </c>
      <c r="G1692" s="1" t="s">
        <v>9</v>
      </c>
      <c r="H1692" s="1" t="s">
        <v>10</v>
      </c>
    </row>
    <row r="1693" spans="1:8" x14ac:dyDescent="0.3">
      <c r="A1693" s="1">
        <v>718</v>
      </c>
      <c r="B1693" s="1" t="s">
        <v>1687</v>
      </c>
      <c r="C1693" s="1" t="s">
        <v>5269</v>
      </c>
      <c r="D1693" s="1" t="s">
        <v>5270</v>
      </c>
      <c r="E1693" s="1">
        <v>17290.75</v>
      </c>
      <c r="F1693" s="1" t="s">
        <v>8</v>
      </c>
      <c r="G1693" s="1" t="s">
        <v>9</v>
      </c>
      <c r="H1693" s="1" t="s">
        <v>10</v>
      </c>
    </row>
    <row r="1694" spans="1:8" x14ac:dyDescent="0.3">
      <c r="A1694" s="1">
        <v>718</v>
      </c>
      <c r="B1694" s="1" t="s">
        <v>1687</v>
      </c>
      <c r="C1694" s="1" t="s">
        <v>5271</v>
      </c>
      <c r="D1694" s="1" t="s">
        <v>5272</v>
      </c>
      <c r="E1694" s="1">
        <v>586.79999999999995</v>
      </c>
      <c r="F1694" s="1" t="s">
        <v>8</v>
      </c>
      <c r="G1694" s="1" t="s">
        <v>9</v>
      </c>
      <c r="H1694" s="1" t="s">
        <v>10</v>
      </c>
    </row>
    <row r="1695" spans="1:8" x14ac:dyDescent="0.3">
      <c r="A1695" s="1">
        <v>718</v>
      </c>
      <c r="B1695" s="1" t="s">
        <v>1687</v>
      </c>
      <c r="C1695" s="1" t="s">
        <v>5273</v>
      </c>
      <c r="D1695" s="1" t="s">
        <v>5274</v>
      </c>
      <c r="E1695" s="1">
        <v>345.6</v>
      </c>
      <c r="F1695" s="1" t="s">
        <v>8</v>
      </c>
      <c r="G1695" s="1" t="s">
        <v>9</v>
      </c>
      <c r="H1695" s="1" t="s">
        <v>10</v>
      </c>
    </row>
    <row r="1696" spans="1:8" x14ac:dyDescent="0.3">
      <c r="A1696" s="1">
        <v>718</v>
      </c>
      <c r="B1696" s="1" t="s">
        <v>1687</v>
      </c>
      <c r="C1696" s="1" t="s">
        <v>5275</v>
      </c>
      <c r="D1696" s="1" t="s">
        <v>5276</v>
      </c>
      <c r="E1696" s="1">
        <v>3067.08</v>
      </c>
      <c r="F1696" s="1" t="s">
        <v>8</v>
      </c>
      <c r="G1696" s="1" t="s">
        <v>9</v>
      </c>
      <c r="H1696" s="1" t="s">
        <v>10</v>
      </c>
    </row>
    <row r="1697" spans="1:8" x14ac:dyDescent="0.3">
      <c r="A1697" s="1">
        <v>718</v>
      </c>
      <c r="B1697" s="1" t="s">
        <v>1687</v>
      </c>
      <c r="C1697" s="1" t="s">
        <v>5277</v>
      </c>
      <c r="D1697" s="1" t="s">
        <v>5278</v>
      </c>
      <c r="E1697" s="1">
        <v>122.7</v>
      </c>
      <c r="F1697" s="1" t="s">
        <v>8</v>
      </c>
      <c r="G1697" s="1" t="s">
        <v>9</v>
      </c>
      <c r="H1697" s="1" t="s">
        <v>10</v>
      </c>
    </row>
    <row r="1698" spans="1:8" x14ac:dyDescent="0.3">
      <c r="A1698" s="1">
        <v>718</v>
      </c>
      <c r="B1698" s="1" t="s">
        <v>1687</v>
      </c>
      <c r="C1698" s="1" t="s">
        <v>5279</v>
      </c>
      <c r="D1698" s="1" t="s">
        <v>5280</v>
      </c>
      <c r="E1698" s="1">
        <v>267.12</v>
      </c>
      <c r="F1698" s="1" t="s">
        <v>8</v>
      </c>
      <c r="G1698" s="1" t="s">
        <v>9</v>
      </c>
      <c r="H1698" s="1" t="s">
        <v>10</v>
      </c>
    </row>
    <row r="1699" spans="1:8" x14ac:dyDescent="0.3">
      <c r="A1699" s="1">
        <v>718</v>
      </c>
      <c r="B1699" s="1" t="s">
        <v>1687</v>
      </c>
      <c r="C1699" s="1" t="s">
        <v>5281</v>
      </c>
      <c r="D1699" s="1" t="s">
        <v>5282</v>
      </c>
      <c r="E1699" s="1">
        <v>1510.99</v>
      </c>
      <c r="F1699" s="1" t="s">
        <v>8</v>
      </c>
      <c r="G1699" s="1" t="s">
        <v>9</v>
      </c>
      <c r="H1699" s="1" t="s">
        <v>10</v>
      </c>
    </row>
    <row r="1700" spans="1:8" x14ac:dyDescent="0.3">
      <c r="A1700" s="1">
        <v>718</v>
      </c>
      <c r="B1700" s="1" t="s">
        <v>1687</v>
      </c>
      <c r="C1700" s="1" t="s">
        <v>5283</v>
      </c>
      <c r="D1700" s="1" t="s">
        <v>5284</v>
      </c>
      <c r="E1700" s="1">
        <v>926.65</v>
      </c>
      <c r="F1700" s="1" t="s">
        <v>8</v>
      </c>
      <c r="G1700" s="1" t="s">
        <v>9</v>
      </c>
      <c r="H1700" s="1" t="s">
        <v>10</v>
      </c>
    </row>
    <row r="1701" spans="1:8" x14ac:dyDescent="0.3">
      <c r="A1701" s="1">
        <v>718</v>
      </c>
      <c r="B1701" s="1" t="s">
        <v>1687</v>
      </c>
      <c r="C1701" s="1" t="s">
        <v>5285</v>
      </c>
      <c r="D1701" s="1" t="s">
        <v>5286</v>
      </c>
      <c r="E1701" s="1">
        <v>430.18</v>
      </c>
      <c r="F1701" s="1" t="s">
        <v>8</v>
      </c>
      <c r="G1701" s="1" t="s">
        <v>9</v>
      </c>
      <c r="H1701" s="1" t="s">
        <v>10</v>
      </c>
    </row>
    <row r="1702" spans="1:8" x14ac:dyDescent="0.3">
      <c r="A1702" s="1">
        <v>718</v>
      </c>
      <c r="B1702" s="1" t="s">
        <v>1687</v>
      </c>
      <c r="C1702" s="1" t="s">
        <v>5287</v>
      </c>
      <c r="D1702" s="1" t="s">
        <v>5288</v>
      </c>
      <c r="E1702" s="1">
        <v>2428.48</v>
      </c>
      <c r="F1702" s="1" t="s">
        <v>8</v>
      </c>
      <c r="G1702" s="1" t="s">
        <v>9</v>
      </c>
      <c r="H1702" s="1" t="s">
        <v>10</v>
      </c>
    </row>
    <row r="1703" spans="1:8" x14ac:dyDescent="0.3">
      <c r="A1703" s="1">
        <v>718</v>
      </c>
      <c r="B1703" s="1" t="s">
        <v>1687</v>
      </c>
      <c r="C1703" s="1" t="s">
        <v>5289</v>
      </c>
      <c r="D1703" s="1" t="s">
        <v>5290</v>
      </c>
      <c r="E1703" s="1">
        <v>3397.89</v>
      </c>
      <c r="F1703" s="1" t="s">
        <v>8</v>
      </c>
      <c r="G1703" s="1" t="s">
        <v>9</v>
      </c>
      <c r="H1703" s="1" t="s">
        <v>10</v>
      </c>
    </row>
    <row r="1704" spans="1:8" x14ac:dyDescent="0.3">
      <c r="A1704" s="1">
        <v>718</v>
      </c>
      <c r="B1704" s="1" t="s">
        <v>1687</v>
      </c>
      <c r="C1704" s="1" t="s">
        <v>5291</v>
      </c>
      <c r="D1704" s="1" t="s">
        <v>5292</v>
      </c>
      <c r="E1704" s="1">
        <v>3222.2</v>
      </c>
      <c r="F1704" s="1" t="s">
        <v>8</v>
      </c>
      <c r="G1704" s="1" t="s">
        <v>9</v>
      </c>
      <c r="H1704" s="1" t="s">
        <v>10</v>
      </c>
    </row>
    <row r="1705" spans="1:8" x14ac:dyDescent="0.3">
      <c r="A1705" s="1">
        <v>718</v>
      </c>
      <c r="B1705" s="1" t="s">
        <v>1687</v>
      </c>
      <c r="C1705" s="1" t="s">
        <v>5293</v>
      </c>
      <c r="D1705" s="1" t="s">
        <v>5294</v>
      </c>
      <c r="E1705" s="1">
        <v>958</v>
      </c>
      <c r="F1705" s="1" t="s">
        <v>8</v>
      </c>
      <c r="G1705" s="1" t="s">
        <v>9</v>
      </c>
      <c r="H1705" s="1" t="s">
        <v>10</v>
      </c>
    </row>
    <row r="1706" spans="1:8" x14ac:dyDescent="0.3">
      <c r="A1706" s="1">
        <v>718</v>
      </c>
      <c r="B1706" s="1" t="s">
        <v>1687</v>
      </c>
      <c r="C1706" s="1" t="s">
        <v>5295</v>
      </c>
      <c r="D1706" s="1" t="s">
        <v>5296</v>
      </c>
      <c r="E1706" s="1">
        <v>2658.6</v>
      </c>
      <c r="F1706" s="1" t="s">
        <v>8</v>
      </c>
      <c r="G1706" s="1" t="s">
        <v>9</v>
      </c>
      <c r="H1706" s="1" t="s">
        <v>10</v>
      </c>
    </row>
    <row r="1707" spans="1:8" x14ac:dyDescent="0.3">
      <c r="A1707" s="1">
        <v>718</v>
      </c>
      <c r="B1707" s="1" t="s">
        <v>1687</v>
      </c>
      <c r="C1707" s="1" t="s">
        <v>5297</v>
      </c>
      <c r="D1707" s="1" t="s">
        <v>5298</v>
      </c>
      <c r="E1707" s="1">
        <v>3250.38</v>
      </c>
      <c r="F1707" s="1" t="s">
        <v>8</v>
      </c>
      <c r="G1707" s="1" t="s">
        <v>9</v>
      </c>
      <c r="H1707" s="1" t="s">
        <v>10</v>
      </c>
    </row>
    <row r="1708" spans="1:8" x14ac:dyDescent="0.3">
      <c r="A1708" s="1">
        <v>718</v>
      </c>
      <c r="B1708" s="1" t="s">
        <v>1687</v>
      </c>
      <c r="C1708" s="1" t="s">
        <v>5299</v>
      </c>
      <c r="D1708" s="1" t="s">
        <v>5300</v>
      </c>
      <c r="E1708" s="1">
        <v>2049.67</v>
      </c>
      <c r="F1708" s="1" t="s">
        <v>8</v>
      </c>
      <c r="G1708" s="1" t="s">
        <v>9</v>
      </c>
      <c r="H1708" s="1" t="s">
        <v>10</v>
      </c>
    </row>
    <row r="1709" spans="1:8" x14ac:dyDescent="0.3">
      <c r="A1709" s="1">
        <v>718</v>
      </c>
      <c r="B1709" s="1" t="s">
        <v>1687</v>
      </c>
      <c r="C1709" s="1" t="s">
        <v>5301</v>
      </c>
      <c r="D1709" s="1" t="s">
        <v>5302</v>
      </c>
      <c r="E1709" s="1">
        <v>2994.46</v>
      </c>
      <c r="F1709" s="1" t="s">
        <v>8</v>
      </c>
      <c r="G1709" s="1" t="s">
        <v>9</v>
      </c>
      <c r="H1709" s="1" t="s">
        <v>10</v>
      </c>
    </row>
    <row r="1710" spans="1:8" x14ac:dyDescent="0.3">
      <c r="A1710" s="1">
        <v>718</v>
      </c>
      <c r="B1710" s="1" t="s">
        <v>1687</v>
      </c>
      <c r="C1710" s="1" t="s">
        <v>4520</v>
      </c>
      <c r="D1710" s="1" t="s">
        <v>5303</v>
      </c>
      <c r="E1710" s="1">
        <v>746.38</v>
      </c>
      <c r="F1710" s="1" t="s">
        <v>8</v>
      </c>
      <c r="G1710" s="1" t="s">
        <v>9</v>
      </c>
      <c r="H1710" s="1" t="s">
        <v>10</v>
      </c>
    </row>
    <row r="1711" spans="1:8" x14ac:dyDescent="0.3">
      <c r="A1711" s="1">
        <v>718</v>
      </c>
      <c r="B1711" s="1" t="s">
        <v>1687</v>
      </c>
      <c r="C1711" s="1" t="s">
        <v>5304</v>
      </c>
      <c r="D1711" s="1" t="s">
        <v>5305</v>
      </c>
      <c r="E1711" s="1">
        <v>2277.5</v>
      </c>
      <c r="F1711" s="1" t="s">
        <v>8</v>
      </c>
      <c r="G1711" s="1" t="s">
        <v>9</v>
      </c>
      <c r="H1711" s="1" t="s">
        <v>10</v>
      </c>
    </row>
    <row r="1712" spans="1:8" x14ac:dyDescent="0.3">
      <c r="A1712" s="1">
        <v>718</v>
      </c>
      <c r="B1712" s="1" t="s">
        <v>1687</v>
      </c>
      <c r="C1712" s="1" t="s">
        <v>5306</v>
      </c>
      <c r="D1712" s="1" t="s">
        <v>5307</v>
      </c>
      <c r="E1712" s="1">
        <v>586.32000000000005</v>
      </c>
      <c r="F1712" s="1" t="s">
        <v>8</v>
      </c>
      <c r="G1712" s="1" t="s">
        <v>9</v>
      </c>
      <c r="H1712" s="1" t="s">
        <v>10</v>
      </c>
    </row>
    <row r="1713" spans="1:8" x14ac:dyDescent="0.3">
      <c r="A1713" s="1">
        <v>718</v>
      </c>
      <c r="B1713" s="1" t="s">
        <v>1687</v>
      </c>
      <c r="C1713" s="1" t="s">
        <v>5308</v>
      </c>
      <c r="D1713" s="1" t="s">
        <v>5309</v>
      </c>
      <c r="E1713" s="1">
        <v>200</v>
      </c>
      <c r="F1713" s="1" t="s">
        <v>8</v>
      </c>
      <c r="G1713" s="1" t="s">
        <v>9</v>
      </c>
      <c r="H1713" s="1" t="s">
        <v>10</v>
      </c>
    </row>
    <row r="1714" spans="1:8" x14ac:dyDescent="0.3">
      <c r="A1714" s="1">
        <v>718</v>
      </c>
      <c r="B1714" s="1" t="s">
        <v>1687</v>
      </c>
      <c r="C1714" s="1" t="s">
        <v>5310</v>
      </c>
      <c r="D1714" s="1" t="s">
        <v>5311</v>
      </c>
      <c r="E1714" s="1">
        <v>178.53</v>
      </c>
      <c r="F1714" s="1" t="s">
        <v>8</v>
      </c>
      <c r="G1714" s="1" t="s">
        <v>9</v>
      </c>
      <c r="H1714" s="1" t="s">
        <v>10</v>
      </c>
    </row>
    <row r="1715" spans="1:8" x14ac:dyDescent="0.3">
      <c r="A1715" s="1">
        <v>718</v>
      </c>
      <c r="B1715" s="1" t="s">
        <v>1687</v>
      </c>
      <c r="C1715" s="1" t="s">
        <v>5312</v>
      </c>
      <c r="D1715" s="1" t="s">
        <v>5313</v>
      </c>
      <c r="E1715" s="1">
        <v>1684.09</v>
      </c>
      <c r="F1715" s="1" t="s">
        <v>8</v>
      </c>
      <c r="G1715" s="1" t="s">
        <v>9</v>
      </c>
      <c r="H1715" s="1" t="s">
        <v>10</v>
      </c>
    </row>
    <row r="1716" spans="1:8" x14ac:dyDescent="0.3">
      <c r="A1716" s="1">
        <v>718</v>
      </c>
      <c r="B1716" s="1" t="s">
        <v>1687</v>
      </c>
      <c r="C1716" s="1" t="s">
        <v>5314</v>
      </c>
      <c r="D1716" s="1" t="s">
        <v>5315</v>
      </c>
      <c r="E1716" s="1">
        <v>210</v>
      </c>
      <c r="F1716" s="1" t="s">
        <v>8</v>
      </c>
      <c r="G1716" s="1" t="s">
        <v>9</v>
      </c>
      <c r="H1716" s="1" t="s">
        <v>10</v>
      </c>
    </row>
    <row r="1717" spans="1:8" x14ac:dyDescent="0.3">
      <c r="A1717" s="1">
        <v>718</v>
      </c>
      <c r="B1717" s="1" t="s">
        <v>1687</v>
      </c>
      <c r="C1717" s="1" t="s">
        <v>5316</v>
      </c>
      <c r="D1717" s="1" t="s">
        <v>5317</v>
      </c>
      <c r="E1717" s="1">
        <v>100</v>
      </c>
      <c r="F1717" s="1" t="s">
        <v>8</v>
      </c>
      <c r="G1717" s="1" t="s">
        <v>9</v>
      </c>
      <c r="H1717" s="1" t="s">
        <v>10</v>
      </c>
    </row>
    <row r="1718" spans="1:8" x14ac:dyDescent="0.3">
      <c r="A1718" s="1">
        <v>718</v>
      </c>
      <c r="B1718" s="1" t="s">
        <v>1687</v>
      </c>
      <c r="C1718" s="1" t="s">
        <v>5318</v>
      </c>
      <c r="D1718" s="1" t="s">
        <v>5319</v>
      </c>
      <c r="E1718" s="1">
        <v>1494.5</v>
      </c>
      <c r="F1718" s="1" t="s">
        <v>8</v>
      </c>
      <c r="G1718" s="1" t="s">
        <v>9</v>
      </c>
      <c r="H1718" s="1" t="s">
        <v>10</v>
      </c>
    </row>
    <row r="1719" spans="1:8" x14ac:dyDescent="0.3">
      <c r="A1719" s="1">
        <v>718</v>
      </c>
      <c r="B1719" s="1" t="s">
        <v>1687</v>
      </c>
      <c r="C1719" s="1" t="s">
        <v>5320</v>
      </c>
      <c r="D1719" s="1" t="s">
        <v>5321</v>
      </c>
      <c r="E1719" s="1">
        <v>4200</v>
      </c>
      <c r="F1719" s="1" t="s">
        <v>8</v>
      </c>
      <c r="G1719" s="1" t="s">
        <v>9</v>
      </c>
      <c r="H1719" s="1" t="s">
        <v>10</v>
      </c>
    </row>
    <row r="1720" spans="1:8" x14ac:dyDescent="0.3">
      <c r="A1720" s="1">
        <v>718</v>
      </c>
      <c r="B1720" s="1" t="s">
        <v>1687</v>
      </c>
      <c r="C1720" s="1" t="s">
        <v>5322</v>
      </c>
      <c r="D1720" s="1" t="s">
        <v>5323</v>
      </c>
      <c r="E1720" s="1">
        <v>514.79999999999995</v>
      </c>
      <c r="F1720" s="1" t="s">
        <v>8</v>
      </c>
      <c r="G1720" s="1" t="s">
        <v>9</v>
      </c>
      <c r="H1720" s="1" t="s">
        <v>10</v>
      </c>
    </row>
    <row r="1721" spans="1:8" x14ac:dyDescent="0.3">
      <c r="A1721" s="1">
        <v>718</v>
      </c>
      <c r="B1721" s="1" t="s">
        <v>1687</v>
      </c>
      <c r="C1721" s="1" t="s">
        <v>5324</v>
      </c>
      <c r="D1721" s="1" t="s">
        <v>5325</v>
      </c>
      <c r="E1721" s="1">
        <v>100</v>
      </c>
      <c r="F1721" s="1" t="s">
        <v>8</v>
      </c>
      <c r="G1721" s="1" t="s">
        <v>9</v>
      </c>
      <c r="H1721" s="1" t="s">
        <v>10</v>
      </c>
    </row>
    <row r="1722" spans="1:8" x14ac:dyDescent="0.3">
      <c r="A1722" s="1">
        <v>718</v>
      </c>
      <c r="B1722" s="1" t="s">
        <v>1687</v>
      </c>
      <c r="C1722" s="1" t="s">
        <v>5326</v>
      </c>
      <c r="D1722" s="1" t="s">
        <v>5327</v>
      </c>
      <c r="E1722" s="1">
        <v>99</v>
      </c>
      <c r="F1722" s="1" t="s">
        <v>8</v>
      </c>
      <c r="G1722" s="1" t="s">
        <v>9</v>
      </c>
      <c r="H1722" s="1" t="s">
        <v>10</v>
      </c>
    </row>
    <row r="1723" spans="1:8" x14ac:dyDescent="0.3">
      <c r="A1723" s="1">
        <v>718</v>
      </c>
      <c r="B1723" s="1" t="s">
        <v>1687</v>
      </c>
      <c r="C1723" s="1" t="s">
        <v>1294</v>
      </c>
      <c r="D1723" s="1" t="s">
        <v>5328</v>
      </c>
      <c r="E1723" s="1">
        <v>50</v>
      </c>
      <c r="F1723" s="1" t="s">
        <v>8</v>
      </c>
      <c r="G1723" s="1" t="s">
        <v>9</v>
      </c>
      <c r="H1723" s="1" t="s">
        <v>10</v>
      </c>
    </row>
    <row r="1724" spans="1:8" x14ac:dyDescent="0.3">
      <c r="A1724" s="1">
        <v>718</v>
      </c>
      <c r="B1724" s="1" t="s">
        <v>1687</v>
      </c>
      <c r="C1724" s="1" t="s">
        <v>5329</v>
      </c>
      <c r="D1724" s="1" t="s">
        <v>5330</v>
      </c>
      <c r="E1724" s="1">
        <v>86</v>
      </c>
      <c r="F1724" s="1" t="s">
        <v>8</v>
      </c>
      <c r="G1724" s="1" t="s">
        <v>9</v>
      </c>
      <c r="H1724" s="1" t="s">
        <v>10</v>
      </c>
    </row>
    <row r="1725" spans="1:8" x14ac:dyDescent="0.3">
      <c r="A1725" s="1">
        <v>718</v>
      </c>
      <c r="B1725" s="1" t="s">
        <v>1687</v>
      </c>
      <c r="C1725" s="1" t="s">
        <v>5331</v>
      </c>
      <c r="D1725" s="1" t="s">
        <v>5332</v>
      </c>
      <c r="E1725" s="1">
        <v>3388.68</v>
      </c>
      <c r="F1725" s="1" t="s">
        <v>8</v>
      </c>
      <c r="G1725" s="1" t="s">
        <v>9</v>
      </c>
      <c r="H1725" s="1" t="s">
        <v>10</v>
      </c>
    </row>
    <row r="1726" spans="1:8" x14ac:dyDescent="0.3">
      <c r="A1726" s="1">
        <v>718</v>
      </c>
      <c r="B1726" s="1" t="s">
        <v>1687</v>
      </c>
      <c r="C1726" s="1" t="s">
        <v>5333</v>
      </c>
      <c r="D1726" s="1" t="s">
        <v>5334</v>
      </c>
      <c r="E1726" s="1">
        <v>50868</v>
      </c>
      <c r="F1726" s="1" t="s">
        <v>8</v>
      </c>
      <c r="G1726" s="1" t="s">
        <v>9</v>
      </c>
      <c r="H1726" s="1" t="s">
        <v>10</v>
      </c>
    </row>
    <row r="1727" spans="1:8" x14ac:dyDescent="0.3">
      <c r="A1727" s="1">
        <v>718</v>
      </c>
      <c r="B1727" s="1" t="s">
        <v>1687</v>
      </c>
      <c r="C1727" s="1" t="s">
        <v>5335</v>
      </c>
      <c r="D1727" s="1" t="s">
        <v>5336</v>
      </c>
      <c r="E1727" s="1">
        <v>210</v>
      </c>
      <c r="F1727" s="1" t="s">
        <v>8</v>
      </c>
      <c r="G1727" s="1" t="s">
        <v>9</v>
      </c>
      <c r="H1727" s="1" t="s">
        <v>10</v>
      </c>
    </row>
    <row r="1728" spans="1:8" x14ac:dyDescent="0.3">
      <c r="A1728" s="1">
        <v>718</v>
      </c>
      <c r="B1728" s="1" t="s">
        <v>1687</v>
      </c>
      <c r="C1728" s="1" t="s">
        <v>5337</v>
      </c>
      <c r="D1728" s="1" t="s">
        <v>5338</v>
      </c>
      <c r="E1728" s="1">
        <v>361.52</v>
      </c>
      <c r="F1728" s="1" t="s">
        <v>8</v>
      </c>
      <c r="G1728" s="1" t="s">
        <v>9</v>
      </c>
      <c r="H1728" s="1" t="s">
        <v>10</v>
      </c>
    </row>
    <row r="1729" spans="1:8" x14ac:dyDescent="0.3">
      <c r="A1729" s="1">
        <v>718</v>
      </c>
      <c r="B1729" s="1" t="s">
        <v>1687</v>
      </c>
      <c r="C1729" s="1" t="s">
        <v>5339</v>
      </c>
      <c r="D1729" s="1" t="s">
        <v>5340</v>
      </c>
      <c r="E1729" s="1">
        <v>842.86</v>
      </c>
      <c r="F1729" s="1" t="s">
        <v>8</v>
      </c>
      <c r="G1729" s="1" t="s">
        <v>9</v>
      </c>
      <c r="H1729" s="1" t="s">
        <v>10</v>
      </c>
    </row>
    <row r="1730" spans="1:8" x14ac:dyDescent="0.3">
      <c r="A1730" s="1">
        <v>718</v>
      </c>
      <c r="B1730" s="1" t="s">
        <v>1687</v>
      </c>
      <c r="C1730" s="1" t="s">
        <v>5341</v>
      </c>
      <c r="D1730" s="1" t="s">
        <v>5342</v>
      </c>
      <c r="E1730" s="1">
        <v>3235.9</v>
      </c>
      <c r="F1730" s="1" t="s">
        <v>8</v>
      </c>
      <c r="G1730" s="1" t="s">
        <v>9</v>
      </c>
      <c r="H1730" s="1" t="s">
        <v>10</v>
      </c>
    </row>
    <row r="1731" spans="1:8" x14ac:dyDescent="0.3">
      <c r="A1731" s="1">
        <v>718</v>
      </c>
      <c r="B1731" s="1" t="s">
        <v>1687</v>
      </c>
      <c r="C1731" s="1" t="s">
        <v>5343</v>
      </c>
      <c r="D1731" s="1" t="s">
        <v>5344</v>
      </c>
      <c r="E1731" s="1">
        <v>1102.78</v>
      </c>
      <c r="F1731" s="1" t="s">
        <v>8</v>
      </c>
      <c r="G1731" s="1" t="s">
        <v>9</v>
      </c>
      <c r="H1731" s="1" t="s">
        <v>10</v>
      </c>
    </row>
    <row r="1732" spans="1:8" x14ac:dyDescent="0.3">
      <c r="A1732" s="1">
        <v>718</v>
      </c>
      <c r="B1732" s="1" t="s">
        <v>1687</v>
      </c>
      <c r="C1732" s="1" t="s">
        <v>5345</v>
      </c>
      <c r="D1732" s="1" t="s">
        <v>5346</v>
      </c>
      <c r="E1732" s="1">
        <v>565</v>
      </c>
      <c r="F1732" s="1" t="s">
        <v>8</v>
      </c>
      <c r="G1732" s="1" t="s">
        <v>9</v>
      </c>
      <c r="H1732" s="1" t="s">
        <v>10</v>
      </c>
    </row>
    <row r="1733" spans="1:8" x14ac:dyDescent="0.3">
      <c r="A1733" s="1">
        <v>718</v>
      </c>
      <c r="B1733" s="1" t="s">
        <v>1687</v>
      </c>
      <c r="C1733" s="1" t="s">
        <v>5347</v>
      </c>
      <c r="D1733" s="1" t="s">
        <v>5348</v>
      </c>
      <c r="E1733" s="1">
        <v>792.75</v>
      </c>
      <c r="F1733" s="1" t="s">
        <v>8</v>
      </c>
      <c r="G1733" s="1" t="s">
        <v>9</v>
      </c>
      <c r="H1733" s="1" t="s">
        <v>10</v>
      </c>
    </row>
    <row r="1734" spans="1:8" x14ac:dyDescent="0.3">
      <c r="A1734" s="1">
        <v>718</v>
      </c>
      <c r="B1734" s="1" t="s">
        <v>1687</v>
      </c>
      <c r="C1734" s="1" t="s">
        <v>5349</v>
      </c>
      <c r="D1734" s="1" t="s">
        <v>5350</v>
      </c>
      <c r="E1734" s="1">
        <v>615.75</v>
      </c>
      <c r="F1734" s="1" t="s">
        <v>8</v>
      </c>
      <c r="G1734" s="1" t="s">
        <v>9</v>
      </c>
      <c r="H1734" s="1" t="s">
        <v>10</v>
      </c>
    </row>
    <row r="1735" spans="1:8" x14ac:dyDescent="0.3">
      <c r="A1735" s="1">
        <v>718</v>
      </c>
      <c r="B1735" s="1" t="s">
        <v>1687</v>
      </c>
      <c r="C1735" s="1" t="s">
        <v>5351</v>
      </c>
      <c r="D1735" s="1" t="s">
        <v>5352</v>
      </c>
      <c r="E1735" s="1">
        <v>3643.04</v>
      </c>
      <c r="F1735" s="1" t="s">
        <v>8</v>
      </c>
      <c r="G1735" s="1" t="s">
        <v>9</v>
      </c>
      <c r="H1735" s="1" t="s">
        <v>10</v>
      </c>
    </row>
    <row r="1736" spans="1:8" x14ac:dyDescent="0.3">
      <c r="A1736" s="1">
        <v>718</v>
      </c>
      <c r="B1736" s="1" t="s">
        <v>1687</v>
      </c>
      <c r="C1736" s="1" t="s">
        <v>5353</v>
      </c>
      <c r="D1736" s="1" t="s">
        <v>5354</v>
      </c>
      <c r="E1736" s="1">
        <v>2412.8000000000002</v>
      </c>
      <c r="F1736" s="1" t="s">
        <v>8</v>
      </c>
      <c r="G1736" s="1" t="s">
        <v>9</v>
      </c>
      <c r="H1736" s="1" t="s">
        <v>10</v>
      </c>
    </row>
    <row r="1737" spans="1:8" x14ac:dyDescent="0.3">
      <c r="A1737" s="1">
        <v>718</v>
      </c>
      <c r="B1737" s="1" t="s">
        <v>1687</v>
      </c>
      <c r="C1737" s="1" t="s">
        <v>5355</v>
      </c>
      <c r="D1737" s="1" t="s">
        <v>5356</v>
      </c>
      <c r="E1737" s="1">
        <v>793.8</v>
      </c>
      <c r="F1737" s="1" t="s">
        <v>8</v>
      </c>
      <c r="G1737" s="1" t="s">
        <v>9</v>
      </c>
      <c r="H1737" s="1" t="s">
        <v>10</v>
      </c>
    </row>
    <row r="1738" spans="1:8" x14ac:dyDescent="0.3">
      <c r="A1738" s="1">
        <v>718</v>
      </c>
      <c r="B1738" s="1" t="s">
        <v>1687</v>
      </c>
      <c r="C1738" s="1" t="s">
        <v>5357</v>
      </c>
      <c r="D1738" s="1" t="s">
        <v>5358</v>
      </c>
      <c r="E1738" s="1">
        <v>2398.92</v>
      </c>
      <c r="F1738" s="1" t="s">
        <v>8</v>
      </c>
      <c r="G1738" s="1" t="s">
        <v>9</v>
      </c>
      <c r="H1738" s="1" t="s">
        <v>10</v>
      </c>
    </row>
    <row r="1739" spans="1:8" x14ac:dyDescent="0.3">
      <c r="A1739" s="1">
        <v>718</v>
      </c>
      <c r="B1739" s="1" t="s">
        <v>1687</v>
      </c>
      <c r="C1739" s="1" t="s">
        <v>5359</v>
      </c>
      <c r="D1739" s="1" t="s">
        <v>5360</v>
      </c>
      <c r="E1739" s="1">
        <v>10744.36</v>
      </c>
      <c r="F1739" s="1" t="s">
        <v>8</v>
      </c>
      <c r="G1739" s="1" t="s">
        <v>9</v>
      </c>
      <c r="H1739" s="1" t="s">
        <v>10</v>
      </c>
    </row>
    <row r="1740" spans="1:8" x14ac:dyDescent="0.3">
      <c r="A1740" s="1">
        <v>718</v>
      </c>
      <c r="B1740" s="1" t="s">
        <v>1687</v>
      </c>
      <c r="C1740" s="1" t="s">
        <v>5361</v>
      </c>
      <c r="D1740" s="1" t="s">
        <v>5362</v>
      </c>
      <c r="E1740" s="1">
        <v>3988.83</v>
      </c>
      <c r="F1740" s="1" t="s">
        <v>8</v>
      </c>
      <c r="G1740" s="1" t="s">
        <v>9</v>
      </c>
      <c r="H1740" s="1" t="s">
        <v>10</v>
      </c>
    </row>
    <row r="1741" spans="1:8" x14ac:dyDescent="0.3">
      <c r="A1741" s="1">
        <v>718</v>
      </c>
      <c r="B1741" s="1" t="s">
        <v>1687</v>
      </c>
      <c r="C1741" s="1" t="s">
        <v>5363</v>
      </c>
      <c r="D1741" s="1" t="s">
        <v>5364</v>
      </c>
      <c r="E1741" s="1">
        <v>354.03</v>
      </c>
      <c r="F1741" s="1" t="s">
        <v>8</v>
      </c>
      <c r="G1741" s="1" t="s">
        <v>9</v>
      </c>
      <c r="H1741" s="1" t="s">
        <v>10</v>
      </c>
    </row>
    <row r="1742" spans="1:8" x14ac:dyDescent="0.3">
      <c r="A1742" s="1">
        <v>718</v>
      </c>
      <c r="B1742" s="1" t="s">
        <v>1687</v>
      </c>
      <c r="C1742" s="1" t="s">
        <v>5365</v>
      </c>
      <c r="D1742" s="1" t="s">
        <v>5366</v>
      </c>
      <c r="E1742" s="1">
        <v>15272.36</v>
      </c>
      <c r="F1742" s="1" t="s">
        <v>8</v>
      </c>
      <c r="G1742" s="1" t="s">
        <v>9</v>
      </c>
      <c r="H1742" s="1" t="s">
        <v>10</v>
      </c>
    </row>
    <row r="1743" spans="1:8" x14ac:dyDescent="0.3">
      <c r="A1743" s="1">
        <v>718</v>
      </c>
      <c r="B1743" s="1" t="s">
        <v>1687</v>
      </c>
      <c r="C1743" s="1" t="s">
        <v>5367</v>
      </c>
      <c r="D1743" s="1" t="s">
        <v>5368</v>
      </c>
      <c r="E1743" s="1">
        <v>405</v>
      </c>
      <c r="F1743" s="1" t="s">
        <v>8</v>
      </c>
      <c r="G1743" s="1" t="s">
        <v>9</v>
      </c>
      <c r="H1743" s="1" t="s">
        <v>10</v>
      </c>
    </row>
    <row r="1744" spans="1:8" x14ac:dyDescent="0.3">
      <c r="A1744" s="1">
        <v>718</v>
      </c>
      <c r="B1744" s="1" t="s">
        <v>1687</v>
      </c>
      <c r="C1744" s="1" t="s">
        <v>5369</v>
      </c>
      <c r="D1744" s="1" t="s">
        <v>5370</v>
      </c>
      <c r="E1744" s="1">
        <v>1901.9</v>
      </c>
      <c r="F1744" s="1" t="s">
        <v>8</v>
      </c>
      <c r="G1744" s="1" t="s">
        <v>9</v>
      </c>
      <c r="H1744" s="1" t="s">
        <v>10</v>
      </c>
    </row>
    <row r="1745" spans="1:8" x14ac:dyDescent="0.3">
      <c r="A1745" s="1">
        <v>718</v>
      </c>
      <c r="B1745" s="1" t="s">
        <v>1687</v>
      </c>
      <c r="C1745" s="1" t="s">
        <v>5371</v>
      </c>
      <c r="D1745" s="1" t="s">
        <v>5372</v>
      </c>
      <c r="E1745" s="1">
        <v>1948.98</v>
      </c>
      <c r="F1745" s="1" t="s">
        <v>8</v>
      </c>
      <c r="G1745" s="1" t="s">
        <v>9</v>
      </c>
      <c r="H1745" s="1" t="s">
        <v>10</v>
      </c>
    </row>
    <row r="1746" spans="1:8" x14ac:dyDescent="0.3">
      <c r="A1746" s="1">
        <v>718</v>
      </c>
      <c r="B1746" s="1" t="s">
        <v>1687</v>
      </c>
      <c r="C1746" s="1" t="s">
        <v>5373</v>
      </c>
      <c r="D1746" s="1" t="s">
        <v>5374</v>
      </c>
      <c r="E1746" s="1">
        <v>2561.29</v>
      </c>
      <c r="F1746" s="1" t="s">
        <v>8</v>
      </c>
      <c r="G1746" s="1" t="s">
        <v>9</v>
      </c>
      <c r="H1746" s="1" t="s">
        <v>10</v>
      </c>
    </row>
    <row r="1747" spans="1:8" x14ac:dyDescent="0.3">
      <c r="A1747" s="1">
        <v>718</v>
      </c>
      <c r="B1747" s="1" t="s">
        <v>1687</v>
      </c>
      <c r="C1747" s="1" t="s">
        <v>5375</v>
      </c>
      <c r="D1747" s="1" t="s">
        <v>5376</v>
      </c>
      <c r="E1747" s="1">
        <v>1262.4000000000001</v>
      </c>
      <c r="F1747" s="1" t="s">
        <v>8</v>
      </c>
      <c r="G1747" s="1" t="s">
        <v>9</v>
      </c>
      <c r="H1747" s="1" t="s">
        <v>10</v>
      </c>
    </row>
    <row r="1748" spans="1:8" x14ac:dyDescent="0.3">
      <c r="A1748" s="1">
        <v>718</v>
      </c>
      <c r="B1748" s="1" t="s">
        <v>1687</v>
      </c>
      <c r="C1748" s="1" t="s">
        <v>5377</v>
      </c>
      <c r="D1748" s="1" t="s">
        <v>5378</v>
      </c>
      <c r="E1748" s="1">
        <v>924.06</v>
      </c>
      <c r="F1748" s="1" t="s">
        <v>8</v>
      </c>
      <c r="G1748" s="1" t="s">
        <v>9</v>
      </c>
      <c r="H1748" s="1" t="s">
        <v>10</v>
      </c>
    </row>
    <row r="1749" spans="1:8" x14ac:dyDescent="0.3">
      <c r="A1749" s="1">
        <v>718</v>
      </c>
      <c r="B1749" s="1" t="s">
        <v>1687</v>
      </c>
      <c r="C1749" s="1" t="s">
        <v>5379</v>
      </c>
      <c r="D1749" s="1" t="s">
        <v>5380</v>
      </c>
      <c r="E1749" s="1">
        <v>636.91999999999996</v>
      </c>
      <c r="F1749" s="1" t="s">
        <v>8</v>
      </c>
      <c r="G1749" s="1" t="s">
        <v>9</v>
      </c>
      <c r="H1749" s="1" t="s">
        <v>10</v>
      </c>
    </row>
    <row r="1750" spans="1:8" x14ac:dyDescent="0.3">
      <c r="A1750" s="1">
        <v>718</v>
      </c>
      <c r="B1750" s="1" t="s">
        <v>1687</v>
      </c>
      <c r="C1750" s="1" t="s">
        <v>5381</v>
      </c>
      <c r="D1750" s="1" t="s">
        <v>5382</v>
      </c>
      <c r="E1750" s="1">
        <v>3137.9</v>
      </c>
      <c r="F1750" s="1" t="s">
        <v>8</v>
      </c>
      <c r="G1750" s="1" t="s">
        <v>9</v>
      </c>
      <c r="H1750" s="1" t="s">
        <v>10</v>
      </c>
    </row>
    <row r="1751" spans="1:8" x14ac:dyDescent="0.3">
      <c r="A1751" s="1">
        <v>718</v>
      </c>
      <c r="B1751" s="1" t="s">
        <v>1687</v>
      </c>
      <c r="C1751" s="1" t="s">
        <v>5383</v>
      </c>
      <c r="D1751" s="1" t="s">
        <v>5384</v>
      </c>
      <c r="E1751" s="1">
        <v>4200</v>
      </c>
      <c r="F1751" s="1" t="s">
        <v>8</v>
      </c>
      <c r="G1751" s="1" t="s">
        <v>9</v>
      </c>
      <c r="H1751" s="1" t="s">
        <v>10</v>
      </c>
    </row>
    <row r="1752" spans="1:8" x14ac:dyDescent="0.3">
      <c r="A1752" s="1">
        <v>718</v>
      </c>
      <c r="B1752" s="1" t="s">
        <v>1687</v>
      </c>
      <c r="C1752" s="1" t="s">
        <v>5385</v>
      </c>
      <c r="D1752" s="1" t="s">
        <v>5386</v>
      </c>
      <c r="E1752" s="1">
        <v>1892</v>
      </c>
      <c r="F1752" s="1" t="s">
        <v>8</v>
      </c>
      <c r="G1752" s="1" t="s">
        <v>9</v>
      </c>
      <c r="H1752" s="1" t="s">
        <v>10</v>
      </c>
    </row>
    <row r="1753" spans="1:8" x14ac:dyDescent="0.3">
      <c r="A1753" s="1">
        <v>718</v>
      </c>
      <c r="B1753" s="1" t="s">
        <v>1687</v>
      </c>
      <c r="C1753" s="1" t="s">
        <v>5387</v>
      </c>
      <c r="D1753" s="1" t="s">
        <v>5388</v>
      </c>
      <c r="E1753" s="1">
        <v>2867.27</v>
      </c>
      <c r="F1753" s="1" t="s">
        <v>8</v>
      </c>
      <c r="G1753" s="1" t="s">
        <v>9</v>
      </c>
      <c r="H1753" s="1" t="s">
        <v>10</v>
      </c>
    </row>
    <row r="1754" spans="1:8" x14ac:dyDescent="0.3">
      <c r="A1754" s="1">
        <v>718</v>
      </c>
      <c r="B1754" s="1" t="s">
        <v>1687</v>
      </c>
      <c r="C1754" s="1" t="s">
        <v>5389</v>
      </c>
      <c r="D1754" s="1" t="s">
        <v>5390</v>
      </c>
      <c r="E1754" s="1">
        <v>4325.46</v>
      </c>
      <c r="F1754" s="1" t="s">
        <v>8</v>
      </c>
      <c r="G1754" s="1" t="s">
        <v>9</v>
      </c>
      <c r="H1754" s="1" t="s">
        <v>10</v>
      </c>
    </row>
    <row r="1755" spans="1:8" x14ac:dyDescent="0.3">
      <c r="A1755" s="1">
        <v>718</v>
      </c>
      <c r="B1755" s="1" t="s">
        <v>1687</v>
      </c>
      <c r="C1755" s="1" t="s">
        <v>5391</v>
      </c>
      <c r="D1755" s="1" t="s">
        <v>5392</v>
      </c>
      <c r="E1755" s="1">
        <v>1481.65</v>
      </c>
      <c r="F1755" s="1" t="s">
        <v>8</v>
      </c>
      <c r="G1755" s="1" t="s">
        <v>9</v>
      </c>
      <c r="H1755" s="1" t="s">
        <v>10</v>
      </c>
    </row>
    <row r="1756" spans="1:8" x14ac:dyDescent="0.3">
      <c r="A1756" s="1">
        <v>718</v>
      </c>
      <c r="B1756" s="1" t="s">
        <v>1687</v>
      </c>
      <c r="C1756" s="1" t="s">
        <v>5393</v>
      </c>
      <c r="D1756" s="1" t="s">
        <v>5394</v>
      </c>
      <c r="E1756" s="1">
        <v>195</v>
      </c>
      <c r="F1756" s="1" t="s">
        <v>8</v>
      </c>
      <c r="G1756" s="1" t="s">
        <v>9</v>
      </c>
      <c r="H1756" s="1" t="s">
        <v>10</v>
      </c>
    </row>
    <row r="1757" spans="1:8" x14ac:dyDescent="0.3">
      <c r="A1757" s="1">
        <v>718</v>
      </c>
      <c r="B1757" s="1" t="s">
        <v>1687</v>
      </c>
      <c r="C1757" s="1" t="s">
        <v>5395</v>
      </c>
      <c r="D1757" s="1" t="s">
        <v>5396</v>
      </c>
      <c r="E1757" s="1">
        <v>786.17</v>
      </c>
      <c r="F1757" s="1" t="s">
        <v>8</v>
      </c>
      <c r="G1757" s="1" t="s">
        <v>9</v>
      </c>
      <c r="H1757" s="1" t="s">
        <v>10</v>
      </c>
    </row>
    <row r="1758" spans="1:8" x14ac:dyDescent="0.3">
      <c r="A1758" s="1">
        <v>718</v>
      </c>
      <c r="B1758" s="1" t="s">
        <v>1687</v>
      </c>
      <c r="C1758" s="1" t="s">
        <v>5397</v>
      </c>
      <c r="D1758" s="1" t="s">
        <v>5398</v>
      </c>
      <c r="E1758" s="1">
        <v>20760</v>
      </c>
      <c r="F1758" s="1" t="s">
        <v>8</v>
      </c>
      <c r="G1758" s="1" t="s">
        <v>9</v>
      </c>
      <c r="H1758" s="1" t="s">
        <v>10</v>
      </c>
    </row>
    <row r="1759" spans="1:8" x14ac:dyDescent="0.3">
      <c r="A1759" s="1">
        <v>718</v>
      </c>
      <c r="B1759" s="1" t="s">
        <v>1687</v>
      </c>
      <c r="C1759" s="1" t="s">
        <v>5399</v>
      </c>
      <c r="D1759" s="1" t="s">
        <v>5400</v>
      </c>
      <c r="E1759" s="1">
        <v>17780</v>
      </c>
      <c r="F1759" s="1" t="s">
        <v>8</v>
      </c>
      <c r="G1759" s="1" t="s">
        <v>9</v>
      </c>
      <c r="H1759" s="1" t="s">
        <v>10</v>
      </c>
    </row>
    <row r="1760" spans="1:8" x14ac:dyDescent="0.3">
      <c r="A1760" s="1">
        <v>718</v>
      </c>
      <c r="B1760" s="1" t="s">
        <v>1687</v>
      </c>
      <c r="C1760" s="1" t="s">
        <v>5401</v>
      </c>
      <c r="D1760" s="1" t="s">
        <v>5402</v>
      </c>
      <c r="E1760" s="1">
        <v>2618.1</v>
      </c>
      <c r="F1760" s="1" t="s">
        <v>8</v>
      </c>
      <c r="G1760" s="1" t="s">
        <v>9</v>
      </c>
      <c r="H1760" s="1" t="s">
        <v>10</v>
      </c>
    </row>
    <row r="1761" spans="1:8" x14ac:dyDescent="0.3">
      <c r="A1761" s="1">
        <v>718</v>
      </c>
      <c r="B1761" s="1" t="s">
        <v>1687</v>
      </c>
      <c r="C1761" s="1" t="s">
        <v>5403</v>
      </c>
      <c r="D1761" s="1" t="s">
        <v>5404</v>
      </c>
      <c r="E1761" s="1">
        <v>4635.59</v>
      </c>
      <c r="F1761" s="1" t="s">
        <v>8</v>
      </c>
      <c r="G1761" s="1" t="s">
        <v>9</v>
      </c>
      <c r="H1761" s="1" t="s">
        <v>10</v>
      </c>
    </row>
    <row r="1762" spans="1:8" x14ac:dyDescent="0.3">
      <c r="A1762" s="1">
        <v>718</v>
      </c>
      <c r="B1762" s="1" t="s">
        <v>1687</v>
      </c>
      <c r="C1762" s="1" t="s">
        <v>5405</v>
      </c>
      <c r="D1762" s="1" t="s">
        <v>5406</v>
      </c>
      <c r="E1762" s="1">
        <v>2817.59</v>
      </c>
      <c r="F1762" s="1" t="s">
        <v>8</v>
      </c>
      <c r="G1762" s="1" t="s">
        <v>9</v>
      </c>
      <c r="H1762" s="1" t="s">
        <v>10</v>
      </c>
    </row>
    <row r="1763" spans="1:8" x14ac:dyDescent="0.3">
      <c r="A1763" s="1">
        <v>718</v>
      </c>
      <c r="B1763" s="1" t="s">
        <v>1687</v>
      </c>
      <c r="C1763" s="1" t="s">
        <v>5407</v>
      </c>
      <c r="D1763" s="1" t="s">
        <v>5408</v>
      </c>
      <c r="E1763" s="1">
        <v>1881.32</v>
      </c>
      <c r="F1763" s="1" t="s">
        <v>8</v>
      </c>
      <c r="G1763" s="1" t="s">
        <v>9</v>
      </c>
      <c r="H1763" s="1" t="s">
        <v>10</v>
      </c>
    </row>
    <row r="1764" spans="1:8" x14ac:dyDescent="0.3">
      <c r="A1764" s="1">
        <v>718</v>
      </c>
      <c r="B1764" s="1" t="s">
        <v>1687</v>
      </c>
      <c r="C1764" s="1" t="s">
        <v>5409</v>
      </c>
      <c r="D1764" s="1" t="s">
        <v>5410</v>
      </c>
      <c r="E1764" s="1">
        <v>4268.3999999999996</v>
      </c>
      <c r="F1764" s="1" t="s">
        <v>8</v>
      </c>
      <c r="G1764" s="1" t="s">
        <v>9</v>
      </c>
      <c r="H1764" s="1" t="s">
        <v>10</v>
      </c>
    </row>
    <row r="1765" spans="1:8" x14ac:dyDescent="0.3">
      <c r="A1765" s="1">
        <v>718</v>
      </c>
      <c r="B1765" s="1" t="s">
        <v>1687</v>
      </c>
      <c r="C1765" s="1" t="s">
        <v>5411</v>
      </c>
      <c r="D1765" s="1" t="s">
        <v>5412</v>
      </c>
      <c r="E1765" s="1">
        <v>2112.65</v>
      </c>
      <c r="F1765" s="1" t="s">
        <v>8</v>
      </c>
      <c r="G1765" s="1" t="s">
        <v>9</v>
      </c>
      <c r="H1765" s="1" t="s">
        <v>10</v>
      </c>
    </row>
    <row r="1766" spans="1:8" x14ac:dyDescent="0.3">
      <c r="A1766" s="1">
        <v>718</v>
      </c>
      <c r="B1766" s="1" t="s">
        <v>1687</v>
      </c>
      <c r="C1766" s="1" t="s">
        <v>5413</v>
      </c>
      <c r="D1766" s="1" t="s">
        <v>5414</v>
      </c>
      <c r="E1766" s="1">
        <v>6944.02</v>
      </c>
      <c r="F1766" s="1" t="s">
        <v>8</v>
      </c>
      <c r="G1766" s="1" t="s">
        <v>9</v>
      </c>
      <c r="H1766" s="1" t="s">
        <v>10</v>
      </c>
    </row>
    <row r="1767" spans="1:8" x14ac:dyDescent="0.3">
      <c r="A1767" s="1">
        <v>718</v>
      </c>
      <c r="B1767" s="1" t="s">
        <v>1687</v>
      </c>
      <c r="C1767" s="1" t="s">
        <v>5415</v>
      </c>
      <c r="D1767" s="1" t="s">
        <v>5416</v>
      </c>
      <c r="E1767" s="1">
        <v>1160.04</v>
      </c>
      <c r="F1767" s="1" t="s">
        <v>8</v>
      </c>
      <c r="G1767" s="1" t="s">
        <v>9</v>
      </c>
      <c r="H1767" s="1" t="s">
        <v>10</v>
      </c>
    </row>
    <row r="1768" spans="1:8" x14ac:dyDescent="0.3">
      <c r="A1768" s="1">
        <v>718</v>
      </c>
      <c r="B1768" s="1" t="s">
        <v>1687</v>
      </c>
      <c r="C1768" s="1" t="s">
        <v>5417</v>
      </c>
      <c r="D1768" s="1" t="s">
        <v>5418</v>
      </c>
      <c r="E1768" s="1">
        <v>1770</v>
      </c>
      <c r="F1768" s="1" t="s">
        <v>8</v>
      </c>
      <c r="G1768" s="1" t="s">
        <v>9</v>
      </c>
      <c r="H1768" s="1" t="s">
        <v>10</v>
      </c>
    </row>
    <row r="1769" spans="1:8" x14ac:dyDescent="0.3">
      <c r="A1769" s="1">
        <v>718</v>
      </c>
      <c r="B1769" s="1" t="s">
        <v>1687</v>
      </c>
      <c r="C1769" s="1" t="s">
        <v>5419</v>
      </c>
      <c r="D1769" s="1" t="s">
        <v>5420</v>
      </c>
      <c r="E1769" s="1">
        <v>836.35</v>
      </c>
      <c r="F1769" s="1" t="s">
        <v>8</v>
      </c>
      <c r="G1769" s="1" t="s">
        <v>9</v>
      </c>
      <c r="H1769" s="1" t="s">
        <v>10</v>
      </c>
    </row>
    <row r="1770" spans="1:8" x14ac:dyDescent="0.3">
      <c r="A1770" s="1">
        <v>718</v>
      </c>
      <c r="B1770" s="1" t="s">
        <v>1687</v>
      </c>
      <c r="C1770" s="1" t="s">
        <v>5421</v>
      </c>
      <c r="D1770" s="1" t="s">
        <v>5422</v>
      </c>
      <c r="E1770" s="1">
        <v>1363.15</v>
      </c>
      <c r="F1770" s="1" t="s">
        <v>8</v>
      </c>
      <c r="G1770" s="1" t="s">
        <v>9</v>
      </c>
      <c r="H1770" s="1" t="s">
        <v>10</v>
      </c>
    </row>
    <row r="1771" spans="1:8" x14ac:dyDescent="0.3">
      <c r="A1771" s="1">
        <v>718</v>
      </c>
      <c r="B1771" s="1" t="s">
        <v>1687</v>
      </c>
      <c r="C1771" s="1" t="s">
        <v>5423</v>
      </c>
      <c r="D1771" s="1" t="s">
        <v>5424</v>
      </c>
      <c r="E1771" s="1">
        <v>691.31</v>
      </c>
      <c r="F1771" s="1" t="s">
        <v>8</v>
      </c>
      <c r="G1771" s="1" t="s">
        <v>9</v>
      </c>
      <c r="H1771" s="1" t="s">
        <v>10</v>
      </c>
    </row>
    <row r="1772" spans="1:8" x14ac:dyDescent="0.3">
      <c r="A1772" s="1">
        <v>718</v>
      </c>
      <c r="B1772" s="1" t="s">
        <v>1687</v>
      </c>
      <c r="C1772" s="1" t="s">
        <v>5425</v>
      </c>
      <c r="D1772" s="1" t="s">
        <v>5426</v>
      </c>
      <c r="E1772" s="1">
        <v>3678</v>
      </c>
      <c r="F1772" s="1" t="s">
        <v>8</v>
      </c>
      <c r="G1772" s="1" t="s">
        <v>9</v>
      </c>
      <c r="H1772" s="1" t="s">
        <v>10</v>
      </c>
    </row>
    <row r="1773" spans="1:8" x14ac:dyDescent="0.3">
      <c r="A1773" s="1">
        <v>718</v>
      </c>
      <c r="B1773" s="1" t="s">
        <v>1687</v>
      </c>
      <c r="C1773" s="1" t="s">
        <v>5427</v>
      </c>
      <c r="D1773" s="1" t="s">
        <v>5428</v>
      </c>
      <c r="E1773" s="1">
        <v>585.24</v>
      </c>
      <c r="F1773" s="1" t="s">
        <v>8</v>
      </c>
      <c r="G1773" s="1" t="s">
        <v>9</v>
      </c>
      <c r="H1773" s="1" t="s">
        <v>10</v>
      </c>
    </row>
    <row r="1774" spans="1:8" x14ac:dyDescent="0.3">
      <c r="A1774" s="1">
        <v>718</v>
      </c>
      <c r="B1774" s="1" t="s">
        <v>1687</v>
      </c>
      <c r="C1774" s="1" t="s">
        <v>5429</v>
      </c>
      <c r="D1774" s="1" t="s">
        <v>5430</v>
      </c>
      <c r="E1774" s="1">
        <v>86.81</v>
      </c>
      <c r="F1774" s="1" t="s">
        <v>8</v>
      </c>
      <c r="G1774" s="1" t="s">
        <v>9</v>
      </c>
      <c r="H1774" s="1" t="s">
        <v>10</v>
      </c>
    </row>
    <row r="1775" spans="1:8" x14ac:dyDescent="0.3">
      <c r="A1775" s="1">
        <v>718</v>
      </c>
      <c r="B1775" s="1" t="s">
        <v>1687</v>
      </c>
      <c r="C1775" s="1" t="s">
        <v>5431</v>
      </c>
      <c r="D1775" s="1" t="s">
        <v>5432</v>
      </c>
      <c r="E1775" s="1">
        <v>8017.2</v>
      </c>
      <c r="F1775" s="1" t="s">
        <v>8</v>
      </c>
      <c r="G1775" s="1" t="s">
        <v>9</v>
      </c>
      <c r="H1775" s="1" t="s">
        <v>10</v>
      </c>
    </row>
    <row r="1776" spans="1:8" x14ac:dyDescent="0.3">
      <c r="A1776" s="1">
        <v>718</v>
      </c>
      <c r="B1776" s="1" t="s">
        <v>1687</v>
      </c>
      <c r="C1776" s="1" t="s">
        <v>5433</v>
      </c>
      <c r="D1776" s="1" t="s">
        <v>5434</v>
      </c>
      <c r="E1776" s="1">
        <v>1264.92</v>
      </c>
      <c r="F1776" s="1" t="s">
        <v>8</v>
      </c>
      <c r="G1776" s="1" t="s">
        <v>9</v>
      </c>
      <c r="H1776" s="1" t="s">
        <v>10</v>
      </c>
    </row>
    <row r="1777" spans="1:8" x14ac:dyDescent="0.3">
      <c r="A1777" s="1">
        <v>718</v>
      </c>
      <c r="B1777" s="1" t="s">
        <v>1687</v>
      </c>
      <c r="C1777" s="1" t="s">
        <v>5435</v>
      </c>
      <c r="D1777" s="1" t="s">
        <v>5436</v>
      </c>
      <c r="E1777" s="1">
        <v>61.29</v>
      </c>
      <c r="F1777" s="1" t="s">
        <v>8</v>
      </c>
      <c r="G1777" s="1" t="s">
        <v>9</v>
      </c>
      <c r="H1777" s="1" t="s">
        <v>10</v>
      </c>
    </row>
    <row r="1778" spans="1:8" x14ac:dyDescent="0.3">
      <c r="A1778" s="1">
        <v>718</v>
      </c>
      <c r="B1778" s="1" t="s">
        <v>1687</v>
      </c>
      <c r="C1778" s="1" t="s">
        <v>5437</v>
      </c>
      <c r="D1778" s="1" t="s">
        <v>5438</v>
      </c>
      <c r="E1778" s="1">
        <v>1166.07</v>
      </c>
      <c r="F1778" s="1" t="s">
        <v>8</v>
      </c>
      <c r="G1778" s="1" t="s">
        <v>9</v>
      </c>
      <c r="H1778" s="1" t="s">
        <v>10</v>
      </c>
    </row>
    <row r="1779" spans="1:8" x14ac:dyDescent="0.3">
      <c r="A1779" s="1">
        <v>718</v>
      </c>
      <c r="B1779" s="1" t="s">
        <v>1687</v>
      </c>
      <c r="C1779" s="1" t="s">
        <v>5439</v>
      </c>
      <c r="D1779" s="1" t="s">
        <v>5440</v>
      </c>
      <c r="E1779" s="1">
        <v>3570</v>
      </c>
      <c r="F1779" s="1" t="s">
        <v>8</v>
      </c>
      <c r="G1779" s="1" t="s">
        <v>9</v>
      </c>
      <c r="H1779" s="1" t="s">
        <v>10</v>
      </c>
    </row>
    <row r="1780" spans="1:8" x14ac:dyDescent="0.3">
      <c r="A1780" s="1">
        <v>718</v>
      </c>
      <c r="B1780" s="1" t="s">
        <v>1687</v>
      </c>
      <c r="C1780" s="1" t="s">
        <v>5441</v>
      </c>
      <c r="D1780" s="1" t="s">
        <v>5442</v>
      </c>
      <c r="E1780" s="1">
        <v>3950</v>
      </c>
      <c r="F1780" s="1" t="s">
        <v>8</v>
      </c>
      <c r="G1780" s="1" t="s">
        <v>9</v>
      </c>
      <c r="H1780" s="1" t="s">
        <v>10</v>
      </c>
    </row>
    <row r="1781" spans="1:8" x14ac:dyDescent="0.3">
      <c r="A1781" s="1">
        <v>718</v>
      </c>
      <c r="B1781" s="1" t="s">
        <v>1687</v>
      </c>
      <c r="C1781" s="1" t="s">
        <v>5443</v>
      </c>
      <c r="D1781" s="1" t="s">
        <v>5444</v>
      </c>
      <c r="E1781" s="1">
        <v>850</v>
      </c>
      <c r="F1781" s="1" t="s">
        <v>8</v>
      </c>
      <c r="G1781" s="1" t="s">
        <v>9</v>
      </c>
      <c r="H1781" s="1" t="s">
        <v>10</v>
      </c>
    </row>
    <row r="1782" spans="1:8" x14ac:dyDescent="0.3">
      <c r="A1782" s="1">
        <v>718</v>
      </c>
      <c r="B1782" s="1" t="s">
        <v>1687</v>
      </c>
      <c r="C1782" s="1" t="s">
        <v>5445</v>
      </c>
      <c r="D1782" s="1" t="s">
        <v>5446</v>
      </c>
      <c r="E1782" s="1">
        <v>271.06</v>
      </c>
      <c r="F1782" s="1" t="s">
        <v>8</v>
      </c>
      <c r="G1782" s="1" t="s">
        <v>9</v>
      </c>
      <c r="H1782" s="1" t="s">
        <v>10</v>
      </c>
    </row>
    <row r="1783" spans="1:8" x14ac:dyDescent="0.3">
      <c r="A1783" s="1">
        <v>718</v>
      </c>
      <c r="B1783" s="1" t="s">
        <v>1687</v>
      </c>
      <c r="C1783" s="1" t="s">
        <v>5447</v>
      </c>
      <c r="D1783" s="1" t="s">
        <v>5448</v>
      </c>
      <c r="E1783" s="1">
        <v>795</v>
      </c>
      <c r="F1783" s="1" t="s">
        <v>8</v>
      </c>
      <c r="G1783" s="1" t="s">
        <v>9</v>
      </c>
      <c r="H1783" s="1" t="s">
        <v>10</v>
      </c>
    </row>
    <row r="1784" spans="1:8" x14ac:dyDescent="0.3">
      <c r="A1784" s="1">
        <v>718</v>
      </c>
      <c r="B1784" s="1" t="s">
        <v>1687</v>
      </c>
      <c r="C1784" s="1" t="s">
        <v>5449</v>
      </c>
      <c r="D1784" s="1" t="s">
        <v>5450</v>
      </c>
      <c r="E1784" s="1">
        <v>867</v>
      </c>
      <c r="F1784" s="1" t="s">
        <v>8</v>
      </c>
      <c r="G1784" s="1" t="s">
        <v>9</v>
      </c>
      <c r="H1784" s="1" t="s">
        <v>10</v>
      </c>
    </row>
    <row r="1785" spans="1:8" x14ac:dyDescent="0.3">
      <c r="A1785" s="1">
        <v>718</v>
      </c>
      <c r="B1785" s="1" t="s">
        <v>1687</v>
      </c>
      <c r="C1785" s="1" t="s">
        <v>5451</v>
      </c>
      <c r="D1785" s="1" t="s">
        <v>5452</v>
      </c>
      <c r="E1785" s="1">
        <v>6000</v>
      </c>
      <c r="F1785" s="1" t="s">
        <v>8</v>
      </c>
      <c r="G1785" s="1" t="s">
        <v>9</v>
      </c>
      <c r="H1785" s="1" t="s">
        <v>10</v>
      </c>
    </row>
    <row r="1786" spans="1:8" x14ac:dyDescent="0.3">
      <c r="A1786" s="1">
        <v>718</v>
      </c>
      <c r="B1786" s="1" t="s">
        <v>1687</v>
      </c>
      <c r="C1786" s="1" t="s">
        <v>5453</v>
      </c>
      <c r="D1786" s="1" t="s">
        <v>5454</v>
      </c>
      <c r="E1786" s="1">
        <v>1377.5</v>
      </c>
      <c r="F1786" s="1" t="s">
        <v>8</v>
      </c>
      <c r="G1786" s="1" t="s">
        <v>9</v>
      </c>
      <c r="H1786" s="1" t="s">
        <v>10</v>
      </c>
    </row>
    <row r="1787" spans="1:8" x14ac:dyDescent="0.3">
      <c r="A1787" s="1">
        <v>718</v>
      </c>
      <c r="B1787" s="1" t="s">
        <v>1687</v>
      </c>
      <c r="C1787" s="1" t="s">
        <v>5455</v>
      </c>
      <c r="D1787" s="1" t="s">
        <v>5456</v>
      </c>
      <c r="E1787" s="1">
        <v>6732.3</v>
      </c>
      <c r="F1787" s="1" t="s">
        <v>8</v>
      </c>
      <c r="G1787" s="1" t="s">
        <v>9</v>
      </c>
      <c r="H1787" s="1" t="s">
        <v>10</v>
      </c>
    </row>
    <row r="1788" spans="1:8" x14ac:dyDescent="0.3">
      <c r="A1788" s="1">
        <v>718</v>
      </c>
      <c r="B1788" s="1" t="s">
        <v>1687</v>
      </c>
      <c r="C1788" s="1" t="s">
        <v>5457</v>
      </c>
      <c r="D1788" s="1" t="s">
        <v>5458</v>
      </c>
      <c r="E1788" s="1">
        <v>1150.8</v>
      </c>
      <c r="F1788" s="1" t="s">
        <v>8</v>
      </c>
      <c r="G1788" s="1" t="s">
        <v>9</v>
      </c>
      <c r="H1788" s="1" t="s">
        <v>10</v>
      </c>
    </row>
    <row r="1789" spans="1:8" x14ac:dyDescent="0.3">
      <c r="A1789" s="1">
        <v>718</v>
      </c>
      <c r="B1789" s="1" t="s">
        <v>1687</v>
      </c>
      <c r="C1789" s="1" t="s">
        <v>5459</v>
      </c>
      <c r="D1789" s="1" t="s">
        <v>5460</v>
      </c>
      <c r="E1789" s="1">
        <v>555.24</v>
      </c>
      <c r="F1789" s="1" t="s">
        <v>8</v>
      </c>
      <c r="G1789" s="1" t="s">
        <v>9</v>
      </c>
      <c r="H1789" s="1" t="s">
        <v>10</v>
      </c>
    </row>
    <row r="1790" spans="1:8" x14ac:dyDescent="0.3">
      <c r="A1790" s="1">
        <v>718</v>
      </c>
      <c r="B1790" s="1" t="s">
        <v>1687</v>
      </c>
      <c r="C1790" s="1" t="s">
        <v>5461</v>
      </c>
      <c r="D1790" s="1" t="s">
        <v>5462</v>
      </c>
      <c r="E1790" s="1">
        <v>101.81</v>
      </c>
      <c r="F1790" s="1" t="s">
        <v>8</v>
      </c>
      <c r="G1790" s="1" t="s">
        <v>9</v>
      </c>
      <c r="H1790" s="1" t="s">
        <v>10</v>
      </c>
    </row>
    <row r="1791" spans="1:8" x14ac:dyDescent="0.3">
      <c r="A1791" s="1">
        <v>718</v>
      </c>
      <c r="B1791" s="1" t="s">
        <v>1687</v>
      </c>
      <c r="C1791" s="1" t="s">
        <v>5463</v>
      </c>
      <c r="D1791" s="1" t="s">
        <v>5464</v>
      </c>
      <c r="E1791" s="1">
        <v>1596</v>
      </c>
      <c r="F1791" s="1" t="s">
        <v>8</v>
      </c>
      <c r="G1791" s="1" t="s">
        <v>9</v>
      </c>
      <c r="H1791" s="1" t="s">
        <v>10</v>
      </c>
    </row>
    <row r="1792" spans="1:8" x14ac:dyDescent="0.3">
      <c r="A1792" s="1">
        <v>718</v>
      </c>
      <c r="B1792" s="1" t="s">
        <v>1687</v>
      </c>
      <c r="C1792" s="1" t="s">
        <v>5465</v>
      </c>
      <c r="D1792" s="1" t="s">
        <v>5466</v>
      </c>
      <c r="E1792" s="1">
        <v>1141.5999999999999</v>
      </c>
      <c r="F1792" s="1" t="s">
        <v>8</v>
      </c>
      <c r="G1792" s="1" t="s">
        <v>9</v>
      </c>
      <c r="H1792" s="1" t="s">
        <v>10</v>
      </c>
    </row>
    <row r="1793" spans="1:8" x14ac:dyDescent="0.3">
      <c r="A1793" s="1">
        <v>718</v>
      </c>
      <c r="B1793" s="1" t="s">
        <v>1687</v>
      </c>
      <c r="C1793" s="1" t="s">
        <v>5467</v>
      </c>
      <c r="D1793" s="1" t="s">
        <v>5468</v>
      </c>
      <c r="E1793" s="1">
        <v>580.91999999999996</v>
      </c>
      <c r="F1793" s="1" t="s">
        <v>8</v>
      </c>
      <c r="G1793" s="1" t="s">
        <v>9</v>
      </c>
      <c r="H1793" s="1" t="s">
        <v>10</v>
      </c>
    </row>
    <row r="1794" spans="1:8" x14ac:dyDescent="0.3">
      <c r="A1794" s="1">
        <v>718</v>
      </c>
      <c r="B1794" s="1" t="s">
        <v>1687</v>
      </c>
      <c r="C1794" s="1" t="s">
        <v>5469</v>
      </c>
      <c r="D1794" s="1" t="s">
        <v>5470</v>
      </c>
      <c r="E1794" s="1">
        <v>889.35</v>
      </c>
      <c r="F1794" s="1" t="s">
        <v>8</v>
      </c>
      <c r="G1794" s="1" t="s">
        <v>9</v>
      </c>
      <c r="H1794" s="1" t="s">
        <v>10</v>
      </c>
    </row>
    <row r="1795" spans="1:8" x14ac:dyDescent="0.3">
      <c r="A1795" s="1">
        <v>718</v>
      </c>
      <c r="B1795" s="1" t="s">
        <v>1687</v>
      </c>
      <c r="C1795" s="1" t="s">
        <v>5471</v>
      </c>
      <c r="D1795" s="1" t="s">
        <v>5472</v>
      </c>
      <c r="E1795" s="1">
        <v>11579.48</v>
      </c>
      <c r="F1795" s="1" t="s">
        <v>8</v>
      </c>
      <c r="G1795" s="1" t="s">
        <v>9</v>
      </c>
      <c r="H1795" s="1" t="s">
        <v>10</v>
      </c>
    </row>
    <row r="1796" spans="1:8" x14ac:dyDescent="0.3">
      <c r="A1796" s="1">
        <v>718</v>
      </c>
      <c r="B1796" s="1" t="s">
        <v>1687</v>
      </c>
      <c r="C1796" s="1" t="s">
        <v>5473</v>
      </c>
      <c r="D1796" s="1" t="s">
        <v>5474</v>
      </c>
      <c r="E1796" s="1">
        <v>853</v>
      </c>
      <c r="F1796" s="1" t="s">
        <v>8</v>
      </c>
      <c r="G1796" s="1" t="s">
        <v>9</v>
      </c>
      <c r="H1796" s="1" t="s">
        <v>10</v>
      </c>
    </row>
    <row r="1797" spans="1:8" x14ac:dyDescent="0.3">
      <c r="A1797" s="1">
        <v>718</v>
      </c>
      <c r="B1797" s="1" t="s">
        <v>1687</v>
      </c>
      <c r="C1797" s="1" t="s">
        <v>5475</v>
      </c>
      <c r="D1797" s="1" t="s">
        <v>5476</v>
      </c>
      <c r="E1797" s="1">
        <v>7044</v>
      </c>
      <c r="F1797" s="1" t="s">
        <v>8</v>
      </c>
      <c r="G1797" s="1" t="s">
        <v>9</v>
      </c>
      <c r="H1797" s="1" t="s">
        <v>10</v>
      </c>
    </row>
    <row r="1798" spans="1:8" x14ac:dyDescent="0.3">
      <c r="A1798" s="1">
        <v>718</v>
      </c>
      <c r="B1798" s="1" t="s">
        <v>1687</v>
      </c>
      <c r="C1798" s="1" t="s">
        <v>5477</v>
      </c>
      <c r="D1798" s="1" t="s">
        <v>5478</v>
      </c>
      <c r="E1798" s="1">
        <v>2943</v>
      </c>
      <c r="F1798" s="1" t="s">
        <v>8</v>
      </c>
      <c r="G1798" s="1" t="s">
        <v>9</v>
      </c>
      <c r="H1798" s="1" t="s">
        <v>10</v>
      </c>
    </row>
    <row r="1799" spans="1:8" x14ac:dyDescent="0.3">
      <c r="A1799" s="1">
        <v>718</v>
      </c>
      <c r="B1799" s="1" t="s">
        <v>1687</v>
      </c>
      <c r="C1799" s="1" t="s">
        <v>5479</v>
      </c>
      <c r="D1799" s="1" t="s">
        <v>5480</v>
      </c>
      <c r="E1799" s="1">
        <v>700</v>
      </c>
      <c r="F1799" s="1" t="s">
        <v>8</v>
      </c>
      <c r="G1799" s="1" t="s">
        <v>9</v>
      </c>
      <c r="H1799" s="1" t="s">
        <v>10</v>
      </c>
    </row>
    <row r="1800" spans="1:8" x14ac:dyDescent="0.3">
      <c r="A1800" s="1">
        <v>718</v>
      </c>
      <c r="B1800" s="1" t="s">
        <v>1687</v>
      </c>
      <c r="C1800" s="1" t="s">
        <v>5481</v>
      </c>
      <c r="D1800" s="1" t="s">
        <v>5482</v>
      </c>
      <c r="E1800" s="1">
        <v>284.33</v>
      </c>
      <c r="F1800" s="1" t="s">
        <v>8</v>
      </c>
      <c r="G1800" s="1" t="s">
        <v>9</v>
      </c>
      <c r="H1800" s="1" t="s">
        <v>10</v>
      </c>
    </row>
    <row r="1801" spans="1:8" x14ac:dyDescent="0.3">
      <c r="A1801" s="1">
        <v>718</v>
      </c>
      <c r="B1801" s="1" t="s">
        <v>1687</v>
      </c>
      <c r="C1801" s="1" t="s">
        <v>5483</v>
      </c>
      <c r="D1801" s="1" t="s">
        <v>5484</v>
      </c>
      <c r="E1801" s="1">
        <v>5976</v>
      </c>
      <c r="F1801" s="1" t="s">
        <v>8</v>
      </c>
      <c r="G1801" s="1" t="s">
        <v>9</v>
      </c>
      <c r="H1801" s="1" t="s">
        <v>10</v>
      </c>
    </row>
    <row r="1802" spans="1:8" x14ac:dyDescent="0.3">
      <c r="A1802" s="1">
        <v>718</v>
      </c>
      <c r="B1802" s="1" t="s">
        <v>1687</v>
      </c>
      <c r="C1802" s="1" t="s">
        <v>5485</v>
      </c>
      <c r="D1802" s="1" t="s">
        <v>5486</v>
      </c>
      <c r="E1802" s="1">
        <v>580</v>
      </c>
      <c r="F1802" s="1" t="s">
        <v>8</v>
      </c>
      <c r="G1802" s="1" t="s">
        <v>9</v>
      </c>
      <c r="H1802" s="1" t="s">
        <v>10</v>
      </c>
    </row>
    <row r="1803" spans="1:8" x14ac:dyDescent="0.3">
      <c r="A1803" s="1">
        <v>718</v>
      </c>
      <c r="B1803" s="1" t="s">
        <v>1687</v>
      </c>
      <c r="C1803" s="1" t="s">
        <v>5487</v>
      </c>
      <c r="D1803" s="1" t="s">
        <v>5488</v>
      </c>
      <c r="E1803" s="1">
        <v>50</v>
      </c>
      <c r="F1803" s="1" t="s">
        <v>8</v>
      </c>
      <c r="G1803" s="1" t="s">
        <v>9</v>
      </c>
      <c r="H1803" s="1" t="s">
        <v>10</v>
      </c>
    </row>
    <row r="1804" spans="1:8" x14ac:dyDescent="0.3">
      <c r="A1804" s="1">
        <v>718</v>
      </c>
      <c r="B1804" s="1" t="s">
        <v>1687</v>
      </c>
      <c r="C1804" s="1" t="s">
        <v>5489</v>
      </c>
      <c r="D1804" s="1" t="s">
        <v>5490</v>
      </c>
      <c r="E1804" s="1">
        <v>6180</v>
      </c>
      <c r="F1804" s="1" t="s">
        <v>8</v>
      </c>
      <c r="G1804" s="1" t="s">
        <v>9</v>
      </c>
      <c r="H1804" s="1" t="s">
        <v>10</v>
      </c>
    </row>
    <row r="1805" spans="1:8" x14ac:dyDescent="0.3">
      <c r="A1805" s="1">
        <v>718</v>
      </c>
      <c r="B1805" s="1" t="s">
        <v>1687</v>
      </c>
      <c r="C1805" s="1" t="s">
        <v>5491</v>
      </c>
      <c r="D1805" s="1" t="s">
        <v>5492</v>
      </c>
      <c r="E1805" s="1">
        <v>464.38</v>
      </c>
      <c r="F1805" s="1" t="s">
        <v>8</v>
      </c>
      <c r="G1805" s="1" t="s">
        <v>9</v>
      </c>
      <c r="H1805" s="1" t="s">
        <v>10</v>
      </c>
    </row>
    <row r="1806" spans="1:8" x14ac:dyDescent="0.3">
      <c r="A1806" s="1">
        <v>718</v>
      </c>
      <c r="B1806" s="1" t="s">
        <v>1687</v>
      </c>
      <c r="C1806" s="1" t="s">
        <v>5493</v>
      </c>
      <c r="D1806" s="1" t="s">
        <v>5494</v>
      </c>
      <c r="E1806" s="1">
        <v>3215.62</v>
      </c>
      <c r="F1806" s="1" t="s">
        <v>8</v>
      </c>
      <c r="G1806" s="1" t="s">
        <v>9</v>
      </c>
      <c r="H1806" s="1" t="s">
        <v>10</v>
      </c>
    </row>
    <row r="1807" spans="1:8" x14ac:dyDescent="0.3">
      <c r="A1807" s="1">
        <v>718</v>
      </c>
      <c r="B1807" s="1" t="s">
        <v>1687</v>
      </c>
      <c r="C1807" s="1" t="s">
        <v>5495</v>
      </c>
      <c r="D1807" s="1" t="s">
        <v>5496</v>
      </c>
      <c r="E1807" s="1">
        <v>50</v>
      </c>
      <c r="F1807" s="1" t="s">
        <v>8</v>
      </c>
      <c r="G1807" s="1" t="s">
        <v>9</v>
      </c>
      <c r="H1807" s="1" t="s">
        <v>10</v>
      </c>
    </row>
    <row r="1808" spans="1:8" x14ac:dyDescent="0.3">
      <c r="A1808" s="1">
        <v>718</v>
      </c>
      <c r="B1808" s="1" t="s">
        <v>1687</v>
      </c>
      <c r="C1808" s="1" t="s">
        <v>5497</v>
      </c>
      <c r="D1808" s="1" t="s">
        <v>5498</v>
      </c>
      <c r="E1808" s="1">
        <v>762</v>
      </c>
      <c r="F1808" s="1" t="s">
        <v>8</v>
      </c>
      <c r="G1808" s="1" t="s">
        <v>9</v>
      </c>
      <c r="H1808" s="1" t="s">
        <v>10</v>
      </c>
    </row>
    <row r="1809" spans="1:8" x14ac:dyDescent="0.3">
      <c r="A1809" s="1">
        <v>718</v>
      </c>
      <c r="B1809" s="1" t="s">
        <v>1687</v>
      </c>
      <c r="C1809" s="1" t="s">
        <v>5499</v>
      </c>
      <c r="D1809" s="1" t="s">
        <v>5500</v>
      </c>
      <c r="E1809" s="1">
        <v>3026.58</v>
      </c>
      <c r="F1809" s="1" t="s">
        <v>8</v>
      </c>
      <c r="G1809" s="1" t="s">
        <v>9</v>
      </c>
      <c r="H1809" s="1" t="s">
        <v>10</v>
      </c>
    </row>
    <row r="1810" spans="1:8" x14ac:dyDescent="0.3">
      <c r="A1810" s="1">
        <v>718</v>
      </c>
      <c r="B1810" s="1" t="s">
        <v>1687</v>
      </c>
      <c r="C1810" s="1" t="s">
        <v>5501</v>
      </c>
      <c r="D1810" s="1" t="s">
        <v>5502</v>
      </c>
      <c r="E1810" s="1">
        <v>280.43</v>
      </c>
      <c r="F1810" s="1" t="s">
        <v>8</v>
      </c>
      <c r="G1810" s="1" t="s">
        <v>9</v>
      </c>
      <c r="H1810" s="1" t="s">
        <v>10</v>
      </c>
    </row>
    <row r="1811" spans="1:8" x14ac:dyDescent="0.3">
      <c r="A1811" s="1">
        <v>718</v>
      </c>
      <c r="B1811" s="1" t="s">
        <v>1687</v>
      </c>
      <c r="C1811" s="1" t="s">
        <v>5503</v>
      </c>
      <c r="D1811" s="1" t="s">
        <v>5504</v>
      </c>
      <c r="E1811" s="1">
        <v>2940.66</v>
      </c>
      <c r="F1811" s="1" t="s">
        <v>8</v>
      </c>
      <c r="G1811" s="1" t="s">
        <v>9</v>
      </c>
      <c r="H1811" s="1" t="s">
        <v>10</v>
      </c>
    </row>
    <row r="1812" spans="1:8" x14ac:dyDescent="0.3">
      <c r="A1812" s="1">
        <v>718</v>
      </c>
      <c r="B1812" s="1" t="s">
        <v>1687</v>
      </c>
      <c r="C1812" s="1" t="s">
        <v>5505</v>
      </c>
      <c r="D1812" s="1" t="s">
        <v>5506</v>
      </c>
      <c r="E1812" s="1">
        <v>6867.32</v>
      </c>
      <c r="F1812" s="1" t="s">
        <v>8</v>
      </c>
      <c r="G1812" s="1" t="s">
        <v>9</v>
      </c>
      <c r="H1812" s="1" t="s">
        <v>10</v>
      </c>
    </row>
    <row r="1813" spans="1:8" x14ac:dyDescent="0.3">
      <c r="A1813" s="1">
        <v>718</v>
      </c>
      <c r="B1813" s="1" t="s">
        <v>1687</v>
      </c>
      <c r="C1813" s="1" t="s">
        <v>5507</v>
      </c>
      <c r="D1813" s="1" t="s">
        <v>5508</v>
      </c>
      <c r="E1813" s="1">
        <v>10497.3</v>
      </c>
      <c r="F1813" s="1" t="s">
        <v>8</v>
      </c>
      <c r="G1813" s="1" t="s">
        <v>9</v>
      </c>
      <c r="H1813" s="1" t="s">
        <v>10</v>
      </c>
    </row>
    <row r="1814" spans="1:8" x14ac:dyDescent="0.3">
      <c r="A1814" s="1">
        <v>718</v>
      </c>
      <c r="B1814" s="1" t="s">
        <v>1687</v>
      </c>
      <c r="C1814" s="1" t="s">
        <v>5509</v>
      </c>
      <c r="D1814" s="1" t="s">
        <v>5510</v>
      </c>
      <c r="E1814" s="1">
        <v>21890.14</v>
      </c>
      <c r="F1814" s="1" t="s">
        <v>8</v>
      </c>
      <c r="G1814" s="1" t="s">
        <v>9</v>
      </c>
      <c r="H1814" s="1" t="s">
        <v>10</v>
      </c>
    </row>
    <row r="1815" spans="1:8" x14ac:dyDescent="0.3">
      <c r="A1815" s="1">
        <v>718</v>
      </c>
      <c r="B1815" s="1" t="s">
        <v>1687</v>
      </c>
      <c r="C1815" s="1" t="s">
        <v>5511</v>
      </c>
      <c r="D1815" s="1" t="s">
        <v>5512</v>
      </c>
      <c r="E1815" s="1">
        <v>1023.25</v>
      </c>
      <c r="F1815" s="1" t="s">
        <v>8</v>
      </c>
      <c r="G1815" s="1" t="s">
        <v>9</v>
      </c>
      <c r="H1815" s="1" t="s">
        <v>10</v>
      </c>
    </row>
    <row r="1816" spans="1:8" x14ac:dyDescent="0.3">
      <c r="A1816" s="1">
        <v>718</v>
      </c>
      <c r="B1816" s="1" t="s">
        <v>1687</v>
      </c>
      <c r="C1816" s="1" t="s">
        <v>5513</v>
      </c>
      <c r="D1816" s="1" t="s">
        <v>5514</v>
      </c>
      <c r="E1816" s="1">
        <v>3016.93</v>
      </c>
      <c r="F1816" s="1" t="s">
        <v>8</v>
      </c>
      <c r="G1816" s="1" t="s">
        <v>9</v>
      </c>
      <c r="H1816" s="1" t="s">
        <v>10</v>
      </c>
    </row>
    <row r="1817" spans="1:8" x14ac:dyDescent="0.3">
      <c r="A1817" s="1">
        <v>718</v>
      </c>
      <c r="B1817" s="1" t="s">
        <v>1687</v>
      </c>
      <c r="C1817" s="1" t="s">
        <v>5515</v>
      </c>
      <c r="D1817" s="1" t="s">
        <v>5516</v>
      </c>
      <c r="E1817" s="1">
        <v>631.17999999999995</v>
      </c>
      <c r="F1817" s="1" t="s">
        <v>8</v>
      </c>
      <c r="G1817" s="1" t="s">
        <v>9</v>
      </c>
      <c r="H1817" s="1" t="s">
        <v>10</v>
      </c>
    </row>
    <row r="1818" spans="1:8" x14ac:dyDescent="0.3">
      <c r="A1818" s="1">
        <v>718</v>
      </c>
      <c r="B1818" s="1" t="s">
        <v>1687</v>
      </c>
      <c r="C1818" s="1" t="s">
        <v>5517</v>
      </c>
      <c r="D1818" s="1" t="s">
        <v>5518</v>
      </c>
      <c r="E1818" s="1">
        <v>735</v>
      </c>
      <c r="F1818" s="1" t="s">
        <v>8</v>
      </c>
      <c r="G1818" s="1" t="s">
        <v>9</v>
      </c>
      <c r="H1818" s="1" t="s">
        <v>10</v>
      </c>
    </row>
    <row r="1819" spans="1:8" x14ac:dyDescent="0.3">
      <c r="A1819" s="1">
        <v>718</v>
      </c>
      <c r="B1819" s="1" t="s">
        <v>1687</v>
      </c>
      <c r="C1819" s="1" t="s">
        <v>5519</v>
      </c>
      <c r="D1819" s="1" t="s">
        <v>5520</v>
      </c>
      <c r="E1819" s="1">
        <v>6936.01</v>
      </c>
      <c r="F1819" s="1" t="s">
        <v>8</v>
      </c>
      <c r="G1819" s="1" t="s">
        <v>9</v>
      </c>
      <c r="H1819" s="1" t="s">
        <v>10</v>
      </c>
    </row>
    <row r="1820" spans="1:8" x14ac:dyDescent="0.3">
      <c r="A1820" s="1">
        <v>718</v>
      </c>
      <c r="B1820" s="1" t="s">
        <v>1687</v>
      </c>
      <c r="C1820" s="1" t="s">
        <v>5521</v>
      </c>
      <c r="D1820" s="1" t="s">
        <v>5522</v>
      </c>
      <c r="E1820" s="1">
        <v>2102.25</v>
      </c>
      <c r="F1820" s="1" t="s">
        <v>8</v>
      </c>
      <c r="G1820" s="1" t="s">
        <v>9</v>
      </c>
      <c r="H1820" s="1" t="s">
        <v>10</v>
      </c>
    </row>
    <row r="1821" spans="1:8" x14ac:dyDescent="0.3">
      <c r="A1821" s="1">
        <v>718</v>
      </c>
      <c r="B1821" s="1" t="s">
        <v>1687</v>
      </c>
      <c r="C1821" s="1" t="s">
        <v>5523</v>
      </c>
      <c r="D1821" s="1" t="s">
        <v>5524</v>
      </c>
      <c r="E1821" s="1">
        <v>9044.19</v>
      </c>
      <c r="F1821" s="1" t="s">
        <v>8</v>
      </c>
      <c r="G1821" s="1" t="s">
        <v>9</v>
      </c>
      <c r="H1821" s="1" t="s">
        <v>10</v>
      </c>
    </row>
    <row r="1822" spans="1:8" x14ac:dyDescent="0.3">
      <c r="A1822" s="1">
        <v>718</v>
      </c>
      <c r="B1822" s="1" t="s">
        <v>1687</v>
      </c>
      <c r="C1822" s="1" t="s">
        <v>5525</v>
      </c>
      <c r="D1822" s="1" t="s">
        <v>5526</v>
      </c>
      <c r="E1822" s="1">
        <v>224064</v>
      </c>
      <c r="F1822" s="1" t="s">
        <v>8</v>
      </c>
      <c r="G1822" s="1" t="s">
        <v>13</v>
      </c>
      <c r="H1822" s="1" t="s">
        <v>10</v>
      </c>
    </row>
    <row r="1823" spans="1:8" x14ac:dyDescent="0.3">
      <c r="A1823" s="1">
        <v>718</v>
      </c>
      <c r="B1823" s="1" t="s">
        <v>1687</v>
      </c>
      <c r="C1823" s="1" t="s">
        <v>5527</v>
      </c>
      <c r="D1823" s="1" t="s">
        <v>5528</v>
      </c>
      <c r="E1823" s="1">
        <v>2670.01</v>
      </c>
      <c r="F1823" s="1" t="s">
        <v>8</v>
      </c>
      <c r="G1823" s="1" t="s">
        <v>9</v>
      </c>
      <c r="H1823" s="1" t="s">
        <v>10</v>
      </c>
    </row>
    <row r="1824" spans="1:8" x14ac:dyDescent="0.3">
      <c r="A1824" s="1">
        <v>718</v>
      </c>
      <c r="B1824" s="1" t="s">
        <v>1687</v>
      </c>
      <c r="C1824" s="1" t="s">
        <v>5529</v>
      </c>
      <c r="D1824" s="1" t="s">
        <v>5530</v>
      </c>
      <c r="E1824" s="1">
        <v>8683.48</v>
      </c>
      <c r="F1824" s="1" t="s">
        <v>8</v>
      </c>
      <c r="G1824" s="1" t="s">
        <v>9</v>
      </c>
      <c r="H1824" s="1" t="s">
        <v>10</v>
      </c>
    </row>
    <row r="1825" spans="1:8" x14ac:dyDescent="0.3">
      <c r="A1825" s="1">
        <v>718</v>
      </c>
      <c r="B1825" s="1" t="s">
        <v>1687</v>
      </c>
      <c r="C1825" s="1" t="s">
        <v>5531</v>
      </c>
      <c r="D1825" s="1" t="s">
        <v>5532</v>
      </c>
      <c r="E1825" s="1">
        <v>2351.1799999999998</v>
      </c>
      <c r="F1825" s="1" t="s">
        <v>8</v>
      </c>
      <c r="G1825" s="1" t="s">
        <v>9</v>
      </c>
      <c r="H1825" s="1" t="s">
        <v>10</v>
      </c>
    </row>
    <row r="1826" spans="1:8" x14ac:dyDescent="0.3">
      <c r="A1826" s="1">
        <v>718</v>
      </c>
      <c r="B1826" s="1" t="s">
        <v>1687</v>
      </c>
      <c r="C1826" s="1" t="s">
        <v>5533</v>
      </c>
      <c r="D1826" s="1" t="s">
        <v>5534</v>
      </c>
      <c r="E1826" s="1">
        <v>578</v>
      </c>
      <c r="F1826" s="1" t="s">
        <v>8</v>
      </c>
      <c r="G1826" s="1" t="s">
        <v>9</v>
      </c>
      <c r="H1826" s="1" t="s">
        <v>10</v>
      </c>
    </row>
    <row r="1827" spans="1:8" x14ac:dyDescent="0.3">
      <c r="A1827" s="1">
        <v>718</v>
      </c>
      <c r="B1827" s="1" t="s">
        <v>1687</v>
      </c>
      <c r="C1827" s="1" t="s">
        <v>5535</v>
      </c>
      <c r="D1827" s="1" t="s">
        <v>5536</v>
      </c>
      <c r="E1827" s="1">
        <v>66.55</v>
      </c>
      <c r="F1827" s="1" t="s">
        <v>8</v>
      </c>
      <c r="G1827" s="1" t="s">
        <v>9</v>
      </c>
      <c r="H1827" s="1" t="s">
        <v>10</v>
      </c>
    </row>
    <row r="1828" spans="1:8" x14ac:dyDescent="0.3">
      <c r="A1828" s="1">
        <v>718</v>
      </c>
      <c r="B1828" s="1" t="s">
        <v>1687</v>
      </c>
      <c r="C1828" s="1" t="s">
        <v>5537</v>
      </c>
      <c r="D1828" s="1" t="s">
        <v>5538</v>
      </c>
      <c r="E1828" s="1">
        <v>9929.23</v>
      </c>
      <c r="F1828" s="1" t="s">
        <v>8</v>
      </c>
      <c r="G1828" s="1" t="s">
        <v>9</v>
      </c>
      <c r="H1828" s="1" t="s">
        <v>10</v>
      </c>
    </row>
    <row r="1829" spans="1:8" x14ac:dyDescent="0.3">
      <c r="A1829" s="1">
        <v>718</v>
      </c>
      <c r="B1829" s="1" t="s">
        <v>1687</v>
      </c>
      <c r="C1829" s="1" t="s">
        <v>5539</v>
      </c>
      <c r="D1829" s="1" t="s">
        <v>5540</v>
      </c>
      <c r="E1829" s="1">
        <v>413.31</v>
      </c>
      <c r="F1829" s="1" t="s">
        <v>8</v>
      </c>
      <c r="G1829" s="1" t="s">
        <v>9</v>
      </c>
      <c r="H1829" s="1" t="s">
        <v>10</v>
      </c>
    </row>
    <row r="1830" spans="1:8" x14ac:dyDescent="0.3">
      <c r="A1830" s="1">
        <v>718</v>
      </c>
      <c r="B1830" s="1" t="s">
        <v>1687</v>
      </c>
      <c r="C1830" s="1" t="s">
        <v>5541</v>
      </c>
      <c r="D1830" s="1" t="s">
        <v>5542</v>
      </c>
      <c r="E1830" s="1">
        <v>560.52</v>
      </c>
      <c r="F1830" s="1" t="s">
        <v>8</v>
      </c>
      <c r="G1830" s="1" t="s">
        <v>9</v>
      </c>
      <c r="H1830" s="1" t="s">
        <v>10</v>
      </c>
    </row>
    <row r="1831" spans="1:8" x14ac:dyDescent="0.3">
      <c r="A1831" s="1">
        <v>718</v>
      </c>
      <c r="B1831" s="1" t="s">
        <v>1687</v>
      </c>
      <c r="C1831" s="1" t="s">
        <v>5543</v>
      </c>
      <c r="D1831" s="1" t="s">
        <v>5544</v>
      </c>
      <c r="E1831" s="1">
        <v>1620</v>
      </c>
      <c r="F1831" s="1" t="s">
        <v>8</v>
      </c>
      <c r="G1831" s="1" t="s">
        <v>9</v>
      </c>
      <c r="H1831" s="1" t="s">
        <v>10</v>
      </c>
    </row>
    <row r="1832" spans="1:8" x14ac:dyDescent="0.3">
      <c r="A1832" s="1">
        <v>718</v>
      </c>
      <c r="B1832" s="1" t="s">
        <v>1687</v>
      </c>
      <c r="C1832" s="1" t="s">
        <v>5545</v>
      </c>
      <c r="D1832" s="1" t="s">
        <v>5546</v>
      </c>
      <c r="E1832" s="1">
        <v>893.36</v>
      </c>
      <c r="F1832" s="1" t="s">
        <v>8</v>
      </c>
      <c r="G1832" s="1" t="s">
        <v>9</v>
      </c>
      <c r="H1832" s="1" t="s">
        <v>10</v>
      </c>
    </row>
    <row r="1833" spans="1:8" x14ac:dyDescent="0.3">
      <c r="A1833" s="1">
        <v>718</v>
      </c>
      <c r="B1833" s="1" t="s">
        <v>1687</v>
      </c>
      <c r="C1833" s="1" t="s">
        <v>5547</v>
      </c>
      <c r="D1833" s="1" t="s">
        <v>5548</v>
      </c>
      <c r="E1833" s="1">
        <v>570.36</v>
      </c>
      <c r="F1833" s="1" t="s">
        <v>8</v>
      </c>
      <c r="G1833" s="1" t="s">
        <v>9</v>
      </c>
      <c r="H1833" s="1" t="s">
        <v>10</v>
      </c>
    </row>
    <row r="1834" spans="1:8" x14ac:dyDescent="0.3">
      <c r="A1834" s="1">
        <v>718</v>
      </c>
      <c r="B1834" s="1" t="s">
        <v>1687</v>
      </c>
      <c r="C1834" s="1" t="s">
        <v>4027</v>
      </c>
      <c r="D1834" s="1" t="s">
        <v>5549</v>
      </c>
      <c r="E1834" s="1">
        <v>250</v>
      </c>
      <c r="F1834" s="1" t="s">
        <v>8</v>
      </c>
      <c r="G1834" s="1" t="s">
        <v>9</v>
      </c>
      <c r="H1834" s="1" t="s">
        <v>10</v>
      </c>
    </row>
    <row r="1835" spans="1:8" x14ac:dyDescent="0.3">
      <c r="A1835" s="1">
        <v>718</v>
      </c>
      <c r="B1835" s="1" t="s">
        <v>1687</v>
      </c>
      <c r="C1835" s="1" t="s">
        <v>5550</v>
      </c>
      <c r="D1835" s="1" t="s">
        <v>5551</v>
      </c>
      <c r="E1835" s="1">
        <v>11390.4</v>
      </c>
      <c r="F1835" s="1" t="s">
        <v>8</v>
      </c>
      <c r="G1835" s="1" t="s">
        <v>9</v>
      </c>
      <c r="H1835" s="1" t="s">
        <v>10</v>
      </c>
    </row>
    <row r="1836" spans="1:8" x14ac:dyDescent="0.3">
      <c r="A1836" s="1">
        <v>718</v>
      </c>
      <c r="B1836" s="1" t="s">
        <v>1687</v>
      </c>
      <c r="C1836" s="1" t="s">
        <v>5552</v>
      </c>
      <c r="D1836" s="1" t="s">
        <v>5553</v>
      </c>
      <c r="E1836" s="1">
        <v>105</v>
      </c>
      <c r="F1836" s="1" t="s">
        <v>8</v>
      </c>
      <c r="G1836" s="1" t="s">
        <v>9</v>
      </c>
      <c r="H1836" s="1" t="s">
        <v>10</v>
      </c>
    </row>
    <row r="1837" spans="1:8" x14ac:dyDescent="0.3">
      <c r="A1837" s="1">
        <v>718</v>
      </c>
      <c r="B1837" s="1" t="s">
        <v>1687</v>
      </c>
      <c r="C1837" s="1" t="s">
        <v>5554</v>
      </c>
      <c r="D1837" s="1" t="s">
        <v>5555</v>
      </c>
      <c r="E1837" s="1">
        <v>1242</v>
      </c>
      <c r="F1837" s="1" t="s">
        <v>8</v>
      </c>
      <c r="G1837" s="1" t="s">
        <v>9</v>
      </c>
      <c r="H1837" s="1" t="s">
        <v>10</v>
      </c>
    </row>
    <row r="1838" spans="1:8" x14ac:dyDescent="0.3">
      <c r="A1838" s="1">
        <v>718</v>
      </c>
      <c r="B1838" s="1" t="s">
        <v>1687</v>
      </c>
      <c r="C1838" s="1" t="s">
        <v>5556</v>
      </c>
      <c r="D1838" s="1" t="s">
        <v>5557</v>
      </c>
      <c r="E1838" s="1">
        <v>7957</v>
      </c>
      <c r="F1838" s="1" t="s">
        <v>8</v>
      </c>
      <c r="G1838" s="1" t="s">
        <v>9</v>
      </c>
      <c r="H1838" s="1" t="s">
        <v>10</v>
      </c>
    </row>
    <row r="1839" spans="1:8" x14ac:dyDescent="0.3">
      <c r="A1839" s="1">
        <v>718</v>
      </c>
      <c r="B1839" s="1" t="s">
        <v>1687</v>
      </c>
      <c r="C1839" s="1" t="s">
        <v>5558</v>
      </c>
      <c r="D1839" s="1" t="s">
        <v>5559</v>
      </c>
      <c r="E1839" s="1">
        <v>129</v>
      </c>
      <c r="F1839" s="1" t="s">
        <v>8</v>
      </c>
      <c r="G1839" s="1" t="s">
        <v>9</v>
      </c>
      <c r="H1839" s="1" t="s">
        <v>10</v>
      </c>
    </row>
    <row r="1840" spans="1:8" x14ac:dyDescent="0.3">
      <c r="A1840" s="1">
        <v>718</v>
      </c>
      <c r="B1840" s="1" t="s">
        <v>1687</v>
      </c>
      <c r="C1840" s="1" t="s">
        <v>5560</v>
      </c>
      <c r="D1840" s="1" t="s">
        <v>5561</v>
      </c>
      <c r="E1840" s="1">
        <v>666.8</v>
      </c>
      <c r="F1840" s="1" t="s">
        <v>8</v>
      </c>
      <c r="G1840" s="1" t="s">
        <v>9</v>
      </c>
      <c r="H1840" s="1" t="s">
        <v>10</v>
      </c>
    </row>
    <row r="1841" spans="1:8" x14ac:dyDescent="0.3">
      <c r="A1841" s="1">
        <v>718</v>
      </c>
      <c r="B1841" s="1" t="s">
        <v>1687</v>
      </c>
      <c r="C1841" s="1" t="s">
        <v>5562</v>
      </c>
      <c r="D1841" s="1" t="s">
        <v>5563</v>
      </c>
      <c r="E1841" s="1">
        <v>433.45</v>
      </c>
      <c r="F1841" s="1" t="s">
        <v>8</v>
      </c>
      <c r="G1841" s="1" t="s">
        <v>9</v>
      </c>
      <c r="H1841" s="1" t="s">
        <v>10</v>
      </c>
    </row>
    <row r="1842" spans="1:8" x14ac:dyDescent="0.3">
      <c r="A1842" s="1">
        <v>718</v>
      </c>
      <c r="B1842" s="1" t="s">
        <v>1687</v>
      </c>
      <c r="C1842" s="1" t="s">
        <v>5564</v>
      </c>
      <c r="D1842" s="1" t="s">
        <v>5565</v>
      </c>
      <c r="E1842" s="1">
        <v>6645.08</v>
      </c>
      <c r="F1842" s="1" t="s">
        <v>8</v>
      </c>
      <c r="G1842" s="1" t="s">
        <v>9</v>
      </c>
      <c r="H1842" s="1" t="s">
        <v>10</v>
      </c>
    </row>
    <row r="1843" spans="1:8" x14ac:dyDescent="0.3">
      <c r="A1843" s="1">
        <v>718</v>
      </c>
      <c r="B1843" s="1" t="s">
        <v>1687</v>
      </c>
      <c r="C1843" s="1" t="s">
        <v>5566</v>
      </c>
      <c r="D1843" s="1" t="s">
        <v>5567</v>
      </c>
      <c r="E1843" s="1">
        <v>3838.65</v>
      </c>
      <c r="F1843" s="1" t="s">
        <v>8</v>
      </c>
      <c r="G1843" s="1" t="s">
        <v>9</v>
      </c>
      <c r="H1843" s="1" t="s">
        <v>10</v>
      </c>
    </row>
    <row r="1844" spans="1:8" x14ac:dyDescent="0.3">
      <c r="A1844" s="1">
        <v>718</v>
      </c>
      <c r="B1844" s="1" t="s">
        <v>1687</v>
      </c>
      <c r="C1844" s="1" t="s">
        <v>5568</v>
      </c>
      <c r="D1844" s="1" t="s">
        <v>5569</v>
      </c>
      <c r="E1844" s="1">
        <v>1521.06</v>
      </c>
      <c r="F1844" s="1" t="s">
        <v>8</v>
      </c>
      <c r="G1844" s="1" t="s">
        <v>9</v>
      </c>
      <c r="H1844" s="1" t="s">
        <v>10</v>
      </c>
    </row>
    <row r="1845" spans="1:8" x14ac:dyDescent="0.3">
      <c r="A1845" s="1">
        <v>718</v>
      </c>
      <c r="B1845" s="1" t="s">
        <v>1687</v>
      </c>
      <c r="C1845" s="1" t="s">
        <v>5570</v>
      </c>
      <c r="D1845" s="1" t="s">
        <v>5571</v>
      </c>
      <c r="E1845" s="1">
        <v>4200</v>
      </c>
      <c r="F1845" s="1" t="s">
        <v>8</v>
      </c>
      <c r="G1845" s="1" t="s">
        <v>9</v>
      </c>
      <c r="H1845" s="1" t="s">
        <v>10</v>
      </c>
    </row>
    <row r="1846" spans="1:8" x14ac:dyDescent="0.3">
      <c r="A1846" s="1">
        <v>718</v>
      </c>
      <c r="B1846" s="1" t="s">
        <v>1687</v>
      </c>
      <c r="C1846" s="1" t="s">
        <v>5572</v>
      </c>
      <c r="D1846" s="1" t="s">
        <v>5573</v>
      </c>
      <c r="E1846" s="1">
        <v>6796</v>
      </c>
      <c r="F1846" s="1" t="s">
        <v>8</v>
      </c>
      <c r="G1846" s="1" t="s">
        <v>9</v>
      </c>
      <c r="H1846" s="1" t="s">
        <v>10</v>
      </c>
    </row>
    <row r="1847" spans="1:8" x14ac:dyDescent="0.3">
      <c r="A1847" s="1">
        <v>718</v>
      </c>
      <c r="B1847" s="1" t="s">
        <v>1687</v>
      </c>
      <c r="C1847" s="1" t="s">
        <v>5574</v>
      </c>
      <c r="D1847" s="1" t="s">
        <v>5575</v>
      </c>
      <c r="E1847" s="1">
        <v>8585.43</v>
      </c>
      <c r="F1847" s="1" t="s">
        <v>8</v>
      </c>
      <c r="G1847" s="1" t="s">
        <v>9</v>
      </c>
      <c r="H1847" s="1" t="s">
        <v>10</v>
      </c>
    </row>
    <row r="1848" spans="1:8" x14ac:dyDescent="0.3">
      <c r="A1848" s="1">
        <v>718</v>
      </c>
      <c r="B1848" s="1" t="s">
        <v>1687</v>
      </c>
      <c r="C1848" s="1" t="s">
        <v>5576</v>
      </c>
      <c r="D1848" s="1" t="s">
        <v>5577</v>
      </c>
      <c r="E1848" s="1">
        <v>9000.27</v>
      </c>
      <c r="F1848" s="1" t="s">
        <v>8</v>
      </c>
      <c r="G1848" s="1" t="s">
        <v>9</v>
      </c>
      <c r="H1848" s="1" t="s">
        <v>10</v>
      </c>
    </row>
    <row r="1849" spans="1:8" x14ac:dyDescent="0.3">
      <c r="A1849" s="1">
        <v>718</v>
      </c>
      <c r="B1849" s="1" t="s">
        <v>1687</v>
      </c>
      <c r="C1849" s="1" t="s">
        <v>5578</v>
      </c>
      <c r="D1849" s="1" t="s">
        <v>5579</v>
      </c>
      <c r="E1849" s="1">
        <v>2484</v>
      </c>
      <c r="F1849" s="1" t="s">
        <v>8</v>
      </c>
      <c r="G1849" s="1" t="s">
        <v>9</v>
      </c>
      <c r="H1849" s="1" t="s">
        <v>10</v>
      </c>
    </row>
    <row r="1850" spans="1:8" x14ac:dyDescent="0.3">
      <c r="A1850" s="1">
        <v>718</v>
      </c>
      <c r="B1850" s="1" t="s">
        <v>1687</v>
      </c>
      <c r="C1850" s="1" t="s">
        <v>5580</v>
      </c>
      <c r="D1850" s="1" t="s">
        <v>5581</v>
      </c>
      <c r="E1850" s="1">
        <v>1505.6</v>
      </c>
      <c r="F1850" s="1" t="s">
        <v>8</v>
      </c>
      <c r="G1850" s="1" t="s">
        <v>9</v>
      </c>
      <c r="H1850" s="1" t="s">
        <v>10</v>
      </c>
    </row>
    <row r="1851" spans="1:8" x14ac:dyDescent="0.3">
      <c r="A1851" s="1">
        <v>718</v>
      </c>
      <c r="B1851" s="1" t="s">
        <v>1687</v>
      </c>
      <c r="C1851" s="1" t="s">
        <v>5582</v>
      </c>
      <c r="D1851" s="1" t="s">
        <v>5583</v>
      </c>
      <c r="E1851" s="1">
        <v>5386.79</v>
      </c>
      <c r="F1851" s="1" t="s">
        <v>8</v>
      </c>
      <c r="G1851" s="1" t="s">
        <v>9</v>
      </c>
      <c r="H1851" s="1" t="s">
        <v>10</v>
      </c>
    </row>
    <row r="1852" spans="1:8" x14ac:dyDescent="0.3">
      <c r="A1852" s="1">
        <v>718</v>
      </c>
      <c r="B1852" s="1" t="s">
        <v>1687</v>
      </c>
      <c r="C1852" s="1" t="s">
        <v>5584</v>
      </c>
      <c r="D1852" s="1" t="s">
        <v>5585</v>
      </c>
      <c r="E1852" s="1">
        <v>5962.7</v>
      </c>
      <c r="F1852" s="1" t="s">
        <v>8</v>
      </c>
      <c r="G1852" s="1" t="s">
        <v>9</v>
      </c>
      <c r="H1852" s="1" t="s">
        <v>10</v>
      </c>
    </row>
    <row r="1853" spans="1:8" x14ac:dyDescent="0.3">
      <c r="A1853" s="1">
        <v>718</v>
      </c>
      <c r="B1853" s="1" t="s">
        <v>1687</v>
      </c>
      <c r="C1853" s="1" t="s">
        <v>5586</v>
      </c>
      <c r="D1853" s="1" t="s">
        <v>5587</v>
      </c>
      <c r="E1853" s="1">
        <v>2502</v>
      </c>
      <c r="F1853" s="1" t="s">
        <v>8</v>
      </c>
      <c r="G1853" s="1" t="s">
        <v>9</v>
      </c>
      <c r="H1853" s="1" t="s">
        <v>10</v>
      </c>
    </row>
    <row r="1854" spans="1:8" x14ac:dyDescent="0.3">
      <c r="A1854" s="1">
        <v>718</v>
      </c>
      <c r="B1854" s="1" t="s">
        <v>1687</v>
      </c>
      <c r="C1854" s="1" t="s">
        <v>5588</v>
      </c>
      <c r="D1854" s="1" t="s">
        <v>5589</v>
      </c>
      <c r="E1854" s="1">
        <v>4073.33</v>
      </c>
      <c r="F1854" s="1" t="s">
        <v>8</v>
      </c>
      <c r="G1854" s="1" t="s">
        <v>9</v>
      </c>
      <c r="H1854" s="1" t="s">
        <v>10</v>
      </c>
    </row>
    <row r="1855" spans="1:8" x14ac:dyDescent="0.3">
      <c r="A1855" s="1">
        <v>718</v>
      </c>
      <c r="B1855" s="1" t="s">
        <v>1687</v>
      </c>
      <c r="C1855" s="1" t="s">
        <v>5590</v>
      </c>
      <c r="D1855" s="1" t="s">
        <v>5591</v>
      </c>
      <c r="E1855" s="1">
        <v>352.54</v>
      </c>
      <c r="F1855" s="1" t="s">
        <v>8</v>
      </c>
      <c r="G1855" s="1" t="s">
        <v>9</v>
      </c>
      <c r="H1855" s="1" t="s">
        <v>10</v>
      </c>
    </row>
    <row r="1856" spans="1:8" x14ac:dyDescent="0.3">
      <c r="A1856" s="1">
        <v>718</v>
      </c>
      <c r="B1856" s="1" t="s">
        <v>1687</v>
      </c>
      <c r="C1856" s="1" t="s">
        <v>5592</v>
      </c>
      <c r="D1856" s="1" t="s">
        <v>5593</v>
      </c>
      <c r="E1856" s="1">
        <v>5364.85</v>
      </c>
      <c r="F1856" s="1" t="s">
        <v>8</v>
      </c>
      <c r="G1856" s="1" t="s">
        <v>9</v>
      </c>
      <c r="H1856" s="1" t="s">
        <v>10</v>
      </c>
    </row>
    <row r="1857" spans="1:8" x14ac:dyDescent="0.3">
      <c r="A1857" s="1">
        <v>718</v>
      </c>
      <c r="B1857" s="1" t="s">
        <v>1687</v>
      </c>
      <c r="C1857" s="1" t="s">
        <v>5594</v>
      </c>
      <c r="D1857" s="1" t="s">
        <v>5595</v>
      </c>
      <c r="E1857" s="1">
        <v>1870.12</v>
      </c>
      <c r="F1857" s="1" t="s">
        <v>8</v>
      </c>
      <c r="G1857" s="1" t="s">
        <v>9</v>
      </c>
      <c r="H1857" s="1" t="s">
        <v>10</v>
      </c>
    </row>
    <row r="1858" spans="1:8" x14ac:dyDescent="0.3">
      <c r="A1858" s="1">
        <v>718</v>
      </c>
      <c r="B1858" s="1" t="s">
        <v>1687</v>
      </c>
      <c r="C1858" s="1" t="s">
        <v>5596</v>
      </c>
      <c r="D1858" s="1" t="s">
        <v>5597</v>
      </c>
      <c r="E1858" s="1">
        <v>2056.94</v>
      </c>
      <c r="F1858" s="1" t="s">
        <v>8</v>
      </c>
      <c r="G1858" s="1" t="s">
        <v>9</v>
      </c>
      <c r="H1858" s="1" t="s">
        <v>10</v>
      </c>
    </row>
    <row r="1859" spans="1:8" x14ac:dyDescent="0.3">
      <c r="A1859" s="1">
        <v>718</v>
      </c>
      <c r="B1859" s="1" t="s">
        <v>1687</v>
      </c>
      <c r="C1859" s="1" t="s">
        <v>5598</v>
      </c>
      <c r="D1859" s="1" t="s">
        <v>5599</v>
      </c>
      <c r="E1859" s="1">
        <v>11612</v>
      </c>
      <c r="F1859" s="1" t="s">
        <v>8</v>
      </c>
      <c r="G1859" s="1" t="s">
        <v>9</v>
      </c>
      <c r="H1859" s="1" t="s">
        <v>10</v>
      </c>
    </row>
    <row r="1860" spans="1:8" x14ac:dyDescent="0.3">
      <c r="A1860" s="1">
        <v>718</v>
      </c>
      <c r="B1860" s="1" t="s">
        <v>1687</v>
      </c>
      <c r="C1860" s="1" t="s">
        <v>5600</v>
      </c>
      <c r="D1860" s="1" t="s">
        <v>5601</v>
      </c>
      <c r="E1860" s="1">
        <v>2994.53</v>
      </c>
      <c r="F1860" s="1" t="s">
        <v>8</v>
      </c>
      <c r="G1860" s="1" t="s">
        <v>9</v>
      </c>
      <c r="H1860" s="1" t="s">
        <v>10</v>
      </c>
    </row>
    <row r="1861" spans="1:8" x14ac:dyDescent="0.3">
      <c r="A1861" s="1">
        <v>718</v>
      </c>
      <c r="B1861" s="1" t="s">
        <v>1687</v>
      </c>
      <c r="C1861" s="1" t="s">
        <v>5602</v>
      </c>
      <c r="D1861" s="1" t="s">
        <v>5603</v>
      </c>
      <c r="E1861" s="1">
        <v>1488</v>
      </c>
      <c r="F1861" s="1" t="s">
        <v>8</v>
      </c>
      <c r="G1861" s="1" t="s">
        <v>9</v>
      </c>
      <c r="H1861" s="1" t="s">
        <v>10</v>
      </c>
    </row>
    <row r="1862" spans="1:8" x14ac:dyDescent="0.3">
      <c r="A1862" s="1">
        <v>718</v>
      </c>
      <c r="B1862" s="1" t="s">
        <v>1687</v>
      </c>
      <c r="C1862" s="1" t="s">
        <v>5604</v>
      </c>
      <c r="D1862" s="1" t="s">
        <v>5605</v>
      </c>
      <c r="E1862" s="1">
        <v>390</v>
      </c>
      <c r="F1862" s="1" t="s">
        <v>8</v>
      </c>
      <c r="G1862" s="1" t="s">
        <v>9</v>
      </c>
      <c r="H1862" s="1" t="s">
        <v>10</v>
      </c>
    </row>
    <row r="1863" spans="1:8" x14ac:dyDescent="0.3">
      <c r="A1863" s="1">
        <v>718</v>
      </c>
      <c r="B1863" s="1" t="s">
        <v>1687</v>
      </c>
      <c r="C1863" s="1" t="s">
        <v>5606</v>
      </c>
      <c r="D1863" s="1" t="s">
        <v>5607</v>
      </c>
      <c r="E1863" s="1">
        <v>763.17</v>
      </c>
      <c r="F1863" s="1" t="s">
        <v>8</v>
      </c>
      <c r="G1863" s="1" t="s">
        <v>9</v>
      </c>
      <c r="H1863" s="1" t="s">
        <v>10</v>
      </c>
    </row>
    <row r="1864" spans="1:8" x14ac:dyDescent="0.3">
      <c r="A1864" s="1">
        <v>718</v>
      </c>
      <c r="B1864" s="1" t="s">
        <v>1687</v>
      </c>
      <c r="C1864" s="1" t="s">
        <v>5608</v>
      </c>
      <c r="D1864" s="1" t="s">
        <v>5609</v>
      </c>
      <c r="E1864" s="1">
        <v>261.63</v>
      </c>
      <c r="F1864" s="1" t="s">
        <v>8</v>
      </c>
      <c r="G1864" s="1" t="s">
        <v>9</v>
      </c>
      <c r="H1864" s="1" t="s">
        <v>10</v>
      </c>
    </row>
    <row r="1865" spans="1:8" x14ac:dyDescent="0.3">
      <c r="A1865" s="1">
        <v>718</v>
      </c>
      <c r="B1865" s="1" t="s">
        <v>1687</v>
      </c>
      <c r="C1865" s="1" t="s">
        <v>5610</v>
      </c>
      <c r="D1865" s="1" t="s">
        <v>5611</v>
      </c>
      <c r="E1865" s="1">
        <v>2001.13</v>
      </c>
      <c r="F1865" s="1" t="s">
        <v>8</v>
      </c>
      <c r="G1865" s="1" t="s">
        <v>9</v>
      </c>
      <c r="H1865" s="1" t="s">
        <v>10</v>
      </c>
    </row>
    <row r="1866" spans="1:8" x14ac:dyDescent="0.3">
      <c r="A1866" s="1">
        <v>718</v>
      </c>
      <c r="B1866" s="1" t="s">
        <v>1687</v>
      </c>
      <c r="C1866" s="1" t="s">
        <v>5612</v>
      </c>
      <c r="D1866" s="1" t="s">
        <v>5613</v>
      </c>
      <c r="E1866" s="1">
        <v>773.16</v>
      </c>
      <c r="F1866" s="1" t="s">
        <v>8</v>
      </c>
      <c r="G1866" s="1" t="s">
        <v>9</v>
      </c>
      <c r="H1866" s="1" t="s">
        <v>10</v>
      </c>
    </row>
    <row r="1867" spans="1:8" x14ac:dyDescent="0.3">
      <c r="A1867" s="1">
        <v>718</v>
      </c>
      <c r="B1867" s="1" t="s">
        <v>1687</v>
      </c>
      <c r="C1867" s="1" t="s">
        <v>5614</v>
      </c>
      <c r="D1867" s="1" t="s">
        <v>5615</v>
      </c>
      <c r="E1867" s="1">
        <v>543.9</v>
      </c>
      <c r="F1867" s="1" t="s">
        <v>8</v>
      </c>
      <c r="G1867" s="1" t="s">
        <v>9</v>
      </c>
      <c r="H1867" s="1" t="s">
        <v>10</v>
      </c>
    </row>
    <row r="1868" spans="1:8" x14ac:dyDescent="0.3">
      <c r="A1868" s="1">
        <v>718</v>
      </c>
      <c r="B1868" s="1" t="s">
        <v>1687</v>
      </c>
      <c r="C1868" s="1" t="s">
        <v>5616</v>
      </c>
      <c r="D1868" s="1" t="s">
        <v>5617</v>
      </c>
      <c r="E1868" s="1">
        <v>69370.36</v>
      </c>
      <c r="F1868" s="1" t="s">
        <v>8</v>
      </c>
      <c r="G1868" s="1" t="s">
        <v>13</v>
      </c>
      <c r="H1868" s="1" t="s">
        <v>10</v>
      </c>
    </row>
    <row r="1869" spans="1:8" x14ac:dyDescent="0.3">
      <c r="A1869" s="1">
        <v>718</v>
      </c>
      <c r="B1869" s="1" t="s">
        <v>1687</v>
      </c>
      <c r="C1869" s="1" t="s">
        <v>5618</v>
      </c>
      <c r="D1869" s="1" t="s">
        <v>5619</v>
      </c>
      <c r="E1869" s="1">
        <v>79.55</v>
      </c>
      <c r="F1869" s="1" t="s">
        <v>8</v>
      </c>
      <c r="G1869" s="1" t="s">
        <v>9</v>
      </c>
      <c r="H1869" s="1" t="s">
        <v>10</v>
      </c>
    </row>
    <row r="1870" spans="1:8" x14ac:dyDescent="0.3">
      <c r="A1870" s="1">
        <v>718</v>
      </c>
      <c r="B1870" s="1" t="s">
        <v>1687</v>
      </c>
      <c r="C1870" s="1" t="s">
        <v>5620</v>
      </c>
      <c r="D1870" s="1" t="s">
        <v>5621</v>
      </c>
      <c r="E1870" s="1">
        <v>60.4</v>
      </c>
      <c r="F1870" s="1" t="s">
        <v>8</v>
      </c>
      <c r="G1870" s="1" t="s">
        <v>9</v>
      </c>
      <c r="H1870" s="1" t="s">
        <v>10</v>
      </c>
    </row>
    <row r="1871" spans="1:8" x14ac:dyDescent="0.3">
      <c r="A1871" s="1">
        <v>718</v>
      </c>
      <c r="B1871" s="1" t="s">
        <v>1687</v>
      </c>
      <c r="C1871" s="1" t="s">
        <v>5622</v>
      </c>
      <c r="D1871" s="1" t="s">
        <v>5623</v>
      </c>
      <c r="E1871" s="1">
        <v>450.68</v>
      </c>
      <c r="F1871" s="1" t="s">
        <v>8</v>
      </c>
      <c r="G1871" s="1" t="s">
        <v>9</v>
      </c>
      <c r="H1871" s="1" t="s">
        <v>10</v>
      </c>
    </row>
    <row r="1872" spans="1:8" x14ac:dyDescent="0.3">
      <c r="A1872" s="1">
        <v>718</v>
      </c>
      <c r="B1872" s="1" t="s">
        <v>1687</v>
      </c>
      <c r="C1872" s="1" t="s">
        <v>5624</v>
      </c>
      <c r="D1872" s="1" t="s">
        <v>5625</v>
      </c>
      <c r="E1872" s="1">
        <v>2239.73</v>
      </c>
      <c r="F1872" s="1" t="s">
        <v>8</v>
      </c>
      <c r="G1872" s="1" t="s">
        <v>9</v>
      </c>
      <c r="H1872" s="1" t="s">
        <v>10</v>
      </c>
    </row>
    <row r="1873" spans="1:8" x14ac:dyDescent="0.3">
      <c r="A1873" s="1">
        <v>718</v>
      </c>
      <c r="B1873" s="1" t="s">
        <v>1687</v>
      </c>
      <c r="C1873" s="1" t="s">
        <v>5626</v>
      </c>
      <c r="D1873" s="1" t="s">
        <v>5627</v>
      </c>
      <c r="E1873" s="1">
        <v>97.88</v>
      </c>
      <c r="F1873" s="1" t="s">
        <v>8</v>
      </c>
      <c r="G1873" s="1" t="s">
        <v>9</v>
      </c>
      <c r="H1873" s="1" t="s">
        <v>10</v>
      </c>
    </row>
    <row r="1874" spans="1:8" x14ac:dyDescent="0.3">
      <c r="A1874" s="1">
        <v>718</v>
      </c>
      <c r="B1874" s="1" t="s">
        <v>1687</v>
      </c>
      <c r="C1874" s="1" t="s">
        <v>5628</v>
      </c>
      <c r="D1874" s="1" t="s">
        <v>5629</v>
      </c>
      <c r="E1874" s="1">
        <v>5862.19</v>
      </c>
      <c r="F1874" s="1" t="s">
        <v>8</v>
      </c>
      <c r="G1874" s="1" t="s">
        <v>9</v>
      </c>
      <c r="H1874" s="1" t="s">
        <v>10</v>
      </c>
    </row>
    <row r="1875" spans="1:8" x14ac:dyDescent="0.3">
      <c r="A1875" s="1">
        <v>718</v>
      </c>
      <c r="B1875" s="1" t="s">
        <v>1687</v>
      </c>
      <c r="C1875" s="1" t="s">
        <v>5630</v>
      </c>
      <c r="D1875" s="1" t="s">
        <v>5631</v>
      </c>
      <c r="E1875" s="1">
        <v>910.89</v>
      </c>
      <c r="F1875" s="1" t="s">
        <v>8</v>
      </c>
      <c r="G1875" s="1" t="s">
        <v>9</v>
      </c>
      <c r="H1875" s="1" t="s">
        <v>10</v>
      </c>
    </row>
    <row r="1876" spans="1:8" x14ac:dyDescent="0.3">
      <c r="A1876" s="1">
        <v>718</v>
      </c>
      <c r="B1876" s="1" t="s">
        <v>1687</v>
      </c>
      <c r="C1876" s="1" t="s">
        <v>5632</v>
      </c>
      <c r="D1876" s="1" t="s">
        <v>5633</v>
      </c>
      <c r="E1876" s="1">
        <v>195</v>
      </c>
      <c r="F1876" s="1" t="s">
        <v>8</v>
      </c>
      <c r="G1876" s="1" t="s">
        <v>9</v>
      </c>
      <c r="H1876" s="1" t="s">
        <v>10</v>
      </c>
    </row>
    <row r="1877" spans="1:8" x14ac:dyDescent="0.3">
      <c r="A1877" s="1">
        <v>718</v>
      </c>
      <c r="B1877" s="1" t="s">
        <v>1687</v>
      </c>
      <c r="C1877" s="1" t="s">
        <v>5634</v>
      </c>
      <c r="D1877" s="1" t="s">
        <v>5635</v>
      </c>
      <c r="E1877" s="1">
        <v>735</v>
      </c>
      <c r="F1877" s="1" t="s">
        <v>8</v>
      </c>
      <c r="G1877" s="1" t="s">
        <v>9</v>
      </c>
      <c r="H1877" s="1" t="s">
        <v>10</v>
      </c>
    </row>
    <row r="1878" spans="1:8" x14ac:dyDescent="0.3">
      <c r="A1878" s="1">
        <v>718</v>
      </c>
      <c r="B1878" s="1" t="s">
        <v>1687</v>
      </c>
      <c r="C1878" s="1" t="s">
        <v>5636</v>
      </c>
      <c r="D1878" s="1" t="s">
        <v>5637</v>
      </c>
      <c r="E1878" s="1">
        <v>632.55999999999995</v>
      </c>
      <c r="F1878" s="1" t="s">
        <v>8</v>
      </c>
      <c r="G1878" s="1" t="s">
        <v>9</v>
      </c>
      <c r="H1878" s="1" t="s">
        <v>10</v>
      </c>
    </row>
    <row r="1879" spans="1:8" x14ac:dyDescent="0.3">
      <c r="A1879" s="1">
        <v>718</v>
      </c>
      <c r="B1879" s="1" t="s">
        <v>1687</v>
      </c>
      <c r="C1879" s="1" t="s">
        <v>5638</v>
      </c>
      <c r="D1879" s="1" t="s">
        <v>5639</v>
      </c>
      <c r="E1879" s="1">
        <v>3871.22</v>
      </c>
      <c r="F1879" s="1" t="s">
        <v>8</v>
      </c>
      <c r="G1879" s="1" t="s">
        <v>9</v>
      </c>
      <c r="H1879" s="1" t="s">
        <v>10</v>
      </c>
    </row>
    <row r="1880" spans="1:8" x14ac:dyDescent="0.3">
      <c r="A1880" s="1">
        <v>718</v>
      </c>
      <c r="B1880" s="1" t="s">
        <v>1687</v>
      </c>
      <c r="C1880" s="1" t="s">
        <v>5640</v>
      </c>
      <c r="D1880" s="1" t="s">
        <v>5641</v>
      </c>
      <c r="E1880" s="1">
        <v>2618.81</v>
      </c>
      <c r="F1880" s="1" t="s">
        <v>8</v>
      </c>
      <c r="G1880" s="1" t="s">
        <v>9</v>
      </c>
      <c r="H1880" s="1" t="s">
        <v>10</v>
      </c>
    </row>
    <row r="1881" spans="1:8" x14ac:dyDescent="0.3">
      <c r="A1881" s="1">
        <v>718</v>
      </c>
      <c r="B1881" s="1" t="s">
        <v>1687</v>
      </c>
      <c r="C1881" s="1" t="s">
        <v>5642</v>
      </c>
      <c r="D1881" s="1" t="s">
        <v>5643</v>
      </c>
      <c r="E1881" s="1">
        <v>20105.52</v>
      </c>
      <c r="F1881" s="1" t="s">
        <v>8</v>
      </c>
      <c r="G1881" s="1" t="s">
        <v>9</v>
      </c>
      <c r="H1881" s="1" t="s">
        <v>10</v>
      </c>
    </row>
    <row r="1882" spans="1:8" x14ac:dyDescent="0.3">
      <c r="A1882" s="1">
        <v>718</v>
      </c>
      <c r="B1882" s="1" t="s">
        <v>1687</v>
      </c>
      <c r="C1882" s="1" t="s">
        <v>5644</v>
      </c>
      <c r="D1882" s="1" t="s">
        <v>5645</v>
      </c>
      <c r="E1882" s="1">
        <v>2504.62</v>
      </c>
      <c r="F1882" s="1" t="s">
        <v>8</v>
      </c>
      <c r="G1882" s="1" t="s">
        <v>9</v>
      </c>
      <c r="H1882" s="1" t="s">
        <v>10</v>
      </c>
    </row>
    <row r="1883" spans="1:8" x14ac:dyDescent="0.3">
      <c r="A1883" s="1">
        <v>718</v>
      </c>
      <c r="B1883" s="1" t="s">
        <v>1687</v>
      </c>
      <c r="C1883" s="1" t="s">
        <v>5646</v>
      </c>
      <c r="D1883" s="1" t="s">
        <v>5647</v>
      </c>
      <c r="E1883" s="1">
        <v>324.36</v>
      </c>
      <c r="F1883" s="1" t="s">
        <v>8</v>
      </c>
      <c r="G1883" s="1" t="s">
        <v>9</v>
      </c>
      <c r="H1883" s="1" t="s">
        <v>10</v>
      </c>
    </row>
    <row r="1884" spans="1:8" x14ac:dyDescent="0.3">
      <c r="A1884" s="1">
        <v>718</v>
      </c>
      <c r="B1884" s="1" t="s">
        <v>1687</v>
      </c>
      <c r="C1884" s="1" t="s">
        <v>5648</v>
      </c>
      <c r="D1884" s="1" t="s">
        <v>5649</v>
      </c>
      <c r="E1884" s="1">
        <v>5545.02</v>
      </c>
      <c r="F1884" s="1" t="s">
        <v>8</v>
      </c>
      <c r="G1884" s="1" t="s">
        <v>9</v>
      </c>
      <c r="H1884" s="1" t="s">
        <v>10</v>
      </c>
    </row>
    <row r="1885" spans="1:8" x14ac:dyDescent="0.3">
      <c r="A1885" s="1">
        <v>718</v>
      </c>
      <c r="B1885" s="1" t="s">
        <v>1687</v>
      </c>
      <c r="C1885" s="1" t="s">
        <v>5650</v>
      </c>
      <c r="D1885" s="1" t="s">
        <v>5651</v>
      </c>
      <c r="E1885" s="1">
        <v>888.99</v>
      </c>
      <c r="F1885" s="1" t="s">
        <v>8</v>
      </c>
      <c r="G1885" s="1" t="s">
        <v>9</v>
      </c>
      <c r="H1885" s="1" t="s">
        <v>10</v>
      </c>
    </row>
    <row r="1886" spans="1:8" x14ac:dyDescent="0.3">
      <c r="A1886" s="1">
        <v>718</v>
      </c>
      <c r="B1886" s="1" t="s">
        <v>1687</v>
      </c>
      <c r="C1886" s="1" t="s">
        <v>5652</v>
      </c>
      <c r="D1886" s="1" t="s">
        <v>5653</v>
      </c>
      <c r="E1886" s="1">
        <v>27414.17</v>
      </c>
      <c r="F1886" s="1" t="s">
        <v>8</v>
      </c>
      <c r="G1886" s="1" t="s">
        <v>9</v>
      </c>
      <c r="H1886" s="1" t="s">
        <v>10</v>
      </c>
    </row>
    <row r="1887" spans="1:8" x14ac:dyDescent="0.3">
      <c r="A1887" s="1">
        <v>718</v>
      </c>
      <c r="B1887" s="1" t="s">
        <v>1687</v>
      </c>
      <c r="C1887" s="1" t="s">
        <v>5654</v>
      </c>
      <c r="D1887" s="1" t="s">
        <v>5655</v>
      </c>
      <c r="E1887" s="1">
        <v>3530</v>
      </c>
      <c r="F1887" s="1" t="s">
        <v>8</v>
      </c>
      <c r="G1887" s="1" t="s">
        <v>9</v>
      </c>
      <c r="H1887" s="1" t="s">
        <v>10</v>
      </c>
    </row>
    <row r="1888" spans="1:8" x14ac:dyDescent="0.3">
      <c r="A1888" s="1">
        <v>718</v>
      </c>
      <c r="B1888" s="1" t="s">
        <v>1687</v>
      </c>
      <c r="C1888" s="1" t="s">
        <v>5656</v>
      </c>
      <c r="D1888" s="1" t="s">
        <v>5657</v>
      </c>
      <c r="E1888" s="1">
        <v>6372.79</v>
      </c>
      <c r="F1888" s="1" t="s">
        <v>8</v>
      </c>
      <c r="G1888" s="1" t="s">
        <v>9</v>
      </c>
      <c r="H1888" s="1" t="s">
        <v>10</v>
      </c>
    </row>
    <row r="1889" spans="1:8" x14ac:dyDescent="0.3">
      <c r="A1889" s="1">
        <v>718</v>
      </c>
      <c r="B1889" s="1" t="s">
        <v>1687</v>
      </c>
      <c r="C1889" s="1" t="s">
        <v>5658</v>
      </c>
      <c r="D1889" s="1" t="s">
        <v>5659</v>
      </c>
      <c r="E1889" s="1">
        <v>24716.16</v>
      </c>
      <c r="F1889" s="1" t="s">
        <v>8</v>
      </c>
      <c r="G1889" s="1" t="s">
        <v>9</v>
      </c>
      <c r="H1889" s="1" t="s">
        <v>10</v>
      </c>
    </row>
    <row r="1890" spans="1:8" x14ac:dyDescent="0.3">
      <c r="A1890" s="1">
        <v>718</v>
      </c>
      <c r="B1890" s="1" t="s">
        <v>1687</v>
      </c>
      <c r="C1890" s="1" t="s">
        <v>5660</v>
      </c>
      <c r="D1890" s="1" t="s">
        <v>5661</v>
      </c>
      <c r="E1890" s="1">
        <v>1144.46</v>
      </c>
      <c r="F1890" s="1" t="s">
        <v>8</v>
      </c>
      <c r="G1890" s="1" t="s">
        <v>9</v>
      </c>
      <c r="H1890" s="1" t="s">
        <v>10</v>
      </c>
    </row>
    <row r="1891" spans="1:8" x14ac:dyDescent="0.3">
      <c r="A1891" s="1">
        <v>718</v>
      </c>
      <c r="B1891" s="1" t="s">
        <v>1687</v>
      </c>
      <c r="C1891" s="1" t="s">
        <v>5662</v>
      </c>
      <c r="D1891" s="1" t="s">
        <v>5663</v>
      </c>
      <c r="E1891" s="1">
        <v>425.56</v>
      </c>
      <c r="F1891" s="1" t="s">
        <v>8</v>
      </c>
      <c r="G1891" s="1" t="s">
        <v>9</v>
      </c>
      <c r="H1891" s="1" t="s">
        <v>10</v>
      </c>
    </row>
    <row r="1892" spans="1:8" x14ac:dyDescent="0.3">
      <c r="A1892" s="1">
        <v>718</v>
      </c>
      <c r="B1892" s="1" t="s">
        <v>1687</v>
      </c>
      <c r="C1892" s="1" t="s">
        <v>5664</v>
      </c>
      <c r="D1892" s="1" t="s">
        <v>5665</v>
      </c>
      <c r="E1892" s="1">
        <v>407.01</v>
      </c>
      <c r="F1892" s="1" t="s">
        <v>8</v>
      </c>
      <c r="G1892" s="1" t="s">
        <v>9</v>
      </c>
      <c r="H1892" s="1" t="s">
        <v>10</v>
      </c>
    </row>
    <row r="1893" spans="1:8" x14ac:dyDescent="0.3">
      <c r="A1893" s="1">
        <v>718</v>
      </c>
      <c r="B1893" s="1" t="s">
        <v>1687</v>
      </c>
      <c r="C1893" s="1" t="s">
        <v>5666</v>
      </c>
      <c r="D1893" s="1" t="s">
        <v>5667</v>
      </c>
      <c r="E1893" s="1">
        <v>62.11</v>
      </c>
      <c r="F1893" s="1" t="s">
        <v>8</v>
      </c>
      <c r="G1893" s="1" t="s">
        <v>9</v>
      </c>
      <c r="H1893" s="1" t="s">
        <v>10</v>
      </c>
    </row>
    <row r="1894" spans="1:8" x14ac:dyDescent="0.3">
      <c r="A1894" s="1">
        <v>718</v>
      </c>
      <c r="B1894" s="1" t="s">
        <v>1687</v>
      </c>
      <c r="C1894" s="1" t="s">
        <v>5668</v>
      </c>
      <c r="D1894" s="1" t="s">
        <v>5669</v>
      </c>
      <c r="E1894" s="1">
        <v>1036.1500000000001</v>
      </c>
      <c r="F1894" s="1" t="s">
        <v>8</v>
      </c>
      <c r="G1894" s="1" t="s">
        <v>9</v>
      </c>
      <c r="H1894" s="1" t="s">
        <v>10</v>
      </c>
    </row>
    <row r="1895" spans="1:8" x14ac:dyDescent="0.3">
      <c r="A1895" s="1">
        <v>718</v>
      </c>
      <c r="B1895" s="1" t="s">
        <v>1687</v>
      </c>
      <c r="C1895" s="1" t="s">
        <v>5670</v>
      </c>
      <c r="D1895" s="1" t="s">
        <v>5671</v>
      </c>
      <c r="E1895" s="1">
        <v>446.78</v>
      </c>
      <c r="F1895" s="1" t="s">
        <v>8</v>
      </c>
      <c r="G1895" s="1" t="s">
        <v>9</v>
      </c>
      <c r="H1895" s="1" t="s">
        <v>10</v>
      </c>
    </row>
    <row r="1896" spans="1:8" x14ac:dyDescent="0.3">
      <c r="A1896" s="1">
        <v>718</v>
      </c>
      <c r="B1896" s="1" t="s">
        <v>1687</v>
      </c>
      <c r="C1896" s="1" t="s">
        <v>5073</v>
      </c>
      <c r="D1896" s="1" t="s">
        <v>5672</v>
      </c>
      <c r="E1896" s="1">
        <v>18</v>
      </c>
      <c r="F1896" s="1" t="s">
        <v>8</v>
      </c>
      <c r="G1896" s="1" t="s">
        <v>9</v>
      </c>
      <c r="H1896" s="1" t="s">
        <v>10</v>
      </c>
    </row>
    <row r="1897" spans="1:8" x14ac:dyDescent="0.3">
      <c r="A1897" s="1">
        <v>718</v>
      </c>
      <c r="B1897" s="1" t="s">
        <v>1687</v>
      </c>
      <c r="C1897" s="1" t="s">
        <v>5085</v>
      </c>
      <c r="D1897" s="1" t="s">
        <v>5673</v>
      </c>
      <c r="E1897" s="1">
        <v>310</v>
      </c>
      <c r="F1897" s="1" t="s">
        <v>8</v>
      </c>
      <c r="G1897" s="1" t="s">
        <v>9</v>
      </c>
      <c r="H1897" s="1" t="s">
        <v>10</v>
      </c>
    </row>
    <row r="1898" spans="1:8" x14ac:dyDescent="0.3">
      <c r="A1898" s="1">
        <v>718</v>
      </c>
      <c r="B1898" s="1" t="s">
        <v>1687</v>
      </c>
      <c r="C1898" s="1" t="s">
        <v>5089</v>
      </c>
      <c r="D1898" s="1" t="s">
        <v>5674</v>
      </c>
      <c r="E1898" s="1">
        <v>350</v>
      </c>
      <c r="F1898" s="1" t="s">
        <v>8</v>
      </c>
      <c r="G1898" s="1" t="s">
        <v>9</v>
      </c>
      <c r="H1898" s="1" t="s">
        <v>10</v>
      </c>
    </row>
    <row r="1899" spans="1:8" x14ac:dyDescent="0.3">
      <c r="A1899" s="1">
        <v>718</v>
      </c>
      <c r="B1899" s="1" t="s">
        <v>1687</v>
      </c>
      <c r="C1899" s="1" t="s">
        <v>5107</v>
      </c>
      <c r="D1899" s="1" t="s">
        <v>5675</v>
      </c>
      <c r="E1899" s="1">
        <v>200</v>
      </c>
      <c r="F1899" s="1" t="s">
        <v>8</v>
      </c>
      <c r="G1899" s="1" t="s">
        <v>9</v>
      </c>
      <c r="H1899" s="1" t="s">
        <v>10</v>
      </c>
    </row>
    <row r="1900" spans="1:8" x14ac:dyDescent="0.3">
      <c r="A1900" s="1">
        <v>718</v>
      </c>
      <c r="B1900" s="1" t="s">
        <v>1687</v>
      </c>
      <c r="C1900" s="1" t="s">
        <v>5117</v>
      </c>
      <c r="D1900" s="1" t="s">
        <v>5676</v>
      </c>
      <c r="E1900" s="1">
        <v>25</v>
      </c>
      <c r="F1900" s="1" t="s">
        <v>8</v>
      </c>
      <c r="G1900" s="1" t="s">
        <v>9</v>
      </c>
      <c r="H1900" s="1" t="s">
        <v>10</v>
      </c>
    </row>
    <row r="1901" spans="1:8" x14ac:dyDescent="0.3">
      <c r="A1901" s="1">
        <v>718</v>
      </c>
      <c r="B1901" s="1" t="s">
        <v>1687</v>
      </c>
      <c r="C1901" s="1" t="s">
        <v>5191</v>
      </c>
      <c r="D1901" s="1" t="s">
        <v>5677</v>
      </c>
      <c r="E1901" s="1">
        <v>110</v>
      </c>
      <c r="F1901" s="1" t="s">
        <v>8</v>
      </c>
      <c r="G1901" s="1" t="s">
        <v>9</v>
      </c>
      <c r="H1901" s="1" t="s">
        <v>10</v>
      </c>
    </row>
    <row r="1902" spans="1:8" x14ac:dyDescent="0.3">
      <c r="A1902" s="1">
        <v>718</v>
      </c>
      <c r="B1902" s="1" t="s">
        <v>1687</v>
      </c>
      <c r="C1902" s="1" t="s">
        <v>5193</v>
      </c>
      <c r="D1902" s="1" t="s">
        <v>5678</v>
      </c>
      <c r="E1902" s="1">
        <v>670</v>
      </c>
      <c r="F1902" s="1" t="s">
        <v>8</v>
      </c>
      <c r="G1902" s="1" t="s">
        <v>9</v>
      </c>
      <c r="H1902" s="1" t="s">
        <v>10</v>
      </c>
    </row>
    <row r="1903" spans="1:8" x14ac:dyDescent="0.3">
      <c r="A1903" s="1">
        <v>718</v>
      </c>
      <c r="B1903" s="1" t="s">
        <v>1687</v>
      </c>
      <c r="C1903" s="1" t="s">
        <v>5209</v>
      </c>
      <c r="D1903" s="1" t="s">
        <v>5679</v>
      </c>
      <c r="E1903" s="1">
        <v>388</v>
      </c>
      <c r="F1903" s="1" t="s">
        <v>8</v>
      </c>
      <c r="G1903" s="1" t="s">
        <v>9</v>
      </c>
      <c r="H1903" s="1" t="s">
        <v>10</v>
      </c>
    </row>
    <row r="1904" spans="1:8" x14ac:dyDescent="0.3">
      <c r="A1904" s="1">
        <v>718</v>
      </c>
      <c r="B1904" s="1" t="s">
        <v>1687</v>
      </c>
      <c r="C1904" s="1" t="s">
        <v>5209</v>
      </c>
      <c r="D1904" s="1" t="s">
        <v>5679</v>
      </c>
      <c r="E1904" s="1">
        <v>388</v>
      </c>
      <c r="F1904" s="1" t="s">
        <v>8</v>
      </c>
      <c r="G1904" s="1" t="s">
        <v>9</v>
      </c>
      <c r="H1904" s="1" t="s">
        <v>10</v>
      </c>
    </row>
    <row r="1905" spans="1:8" x14ac:dyDescent="0.3">
      <c r="A1905" s="1">
        <v>718</v>
      </c>
      <c r="B1905" s="1" t="s">
        <v>1687</v>
      </c>
      <c r="C1905" s="1" t="s">
        <v>5680</v>
      </c>
      <c r="D1905" s="1" t="s">
        <v>5681</v>
      </c>
      <c r="E1905" s="1">
        <v>4586.43</v>
      </c>
      <c r="F1905" s="1" t="s">
        <v>8</v>
      </c>
      <c r="G1905" s="1" t="s">
        <v>9</v>
      </c>
      <c r="H1905" s="1" t="s">
        <v>10</v>
      </c>
    </row>
    <row r="1906" spans="1:8" x14ac:dyDescent="0.3">
      <c r="A1906" s="1">
        <v>718</v>
      </c>
      <c r="B1906" s="1" t="s">
        <v>1687</v>
      </c>
      <c r="C1906" s="1" t="s">
        <v>5682</v>
      </c>
      <c r="D1906" s="1" t="s">
        <v>5683</v>
      </c>
      <c r="E1906" s="1">
        <v>68</v>
      </c>
      <c r="F1906" s="1" t="s">
        <v>8</v>
      </c>
      <c r="G1906" s="1" t="s">
        <v>9</v>
      </c>
      <c r="H1906" s="1" t="s">
        <v>10</v>
      </c>
    </row>
    <row r="1907" spans="1:8" x14ac:dyDescent="0.3">
      <c r="A1907" s="1">
        <v>718</v>
      </c>
      <c r="B1907" s="1" t="s">
        <v>1687</v>
      </c>
      <c r="C1907" s="1" t="s">
        <v>5684</v>
      </c>
      <c r="D1907" s="1" t="s">
        <v>5685</v>
      </c>
      <c r="E1907" s="1">
        <v>17</v>
      </c>
      <c r="F1907" s="1" t="s">
        <v>8</v>
      </c>
      <c r="G1907" s="1" t="s">
        <v>9</v>
      </c>
      <c r="H1907" s="1" t="s">
        <v>10</v>
      </c>
    </row>
    <row r="1908" spans="1:8" x14ac:dyDescent="0.3">
      <c r="A1908" s="1">
        <v>718</v>
      </c>
      <c r="B1908" s="1" t="s">
        <v>1687</v>
      </c>
      <c r="C1908" s="1" t="s">
        <v>5686</v>
      </c>
      <c r="D1908" s="1" t="s">
        <v>5687</v>
      </c>
      <c r="E1908" s="1">
        <v>16000</v>
      </c>
      <c r="F1908" s="1" t="s">
        <v>8</v>
      </c>
      <c r="G1908" s="1" t="s">
        <v>9</v>
      </c>
      <c r="H1908" s="1" t="s">
        <v>10</v>
      </c>
    </row>
    <row r="1909" spans="1:8" x14ac:dyDescent="0.3">
      <c r="A1909" s="1">
        <v>718</v>
      </c>
      <c r="B1909" s="1" t="s">
        <v>1687</v>
      </c>
      <c r="C1909" s="1" t="s">
        <v>5688</v>
      </c>
      <c r="D1909" s="1" t="s">
        <v>5689</v>
      </c>
      <c r="E1909" s="1">
        <v>86</v>
      </c>
      <c r="F1909" s="1" t="s">
        <v>8</v>
      </c>
      <c r="G1909" s="1" t="s">
        <v>9</v>
      </c>
      <c r="H1909" s="1" t="s">
        <v>10</v>
      </c>
    </row>
    <row r="1910" spans="1:8" x14ac:dyDescent="0.3">
      <c r="A1910" s="1">
        <v>718</v>
      </c>
      <c r="B1910" s="1" t="s">
        <v>1687</v>
      </c>
      <c r="C1910" s="1" t="s">
        <v>5690</v>
      </c>
      <c r="D1910" s="1" t="s">
        <v>5691</v>
      </c>
      <c r="E1910" s="1">
        <v>2238.17</v>
      </c>
      <c r="F1910" s="1" t="s">
        <v>8</v>
      </c>
      <c r="G1910" s="1" t="s">
        <v>9</v>
      </c>
      <c r="H1910" s="1" t="s">
        <v>10</v>
      </c>
    </row>
    <row r="1911" spans="1:8" x14ac:dyDescent="0.3">
      <c r="A1911" s="1">
        <v>718</v>
      </c>
      <c r="B1911" s="1" t="s">
        <v>1687</v>
      </c>
      <c r="C1911" s="1" t="s">
        <v>5692</v>
      </c>
      <c r="D1911" s="1" t="s">
        <v>5693</v>
      </c>
      <c r="E1911" s="1">
        <v>647.42999999999995</v>
      </c>
      <c r="F1911" s="1" t="s">
        <v>8</v>
      </c>
      <c r="G1911" s="1" t="s">
        <v>9</v>
      </c>
      <c r="H1911" s="1" t="s">
        <v>10</v>
      </c>
    </row>
    <row r="1912" spans="1:8" x14ac:dyDescent="0.3">
      <c r="A1912" s="1">
        <v>718</v>
      </c>
      <c r="B1912" s="1" t="s">
        <v>1687</v>
      </c>
      <c r="C1912" s="1" t="s">
        <v>5694</v>
      </c>
      <c r="D1912" s="1" t="s">
        <v>5695</v>
      </c>
      <c r="E1912" s="1">
        <v>1525.45</v>
      </c>
      <c r="F1912" s="1" t="s">
        <v>8</v>
      </c>
      <c r="G1912" s="1" t="s">
        <v>9</v>
      </c>
      <c r="H1912" s="1" t="s">
        <v>10</v>
      </c>
    </row>
    <row r="1913" spans="1:8" x14ac:dyDescent="0.3">
      <c r="A1913" s="1">
        <v>718</v>
      </c>
      <c r="B1913" s="1" t="s">
        <v>1687</v>
      </c>
      <c r="C1913" s="1" t="s">
        <v>5696</v>
      </c>
      <c r="D1913" s="1" t="s">
        <v>5697</v>
      </c>
      <c r="E1913" s="1">
        <v>1302.24</v>
      </c>
      <c r="F1913" s="1" t="s">
        <v>8</v>
      </c>
      <c r="G1913" s="1" t="s">
        <v>9</v>
      </c>
      <c r="H1913" s="1" t="s">
        <v>10</v>
      </c>
    </row>
    <row r="1914" spans="1:8" x14ac:dyDescent="0.3">
      <c r="A1914" s="1">
        <v>718</v>
      </c>
      <c r="B1914" s="1" t="s">
        <v>1687</v>
      </c>
      <c r="C1914" s="1" t="s">
        <v>5698</v>
      </c>
      <c r="D1914" s="1" t="s">
        <v>5699</v>
      </c>
      <c r="E1914" s="1">
        <v>1125.01</v>
      </c>
      <c r="F1914" s="1" t="s">
        <v>8</v>
      </c>
      <c r="G1914" s="1" t="s">
        <v>9</v>
      </c>
      <c r="H1914" s="1" t="s">
        <v>10</v>
      </c>
    </row>
    <row r="1915" spans="1:8" x14ac:dyDescent="0.3">
      <c r="A1915" s="1">
        <v>718</v>
      </c>
      <c r="B1915" s="1" t="s">
        <v>1687</v>
      </c>
      <c r="C1915" s="1" t="s">
        <v>5700</v>
      </c>
      <c r="D1915" s="1" t="s">
        <v>5701</v>
      </c>
      <c r="E1915" s="1">
        <v>14355</v>
      </c>
      <c r="F1915" s="1" t="s">
        <v>8</v>
      </c>
      <c r="G1915" s="1" t="s">
        <v>9</v>
      </c>
      <c r="H1915" s="1" t="s">
        <v>10</v>
      </c>
    </row>
    <row r="1916" spans="1:8" x14ac:dyDescent="0.3">
      <c r="A1916" s="1">
        <v>718</v>
      </c>
      <c r="B1916" s="1" t="s">
        <v>1687</v>
      </c>
      <c r="C1916" s="1" t="s">
        <v>5702</v>
      </c>
      <c r="D1916" s="1" t="s">
        <v>5703</v>
      </c>
      <c r="E1916" s="1">
        <v>232.76</v>
      </c>
      <c r="F1916" s="1" t="s">
        <v>8</v>
      </c>
      <c r="G1916" s="1" t="s">
        <v>9</v>
      </c>
      <c r="H1916" s="1" t="s">
        <v>10</v>
      </c>
    </row>
    <row r="1917" spans="1:8" x14ac:dyDescent="0.3">
      <c r="A1917" s="1">
        <v>718</v>
      </c>
      <c r="B1917" s="1" t="s">
        <v>1687</v>
      </c>
      <c r="C1917" s="1" t="s">
        <v>5704</v>
      </c>
      <c r="D1917" s="1" t="s">
        <v>5705</v>
      </c>
      <c r="E1917" s="1">
        <v>1239</v>
      </c>
      <c r="F1917" s="1" t="s">
        <v>8</v>
      </c>
      <c r="G1917" s="1" t="s">
        <v>9</v>
      </c>
      <c r="H1917" s="1" t="s">
        <v>10</v>
      </c>
    </row>
    <row r="1918" spans="1:8" x14ac:dyDescent="0.3">
      <c r="A1918" s="1">
        <v>718</v>
      </c>
      <c r="B1918" s="1" t="s">
        <v>1687</v>
      </c>
      <c r="C1918" s="1" t="s">
        <v>5706</v>
      </c>
      <c r="D1918" s="1" t="s">
        <v>5707</v>
      </c>
      <c r="E1918" s="1">
        <v>5286.4</v>
      </c>
      <c r="F1918" s="1" t="s">
        <v>8</v>
      </c>
      <c r="G1918" s="1" t="s">
        <v>9</v>
      </c>
      <c r="H1918" s="1" t="s">
        <v>10</v>
      </c>
    </row>
    <row r="1919" spans="1:8" x14ac:dyDescent="0.3">
      <c r="A1919" s="1">
        <v>718</v>
      </c>
      <c r="B1919" s="1" t="s">
        <v>1687</v>
      </c>
      <c r="C1919" s="1" t="s">
        <v>5706</v>
      </c>
      <c r="D1919" s="1" t="s">
        <v>5707</v>
      </c>
      <c r="E1919" s="1">
        <v>5286.4</v>
      </c>
      <c r="F1919" s="1" t="s">
        <v>8</v>
      </c>
      <c r="G1919" s="1" t="s">
        <v>9</v>
      </c>
      <c r="H1919" s="1" t="s">
        <v>10</v>
      </c>
    </row>
    <row r="1920" spans="1:8" x14ac:dyDescent="0.3">
      <c r="A1920" s="1">
        <v>718</v>
      </c>
      <c r="B1920" s="1" t="s">
        <v>1687</v>
      </c>
      <c r="C1920" s="1" t="s">
        <v>5702</v>
      </c>
      <c r="D1920" s="1" t="s">
        <v>5703</v>
      </c>
      <c r="E1920" s="1">
        <v>232.76</v>
      </c>
      <c r="F1920" s="1" t="s">
        <v>8</v>
      </c>
      <c r="G1920" s="1" t="s">
        <v>9</v>
      </c>
      <c r="H1920" s="1" t="s">
        <v>10</v>
      </c>
    </row>
    <row r="1921" spans="1:8" x14ac:dyDescent="0.3">
      <c r="A1921" s="1">
        <v>718</v>
      </c>
      <c r="B1921" s="1" t="s">
        <v>1687</v>
      </c>
      <c r="C1921" s="1" t="s">
        <v>5704</v>
      </c>
      <c r="D1921" s="1" t="s">
        <v>5705</v>
      </c>
      <c r="E1921" s="1">
        <v>1239</v>
      </c>
      <c r="F1921" s="1" t="s">
        <v>8</v>
      </c>
      <c r="G1921" s="1" t="s">
        <v>9</v>
      </c>
      <c r="H1921" s="1" t="s">
        <v>10</v>
      </c>
    </row>
    <row r="1922" spans="1:8" x14ac:dyDescent="0.3">
      <c r="A1922" s="1">
        <v>718</v>
      </c>
      <c r="B1922" s="1" t="s">
        <v>1687</v>
      </c>
      <c r="C1922" s="1" t="s">
        <v>5708</v>
      </c>
      <c r="D1922" s="1" t="s">
        <v>5709</v>
      </c>
      <c r="E1922" s="1">
        <v>2504.1799999999998</v>
      </c>
      <c r="F1922" s="1" t="s">
        <v>8</v>
      </c>
      <c r="G1922" s="1" t="s">
        <v>9</v>
      </c>
      <c r="H1922" s="1" t="s">
        <v>10</v>
      </c>
    </row>
    <row r="1923" spans="1:8" x14ac:dyDescent="0.3">
      <c r="A1923" s="1">
        <v>718</v>
      </c>
      <c r="B1923" s="1" t="s">
        <v>1687</v>
      </c>
      <c r="C1923" s="1" t="s">
        <v>5710</v>
      </c>
      <c r="D1923" s="1" t="s">
        <v>5711</v>
      </c>
      <c r="E1923" s="1">
        <v>7909.98</v>
      </c>
      <c r="F1923" s="1" t="s">
        <v>8</v>
      </c>
      <c r="G1923" s="1" t="s">
        <v>9</v>
      </c>
      <c r="H1923" s="1" t="s">
        <v>10</v>
      </c>
    </row>
    <row r="1924" spans="1:8" x14ac:dyDescent="0.3">
      <c r="A1924" s="1">
        <v>718</v>
      </c>
      <c r="B1924" s="1" t="s">
        <v>1687</v>
      </c>
      <c r="C1924" s="1" t="s">
        <v>5712</v>
      </c>
      <c r="D1924" s="1" t="s">
        <v>5713</v>
      </c>
      <c r="E1924" s="1">
        <v>1468.54</v>
      </c>
      <c r="F1924" s="1" t="s">
        <v>8</v>
      </c>
      <c r="G1924" s="1" t="s">
        <v>9</v>
      </c>
      <c r="H1924" s="1" t="s">
        <v>10</v>
      </c>
    </row>
    <row r="1925" spans="1:8" x14ac:dyDescent="0.3">
      <c r="A1925" s="1">
        <v>718</v>
      </c>
      <c r="B1925" s="1" t="s">
        <v>1687</v>
      </c>
      <c r="C1925" s="1" t="s">
        <v>5712</v>
      </c>
      <c r="D1925" s="1" t="s">
        <v>5713</v>
      </c>
      <c r="E1925" s="1">
        <v>1468.54</v>
      </c>
      <c r="F1925" s="1" t="s">
        <v>8</v>
      </c>
      <c r="G1925" s="1" t="s">
        <v>9</v>
      </c>
      <c r="H1925" s="1" t="s">
        <v>10</v>
      </c>
    </row>
    <row r="1926" spans="1:8" x14ac:dyDescent="0.3">
      <c r="A1926" s="1">
        <v>718</v>
      </c>
      <c r="B1926" s="1" t="s">
        <v>1687</v>
      </c>
      <c r="C1926" s="1" t="s">
        <v>5714</v>
      </c>
      <c r="D1926" s="1" t="s">
        <v>5715</v>
      </c>
      <c r="E1926" s="1">
        <v>1373.09</v>
      </c>
      <c r="F1926" s="1" t="s">
        <v>8</v>
      </c>
      <c r="G1926" s="1" t="s">
        <v>9</v>
      </c>
      <c r="H1926" s="1" t="s">
        <v>10</v>
      </c>
    </row>
    <row r="1927" spans="1:8" x14ac:dyDescent="0.3">
      <c r="A1927" s="1">
        <v>718</v>
      </c>
      <c r="B1927" s="1" t="s">
        <v>1687</v>
      </c>
      <c r="C1927" s="1" t="s">
        <v>5716</v>
      </c>
      <c r="D1927" s="1" t="s">
        <v>5717</v>
      </c>
      <c r="E1927" s="1">
        <v>7580</v>
      </c>
      <c r="F1927" s="1" t="s">
        <v>8</v>
      </c>
      <c r="G1927" s="1" t="s">
        <v>9</v>
      </c>
      <c r="H1927" s="1" t="s">
        <v>10</v>
      </c>
    </row>
    <row r="1928" spans="1:8" x14ac:dyDescent="0.3">
      <c r="A1928" s="1">
        <v>718</v>
      </c>
      <c r="B1928" s="1" t="s">
        <v>1687</v>
      </c>
      <c r="C1928" s="1" t="s">
        <v>5718</v>
      </c>
      <c r="D1928" s="1" t="s">
        <v>5719</v>
      </c>
      <c r="E1928" s="1">
        <v>963.98</v>
      </c>
      <c r="F1928" s="1" t="s">
        <v>8</v>
      </c>
      <c r="G1928" s="1" t="s">
        <v>9</v>
      </c>
      <c r="H1928" s="1" t="s">
        <v>10</v>
      </c>
    </row>
    <row r="1929" spans="1:8" x14ac:dyDescent="0.3">
      <c r="A1929" s="1">
        <v>718</v>
      </c>
      <c r="B1929" s="1" t="s">
        <v>1687</v>
      </c>
      <c r="C1929" s="1" t="s">
        <v>5720</v>
      </c>
      <c r="D1929" s="1" t="s">
        <v>5721</v>
      </c>
      <c r="E1929" s="1">
        <v>9679.7099999999991</v>
      </c>
      <c r="F1929" s="1" t="s">
        <v>8</v>
      </c>
      <c r="G1929" s="1" t="s">
        <v>9</v>
      </c>
      <c r="H1929" s="1" t="s">
        <v>10</v>
      </c>
    </row>
    <row r="1930" spans="1:8" x14ac:dyDescent="0.3">
      <c r="A1930" s="1">
        <v>718</v>
      </c>
      <c r="B1930" s="1" t="s">
        <v>1687</v>
      </c>
      <c r="C1930" s="1" t="s">
        <v>5722</v>
      </c>
      <c r="D1930" s="1" t="s">
        <v>5723</v>
      </c>
      <c r="E1930" s="1">
        <v>1714.75</v>
      </c>
      <c r="F1930" s="1" t="s">
        <v>8</v>
      </c>
      <c r="G1930" s="1" t="s">
        <v>9</v>
      </c>
      <c r="H1930" s="1" t="s">
        <v>10</v>
      </c>
    </row>
    <row r="1931" spans="1:8" x14ac:dyDescent="0.3">
      <c r="A1931" s="1">
        <v>718</v>
      </c>
      <c r="B1931" s="1" t="s">
        <v>1687</v>
      </c>
      <c r="C1931" s="1" t="s">
        <v>5724</v>
      </c>
      <c r="D1931" s="1" t="s">
        <v>5725</v>
      </c>
      <c r="E1931" s="1">
        <v>1152.02</v>
      </c>
      <c r="F1931" s="1" t="s">
        <v>8</v>
      </c>
      <c r="G1931" s="1" t="s">
        <v>9</v>
      </c>
      <c r="H1931" s="1" t="s">
        <v>10</v>
      </c>
    </row>
    <row r="1932" spans="1:8" x14ac:dyDescent="0.3">
      <c r="A1932" s="1">
        <v>718</v>
      </c>
      <c r="B1932" s="1" t="s">
        <v>1687</v>
      </c>
      <c r="C1932" s="1" t="s">
        <v>5724</v>
      </c>
      <c r="D1932" s="1" t="s">
        <v>5725</v>
      </c>
      <c r="E1932" s="1">
        <v>1152.02</v>
      </c>
      <c r="F1932" s="1" t="s">
        <v>8</v>
      </c>
      <c r="G1932" s="1" t="s">
        <v>9</v>
      </c>
      <c r="H1932" s="1" t="s">
        <v>10</v>
      </c>
    </row>
    <row r="1933" spans="1:8" x14ac:dyDescent="0.3">
      <c r="A1933" s="1">
        <v>718</v>
      </c>
      <c r="B1933" s="1" t="s">
        <v>1687</v>
      </c>
      <c r="C1933" s="1" t="s">
        <v>5726</v>
      </c>
      <c r="D1933" s="1" t="s">
        <v>5727</v>
      </c>
      <c r="E1933" s="1">
        <v>2200</v>
      </c>
      <c r="F1933" s="1" t="s">
        <v>8</v>
      </c>
      <c r="G1933" s="1" t="s">
        <v>9</v>
      </c>
      <c r="H1933" s="1" t="s">
        <v>10</v>
      </c>
    </row>
    <row r="1934" spans="1:8" x14ac:dyDescent="0.3">
      <c r="A1934" s="1">
        <v>718</v>
      </c>
      <c r="B1934" s="1" t="s">
        <v>1687</v>
      </c>
      <c r="C1934" s="1" t="s">
        <v>5728</v>
      </c>
      <c r="D1934" s="1" t="s">
        <v>5729</v>
      </c>
      <c r="E1934" s="1">
        <v>1261.4000000000001</v>
      </c>
      <c r="F1934" s="1" t="s">
        <v>8</v>
      </c>
      <c r="G1934" s="1" t="s">
        <v>9</v>
      </c>
      <c r="H1934" s="1" t="s">
        <v>10</v>
      </c>
    </row>
    <row r="1935" spans="1:8" x14ac:dyDescent="0.3">
      <c r="A1935" s="1">
        <v>718</v>
      </c>
      <c r="B1935" s="1" t="s">
        <v>1687</v>
      </c>
      <c r="C1935" s="1" t="s">
        <v>5730</v>
      </c>
      <c r="D1935" s="1" t="s">
        <v>5731</v>
      </c>
      <c r="E1935" s="1">
        <v>129</v>
      </c>
      <c r="F1935" s="1" t="s">
        <v>8</v>
      </c>
      <c r="G1935" s="1" t="s">
        <v>9</v>
      </c>
      <c r="H1935" s="1" t="s">
        <v>10</v>
      </c>
    </row>
    <row r="1936" spans="1:8" x14ac:dyDescent="0.3">
      <c r="A1936" s="1">
        <v>718</v>
      </c>
      <c r="B1936" s="1" t="s">
        <v>1687</v>
      </c>
      <c r="C1936" s="1" t="s">
        <v>5732</v>
      </c>
      <c r="D1936" s="1" t="s">
        <v>5733</v>
      </c>
      <c r="E1936" s="1">
        <v>100</v>
      </c>
      <c r="F1936" s="1" t="s">
        <v>8</v>
      </c>
      <c r="G1936" s="1" t="s">
        <v>9</v>
      </c>
      <c r="H1936" s="1" t="s">
        <v>10</v>
      </c>
    </row>
    <row r="1937" spans="1:8" x14ac:dyDescent="0.3">
      <c r="A1937" s="1">
        <v>718</v>
      </c>
      <c r="B1937" s="1" t="s">
        <v>1687</v>
      </c>
      <c r="C1937" s="1" t="s">
        <v>5734</v>
      </c>
      <c r="D1937" s="1" t="s">
        <v>5735</v>
      </c>
      <c r="E1937" s="1">
        <v>2175</v>
      </c>
      <c r="F1937" s="1" t="s">
        <v>8</v>
      </c>
      <c r="G1937" s="1" t="s">
        <v>9</v>
      </c>
      <c r="H1937" s="1" t="s">
        <v>10</v>
      </c>
    </row>
    <row r="1938" spans="1:8" x14ac:dyDescent="0.3">
      <c r="A1938" s="1">
        <v>718</v>
      </c>
      <c r="B1938" s="1" t="s">
        <v>1687</v>
      </c>
      <c r="C1938" s="1" t="s">
        <v>5736</v>
      </c>
      <c r="D1938" s="1" t="s">
        <v>5737</v>
      </c>
      <c r="E1938" s="1">
        <v>828.07</v>
      </c>
      <c r="F1938" s="1" t="s">
        <v>8</v>
      </c>
      <c r="G1938" s="1" t="s">
        <v>9</v>
      </c>
      <c r="H1938" s="1" t="s">
        <v>10</v>
      </c>
    </row>
    <row r="1939" spans="1:8" x14ac:dyDescent="0.3">
      <c r="A1939" s="1">
        <v>718</v>
      </c>
      <c r="B1939" s="1" t="s">
        <v>1687</v>
      </c>
      <c r="C1939" s="1" t="s">
        <v>5738</v>
      </c>
      <c r="D1939" s="1" t="s">
        <v>5739</v>
      </c>
      <c r="E1939" s="1">
        <v>1167</v>
      </c>
      <c r="F1939" s="1" t="s">
        <v>8</v>
      </c>
      <c r="G1939" s="1" t="s">
        <v>9</v>
      </c>
      <c r="H1939" s="1" t="s">
        <v>10</v>
      </c>
    </row>
    <row r="1940" spans="1:8" x14ac:dyDescent="0.3">
      <c r="A1940" s="1">
        <v>718</v>
      </c>
      <c r="B1940" s="1" t="s">
        <v>1687</v>
      </c>
      <c r="C1940" s="1" t="s">
        <v>5738</v>
      </c>
      <c r="D1940" s="1" t="s">
        <v>5739</v>
      </c>
      <c r="E1940" s="1">
        <v>1167</v>
      </c>
      <c r="F1940" s="1" t="s">
        <v>8</v>
      </c>
      <c r="G1940" s="1" t="s">
        <v>9</v>
      </c>
      <c r="H1940" s="1" t="s">
        <v>10</v>
      </c>
    </row>
    <row r="1941" spans="1:8" x14ac:dyDescent="0.3">
      <c r="A1941" s="1">
        <v>718</v>
      </c>
      <c r="B1941" s="1" t="s">
        <v>1687</v>
      </c>
      <c r="C1941" s="1" t="s">
        <v>5740</v>
      </c>
      <c r="D1941" s="1" t="s">
        <v>5741</v>
      </c>
      <c r="E1941" s="1">
        <v>1100</v>
      </c>
      <c r="F1941" s="1" t="s">
        <v>8</v>
      </c>
      <c r="G1941" s="1" t="s">
        <v>9</v>
      </c>
      <c r="H1941" s="1" t="s">
        <v>10</v>
      </c>
    </row>
    <row r="1942" spans="1:8" x14ac:dyDescent="0.3">
      <c r="A1942" s="1">
        <v>718</v>
      </c>
      <c r="B1942" s="1" t="s">
        <v>1687</v>
      </c>
      <c r="C1942" s="1" t="s">
        <v>5742</v>
      </c>
      <c r="D1942" s="1" t="s">
        <v>5743</v>
      </c>
      <c r="E1942" s="1">
        <v>1131</v>
      </c>
      <c r="F1942" s="1" t="s">
        <v>8</v>
      </c>
      <c r="G1942" s="1" t="s">
        <v>9</v>
      </c>
      <c r="H1942" s="1" t="s">
        <v>10</v>
      </c>
    </row>
    <row r="1943" spans="1:8" x14ac:dyDescent="0.3">
      <c r="A1943" s="1">
        <v>718</v>
      </c>
      <c r="B1943" s="1" t="s">
        <v>1687</v>
      </c>
      <c r="C1943" s="1" t="s">
        <v>5744</v>
      </c>
      <c r="D1943" s="1" t="s">
        <v>5745</v>
      </c>
      <c r="E1943" s="1">
        <v>1303</v>
      </c>
      <c r="F1943" s="1" t="s">
        <v>8</v>
      </c>
      <c r="G1943" s="1" t="s">
        <v>9</v>
      </c>
      <c r="H1943" s="1" t="s">
        <v>10</v>
      </c>
    </row>
    <row r="1944" spans="1:8" x14ac:dyDescent="0.3">
      <c r="A1944" s="1">
        <v>718</v>
      </c>
      <c r="B1944" s="1" t="s">
        <v>1687</v>
      </c>
      <c r="C1944" s="1" t="s">
        <v>5746</v>
      </c>
      <c r="D1944" s="1" t="s">
        <v>5747</v>
      </c>
      <c r="E1944" s="1">
        <v>683.1</v>
      </c>
      <c r="F1944" s="1" t="s">
        <v>8</v>
      </c>
      <c r="G1944" s="1" t="s">
        <v>9</v>
      </c>
      <c r="H1944" s="1" t="s">
        <v>10</v>
      </c>
    </row>
    <row r="1945" spans="1:8" x14ac:dyDescent="0.3">
      <c r="A1945" s="1">
        <v>718</v>
      </c>
      <c r="B1945" s="1" t="s">
        <v>1687</v>
      </c>
      <c r="C1945" s="1" t="s">
        <v>5748</v>
      </c>
      <c r="D1945" s="1" t="s">
        <v>5749</v>
      </c>
      <c r="E1945" s="1">
        <v>19</v>
      </c>
      <c r="F1945" s="1" t="s">
        <v>8</v>
      </c>
      <c r="G1945" s="1" t="s">
        <v>9</v>
      </c>
      <c r="H1945" s="1" t="s">
        <v>10</v>
      </c>
    </row>
    <row r="1946" spans="1:8" x14ac:dyDescent="0.3">
      <c r="A1946" s="1">
        <v>718</v>
      </c>
      <c r="B1946" s="1" t="s">
        <v>1687</v>
      </c>
      <c r="C1946" s="1" t="s">
        <v>5750</v>
      </c>
      <c r="D1946" s="1" t="s">
        <v>5751</v>
      </c>
      <c r="E1946" s="1">
        <v>660</v>
      </c>
      <c r="F1946" s="1" t="s">
        <v>8</v>
      </c>
      <c r="G1946" s="1" t="s">
        <v>9</v>
      </c>
      <c r="H1946" s="1" t="s">
        <v>10</v>
      </c>
    </row>
    <row r="1947" spans="1:8" x14ac:dyDescent="0.3">
      <c r="A1947" s="1">
        <v>718</v>
      </c>
      <c r="B1947" s="1" t="s">
        <v>1687</v>
      </c>
      <c r="C1947" s="1" t="s">
        <v>4015</v>
      </c>
      <c r="D1947" s="1" t="s">
        <v>5752</v>
      </c>
      <c r="E1947" s="1">
        <v>19</v>
      </c>
      <c r="F1947" s="1" t="s">
        <v>8</v>
      </c>
      <c r="G1947" s="1" t="s">
        <v>9</v>
      </c>
      <c r="H1947" s="1" t="s">
        <v>10</v>
      </c>
    </row>
    <row r="1948" spans="1:8" x14ac:dyDescent="0.3">
      <c r="A1948" s="1">
        <v>718</v>
      </c>
      <c r="B1948" s="1" t="s">
        <v>1687</v>
      </c>
      <c r="C1948" s="1" t="s">
        <v>5753</v>
      </c>
      <c r="D1948" s="1" t="s">
        <v>5754</v>
      </c>
      <c r="E1948" s="1">
        <v>6447.32</v>
      </c>
      <c r="F1948" s="1" t="s">
        <v>8</v>
      </c>
      <c r="G1948" s="1" t="s">
        <v>9</v>
      </c>
      <c r="H1948" s="1" t="s">
        <v>10</v>
      </c>
    </row>
    <row r="1949" spans="1:8" x14ac:dyDescent="0.3">
      <c r="A1949" s="1">
        <v>718</v>
      </c>
      <c r="B1949" s="1" t="s">
        <v>1687</v>
      </c>
      <c r="C1949" s="1" t="s">
        <v>5753</v>
      </c>
      <c r="D1949" s="1" t="s">
        <v>5754</v>
      </c>
      <c r="E1949" s="1">
        <v>6447.32</v>
      </c>
      <c r="F1949" s="1" t="s">
        <v>8</v>
      </c>
      <c r="G1949" s="1" t="s">
        <v>9</v>
      </c>
      <c r="H1949" s="1" t="s">
        <v>10</v>
      </c>
    </row>
    <row r="1950" spans="1:8" x14ac:dyDescent="0.3">
      <c r="A1950" s="1">
        <v>718</v>
      </c>
      <c r="B1950" s="1" t="s">
        <v>1687</v>
      </c>
      <c r="C1950" s="1" t="s">
        <v>5755</v>
      </c>
      <c r="D1950" s="1" t="s">
        <v>5756</v>
      </c>
      <c r="E1950" s="1">
        <v>1951.87</v>
      </c>
      <c r="F1950" s="1" t="s">
        <v>8</v>
      </c>
      <c r="G1950" s="1" t="s">
        <v>9</v>
      </c>
      <c r="H1950" s="1" t="s">
        <v>10</v>
      </c>
    </row>
    <row r="1951" spans="1:8" x14ac:dyDescent="0.3">
      <c r="A1951" s="1">
        <v>718</v>
      </c>
      <c r="B1951" s="1" t="s">
        <v>1687</v>
      </c>
      <c r="C1951" s="1" t="s">
        <v>5757</v>
      </c>
      <c r="D1951" s="1" t="s">
        <v>5758</v>
      </c>
      <c r="E1951" s="1">
        <v>84.54</v>
      </c>
      <c r="F1951" s="1" t="s">
        <v>8</v>
      </c>
      <c r="G1951" s="1" t="s">
        <v>9</v>
      </c>
      <c r="H1951" s="1" t="s">
        <v>10</v>
      </c>
    </row>
    <row r="1952" spans="1:8" x14ac:dyDescent="0.3">
      <c r="A1952" s="1">
        <v>718</v>
      </c>
      <c r="B1952" s="1" t="s">
        <v>1687</v>
      </c>
      <c r="C1952" s="1" t="s">
        <v>5759</v>
      </c>
      <c r="D1952" s="1" t="s">
        <v>5760</v>
      </c>
      <c r="E1952" s="1">
        <v>1450</v>
      </c>
      <c r="F1952" s="1" t="s">
        <v>8</v>
      </c>
      <c r="G1952" s="1" t="s">
        <v>9</v>
      </c>
      <c r="H1952" s="1" t="s">
        <v>10</v>
      </c>
    </row>
    <row r="1953" spans="1:8" x14ac:dyDescent="0.3">
      <c r="A1953" s="1">
        <v>718</v>
      </c>
      <c r="B1953" s="1" t="s">
        <v>1687</v>
      </c>
      <c r="C1953" s="1" t="s">
        <v>5761</v>
      </c>
      <c r="D1953" s="1" t="s">
        <v>5762</v>
      </c>
      <c r="E1953" s="1">
        <v>1520</v>
      </c>
      <c r="F1953" s="1" t="s">
        <v>8</v>
      </c>
      <c r="G1953" s="1" t="s">
        <v>9</v>
      </c>
      <c r="H1953" s="1" t="s">
        <v>10</v>
      </c>
    </row>
    <row r="1954" spans="1:8" x14ac:dyDescent="0.3">
      <c r="A1954" s="1">
        <v>718</v>
      </c>
      <c r="B1954" s="1" t="s">
        <v>1687</v>
      </c>
      <c r="C1954" s="1" t="s">
        <v>5763</v>
      </c>
      <c r="D1954" s="1" t="s">
        <v>5764</v>
      </c>
      <c r="E1954" s="1">
        <v>1176.76</v>
      </c>
      <c r="F1954" s="1" t="s">
        <v>8</v>
      </c>
      <c r="G1954" s="1" t="s">
        <v>9</v>
      </c>
      <c r="H1954" s="1" t="s">
        <v>10</v>
      </c>
    </row>
    <row r="1955" spans="1:8" x14ac:dyDescent="0.3">
      <c r="A1955" s="1">
        <v>718</v>
      </c>
      <c r="B1955" s="1" t="s">
        <v>1687</v>
      </c>
      <c r="C1955" s="1" t="s">
        <v>5763</v>
      </c>
      <c r="D1955" s="1" t="s">
        <v>5764</v>
      </c>
      <c r="E1955" s="1">
        <v>1176.76</v>
      </c>
      <c r="F1955" s="1" t="s">
        <v>8</v>
      </c>
      <c r="G1955" s="1" t="s">
        <v>9</v>
      </c>
      <c r="H1955" s="1" t="s">
        <v>10</v>
      </c>
    </row>
    <row r="1956" spans="1:8" x14ac:dyDescent="0.3">
      <c r="A1956" s="1">
        <v>718</v>
      </c>
      <c r="B1956" s="1" t="s">
        <v>1687</v>
      </c>
      <c r="C1956" s="1" t="s">
        <v>5765</v>
      </c>
      <c r="D1956" s="1" t="s">
        <v>5766</v>
      </c>
      <c r="E1956" s="1">
        <v>3572.87</v>
      </c>
      <c r="F1956" s="1" t="s">
        <v>8</v>
      </c>
      <c r="G1956" s="1" t="s">
        <v>9</v>
      </c>
      <c r="H1956" s="1" t="s">
        <v>10</v>
      </c>
    </row>
    <row r="1957" spans="1:8" x14ac:dyDescent="0.3">
      <c r="A1957" s="1">
        <v>718</v>
      </c>
      <c r="B1957" s="1" t="s">
        <v>1687</v>
      </c>
      <c r="C1957" s="1" t="s">
        <v>5767</v>
      </c>
      <c r="D1957" s="1" t="s">
        <v>5768</v>
      </c>
      <c r="E1957" s="1">
        <v>172.38</v>
      </c>
      <c r="F1957" s="1" t="s">
        <v>8</v>
      </c>
      <c r="G1957" s="1" t="s">
        <v>9</v>
      </c>
      <c r="H1957" s="1" t="s">
        <v>10</v>
      </c>
    </row>
    <row r="1958" spans="1:8" x14ac:dyDescent="0.3">
      <c r="A1958" s="1">
        <v>718</v>
      </c>
      <c r="B1958" s="1" t="s">
        <v>1687</v>
      </c>
      <c r="C1958" s="1" t="s">
        <v>5767</v>
      </c>
      <c r="D1958" s="1" t="s">
        <v>5768</v>
      </c>
      <c r="E1958" s="1">
        <v>172.38</v>
      </c>
      <c r="F1958" s="1" t="s">
        <v>8</v>
      </c>
      <c r="G1958" s="1" t="s">
        <v>9</v>
      </c>
      <c r="H1958" s="1" t="s">
        <v>10</v>
      </c>
    </row>
    <row r="1959" spans="1:8" x14ac:dyDescent="0.3">
      <c r="A1959" s="1">
        <v>718</v>
      </c>
      <c r="B1959" s="1" t="s">
        <v>1687</v>
      </c>
      <c r="C1959" s="1" t="s">
        <v>5769</v>
      </c>
      <c r="D1959" s="1" t="s">
        <v>5770</v>
      </c>
      <c r="E1959" s="1">
        <v>65.84</v>
      </c>
      <c r="F1959" s="1" t="s">
        <v>8</v>
      </c>
      <c r="G1959" s="1" t="s">
        <v>9</v>
      </c>
      <c r="H1959" s="1" t="s">
        <v>10</v>
      </c>
    </row>
    <row r="1960" spans="1:8" x14ac:dyDescent="0.3">
      <c r="A1960" s="1">
        <v>718</v>
      </c>
      <c r="B1960" s="1" t="s">
        <v>1687</v>
      </c>
      <c r="C1960" s="1" t="s">
        <v>5771</v>
      </c>
      <c r="D1960" s="1" t="s">
        <v>5772</v>
      </c>
      <c r="E1960" s="1">
        <v>795.31</v>
      </c>
      <c r="F1960" s="1" t="s">
        <v>8</v>
      </c>
      <c r="G1960" s="1" t="s">
        <v>9</v>
      </c>
      <c r="H1960" s="1" t="s">
        <v>10</v>
      </c>
    </row>
    <row r="1961" spans="1:8" x14ac:dyDescent="0.3">
      <c r="A1961" s="1">
        <v>718</v>
      </c>
      <c r="B1961" s="1" t="s">
        <v>1687</v>
      </c>
      <c r="C1961" s="1" t="s">
        <v>5773</v>
      </c>
      <c r="D1961" s="1" t="s">
        <v>5774</v>
      </c>
      <c r="E1961" s="1">
        <v>2863.66</v>
      </c>
      <c r="F1961" s="1" t="s">
        <v>8</v>
      </c>
      <c r="G1961" s="1" t="s">
        <v>9</v>
      </c>
      <c r="H1961" s="1" t="s">
        <v>10</v>
      </c>
    </row>
    <row r="1962" spans="1:8" x14ac:dyDescent="0.3">
      <c r="A1962" s="1">
        <v>718</v>
      </c>
      <c r="B1962" s="1" t="s">
        <v>1687</v>
      </c>
      <c r="C1962" s="1" t="s">
        <v>5775</v>
      </c>
      <c r="D1962" s="1" t="s">
        <v>5776</v>
      </c>
      <c r="E1962" s="1">
        <v>1051.98</v>
      </c>
      <c r="F1962" s="1" t="s">
        <v>8</v>
      </c>
      <c r="G1962" s="1" t="s">
        <v>9</v>
      </c>
      <c r="H1962" s="1" t="s">
        <v>10</v>
      </c>
    </row>
    <row r="1963" spans="1:8" x14ac:dyDescent="0.3">
      <c r="A1963" s="1">
        <v>718</v>
      </c>
      <c r="B1963" s="1" t="s">
        <v>1687</v>
      </c>
      <c r="C1963" s="1" t="s">
        <v>5777</v>
      </c>
      <c r="D1963" s="1" t="s">
        <v>5778</v>
      </c>
      <c r="E1963" s="1">
        <v>1674.4</v>
      </c>
      <c r="F1963" s="1" t="s">
        <v>8</v>
      </c>
      <c r="G1963" s="1" t="s">
        <v>9</v>
      </c>
      <c r="H1963" s="1" t="s">
        <v>10</v>
      </c>
    </row>
    <row r="1964" spans="1:8" x14ac:dyDescent="0.3">
      <c r="A1964" s="1">
        <v>718</v>
      </c>
      <c r="B1964" s="1" t="s">
        <v>1687</v>
      </c>
      <c r="C1964" s="1" t="s">
        <v>5779</v>
      </c>
      <c r="D1964" s="1" t="s">
        <v>5780</v>
      </c>
      <c r="E1964" s="1">
        <v>2602.88</v>
      </c>
      <c r="F1964" s="1" t="s">
        <v>8</v>
      </c>
      <c r="G1964" s="1" t="s">
        <v>9</v>
      </c>
      <c r="H1964" s="1" t="s">
        <v>10</v>
      </c>
    </row>
    <row r="1965" spans="1:8" x14ac:dyDescent="0.3">
      <c r="A1965" s="1">
        <v>718</v>
      </c>
      <c r="B1965" s="1" t="s">
        <v>1687</v>
      </c>
      <c r="C1965" s="1" t="s">
        <v>5773</v>
      </c>
      <c r="D1965" s="1" t="s">
        <v>5774</v>
      </c>
      <c r="E1965" s="1">
        <v>2863.66</v>
      </c>
      <c r="F1965" s="1" t="s">
        <v>8</v>
      </c>
      <c r="G1965" s="1" t="s">
        <v>9</v>
      </c>
      <c r="H1965" s="1" t="s">
        <v>10</v>
      </c>
    </row>
    <row r="1966" spans="1:8" x14ac:dyDescent="0.3">
      <c r="A1966" s="1">
        <v>718</v>
      </c>
      <c r="B1966" s="1" t="s">
        <v>1687</v>
      </c>
      <c r="C1966" s="1" t="s">
        <v>5781</v>
      </c>
      <c r="D1966" s="1" t="s">
        <v>5782</v>
      </c>
      <c r="E1966" s="1">
        <v>693.19</v>
      </c>
      <c r="F1966" s="1" t="s">
        <v>8</v>
      </c>
      <c r="G1966" s="1" t="s">
        <v>9</v>
      </c>
      <c r="H1966" s="1" t="s">
        <v>10</v>
      </c>
    </row>
    <row r="1967" spans="1:8" x14ac:dyDescent="0.3">
      <c r="A1967" s="1">
        <v>718</v>
      </c>
      <c r="B1967" s="1" t="s">
        <v>1687</v>
      </c>
      <c r="C1967" s="1" t="s">
        <v>5781</v>
      </c>
      <c r="D1967" s="1" t="s">
        <v>5782</v>
      </c>
      <c r="E1967" s="1">
        <v>693.19</v>
      </c>
      <c r="F1967" s="1" t="s">
        <v>8</v>
      </c>
      <c r="G1967" s="1" t="s">
        <v>9</v>
      </c>
      <c r="H1967" s="1" t="s">
        <v>10</v>
      </c>
    </row>
    <row r="1968" spans="1:8" x14ac:dyDescent="0.3">
      <c r="A1968" s="1">
        <v>718</v>
      </c>
      <c r="B1968" s="1" t="s">
        <v>1687</v>
      </c>
      <c r="C1968" s="1" t="s">
        <v>5783</v>
      </c>
      <c r="D1968" s="1" t="s">
        <v>5784</v>
      </c>
      <c r="E1968" s="1">
        <v>1546.46</v>
      </c>
      <c r="F1968" s="1" t="s">
        <v>8</v>
      </c>
      <c r="G1968" s="1" t="s">
        <v>9</v>
      </c>
      <c r="H1968" s="1" t="s">
        <v>10</v>
      </c>
    </row>
    <row r="1969" spans="1:8" x14ac:dyDescent="0.3">
      <c r="A1969" s="1">
        <v>718</v>
      </c>
      <c r="B1969" s="1" t="s">
        <v>1687</v>
      </c>
      <c r="C1969" s="1" t="s">
        <v>5783</v>
      </c>
      <c r="D1969" s="1" t="s">
        <v>5784</v>
      </c>
      <c r="E1969" s="1">
        <v>1546.46</v>
      </c>
      <c r="F1969" s="1" t="s">
        <v>8</v>
      </c>
      <c r="G1969" s="1" t="s">
        <v>9</v>
      </c>
      <c r="H1969" s="1" t="s">
        <v>10</v>
      </c>
    </row>
    <row r="1970" spans="1:8" x14ac:dyDescent="0.3">
      <c r="A1970" s="1">
        <v>718</v>
      </c>
      <c r="B1970" s="1" t="s">
        <v>1687</v>
      </c>
      <c r="C1970" s="1" t="s">
        <v>5785</v>
      </c>
      <c r="D1970" s="1" t="s">
        <v>5786</v>
      </c>
      <c r="E1970" s="1">
        <v>825.24</v>
      </c>
      <c r="F1970" s="1" t="s">
        <v>8</v>
      </c>
      <c r="G1970" s="1" t="s">
        <v>9</v>
      </c>
      <c r="H1970" s="1" t="s">
        <v>10</v>
      </c>
    </row>
    <row r="1971" spans="1:8" x14ac:dyDescent="0.3">
      <c r="A1971" s="1">
        <v>718</v>
      </c>
      <c r="B1971" s="1" t="s">
        <v>1687</v>
      </c>
      <c r="C1971" s="1" t="s">
        <v>5785</v>
      </c>
      <c r="D1971" s="1" t="s">
        <v>5786</v>
      </c>
      <c r="E1971" s="1">
        <v>825.24</v>
      </c>
      <c r="F1971" s="1" t="s">
        <v>8</v>
      </c>
      <c r="G1971" s="1" t="s">
        <v>9</v>
      </c>
      <c r="H1971" s="1" t="s">
        <v>10</v>
      </c>
    </row>
    <row r="1972" spans="1:8" x14ac:dyDescent="0.3">
      <c r="A1972" s="1">
        <v>718</v>
      </c>
      <c r="B1972" s="1" t="s">
        <v>1687</v>
      </c>
      <c r="C1972" s="1" t="s">
        <v>5787</v>
      </c>
      <c r="D1972" s="1" t="s">
        <v>5788</v>
      </c>
      <c r="E1972" s="1">
        <v>50</v>
      </c>
      <c r="F1972" s="1" t="s">
        <v>8</v>
      </c>
      <c r="G1972" s="1" t="s">
        <v>9</v>
      </c>
      <c r="H1972" s="1" t="s">
        <v>10</v>
      </c>
    </row>
    <row r="1973" spans="1:8" x14ac:dyDescent="0.3">
      <c r="A1973" s="1">
        <v>718</v>
      </c>
      <c r="B1973" s="1" t="s">
        <v>1687</v>
      </c>
      <c r="C1973" s="1" t="s">
        <v>5789</v>
      </c>
      <c r="D1973" s="1" t="s">
        <v>5790</v>
      </c>
      <c r="E1973" s="1">
        <v>273.85000000000002</v>
      </c>
      <c r="F1973" s="1" t="s">
        <v>8</v>
      </c>
      <c r="G1973" s="1" t="s">
        <v>9</v>
      </c>
      <c r="H1973" s="1" t="s">
        <v>10</v>
      </c>
    </row>
    <row r="1974" spans="1:8" x14ac:dyDescent="0.3">
      <c r="A1974" s="1">
        <v>718</v>
      </c>
      <c r="B1974" s="1" t="s">
        <v>1687</v>
      </c>
      <c r="C1974" s="1" t="s">
        <v>5789</v>
      </c>
      <c r="D1974" s="1" t="s">
        <v>5790</v>
      </c>
      <c r="E1974" s="1">
        <v>273.85000000000002</v>
      </c>
      <c r="F1974" s="1" t="s">
        <v>8</v>
      </c>
      <c r="G1974" s="1" t="s">
        <v>9</v>
      </c>
      <c r="H1974" s="1" t="s">
        <v>10</v>
      </c>
    </row>
    <row r="1975" spans="1:8" x14ac:dyDescent="0.3">
      <c r="A1975" s="1">
        <v>718</v>
      </c>
      <c r="B1975" s="1" t="s">
        <v>1687</v>
      </c>
      <c r="C1975" s="1" t="s">
        <v>5791</v>
      </c>
      <c r="D1975" s="1" t="s">
        <v>5792</v>
      </c>
      <c r="E1975" s="1">
        <v>1965.39</v>
      </c>
      <c r="F1975" s="1" t="s">
        <v>8</v>
      </c>
      <c r="G1975" s="1" t="s">
        <v>9</v>
      </c>
      <c r="H1975" s="1" t="s">
        <v>10</v>
      </c>
    </row>
    <row r="1976" spans="1:8" x14ac:dyDescent="0.3">
      <c r="A1976" s="1">
        <v>718</v>
      </c>
      <c r="B1976" s="1" t="s">
        <v>1687</v>
      </c>
      <c r="C1976" s="1" t="s">
        <v>5791</v>
      </c>
      <c r="D1976" s="1" t="s">
        <v>5792</v>
      </c>
      <c r="E1976" s="1">
        <v>1965.39</v>
      </c>
      <c r="F1976" s="1" t="s">
        <v>8</v>
      </c>
      <c r="G1976" s="1" t="s">
        <v>9</v>
      </c>
      <c r="H1976" s="1" t="s">
        <v>10</v>
      </c>
    </row>
    <row r="1977" spans="1:8" x14ac:dyDescent="0.3">
      <c r="A1977" s="1">
        <v>718</v>
      </c>
      <c r="B1977" s="1" t="s">
        <v>1687</v>
      </c>
      <c r="C1977" s="1" t="s">
        <v>5793</v>
      </c>
      <c r="D1977" s="1" t="s">
        <v>5794</v>
      </c>
      <c r="E1977" s="1">
        <v>1390.79</v>
      </c>
      <c r="F1977" s="1" t="s">
        <v>8</v>
      </c>
      <c r="G1977" s="1" t="s">
        <v>9</v>
      </c>
      <c r="H1977" s="1" t="s">
        <v>10</v>
      </c>
    </row>
    <row r="1978" spans="1:8" x14ac:dyDescent="0.3">
      <c r="A1978" s="1">
        <v>718</v>
      </c>
      <c r="B1978" s="1" t="s">
        <v>1687</v>
      </c>
      <c r="C1978" s="1" t="s">
        <v>5793</v>
      </c>
      <c r="D1978" s="1" t="s">
        <v>5794</v>
      </c>
      <c r="E1978" s="1">
        <v>1390.79</v>
      </c>
      <c r="F1978" s="1" t="s">
        <v>8</v>
      </c>
      <c r="G1978" s="1" t="s">
        <v>9</v>
      </c>
      <c r="H1978" s="1" t="s">
        <v>10</v>
      </c>
    </row>
    <row r="1979" spans="1:8" x14ac:dyDescent="0.3">
      <c r="A1979" s="1">
        <v>718</v>
      </c>
      <c r="B1979" s="1" t="s">
        <v>1687</v>
      </c>
      <c r="C1979" s="1" t="s">
        <v>5795</v>
      </c>
      <c r="D1979" s="1" t="s">
        <v>5796</v>
      </c>
      <c r="E1979" s="1">
        <v>602.37</v>
      </c>
      <c r="F1979" s="1" t="s">
        <v>8</v>
      </c>
      <c r="G1979" s="1" t="s">
        <v>9</v>
      </c>
      <c r="H1979" s="1" t="s">
        <v>10</v>
      </c>
    </row>
    <row r="1980" spans="1:8" x14ac:dyDescent="0.3">
      <c r="A1980" s="1">
        <v>718</v>
      </c>
      <c r="B1980" s="1" t="s">
        <v>1687</v>
      </c>
      <c r="C1980" s="1" t="s">
        <v>5795</v>
      </c>
      <c r="D1980" s="1" t="s">
        <v>5796</v>
      </c>
      <c r="E1980" s="1">
        <v>602.37</v>
      </c>
      <c r="F1980" s="1" t="s">
        <v>8</v>
      </c>
      <c r="G1980" s="1" t="s">
        <v>9</v>
      </c>
      <c r="H1980" s="1" t="s">
        <v>10</v>
      </c>
    </row>
    <row r="1981" spans="1:8" x14ac:dyDescent="0.3">
      <c r="A1981" s="1">
        <v>718</v>
      </c>
      <c r="B1981" s="1" t="s">
        <v>1687</v>
      </c>
      <c r="C1981" s="1" t="s">
        <v>5797</v>
      </c>
      <c r="D1981" s="1" t="s">
        <v>5798</v>
      </c>
      <c r="E1981" s="1">
        <v>3267.12</v>
      </c>
      <c r="F1981" s="1" t="s">
        <v>8</v>
      </c>
      <c r="G1981" s="1" t="s">
        <v>9</v>
      </c>
      <c r="H1981" s="1" t="s">
        <v>10</v>
      </c>
    </row>
    <row r="1982" spans="1:8" x14ac:dyDescent="0.3">
      <c r="A1982" s="1">
        <v>718</v>
      </c>
      <c r="B1982" s="1" t="s">
        <v>1687</v>
      </c>
      <c r="C1982" s="1" t="s">
        <v>5799</v>
      </c>
      <c r="D1982" s="1" t="s">
        <v>5800</v>
      </c>
      <c r="E1982" s="1">
        <v>4429.38</v>
      </c>
      <c r="F1982" s="1" t="s">
        <v>8</v>
      </c>
      <c r="G1982" s="1" t="s">
        <v>9</v>
      </c>
      <c r="H1982" s="1" t="s">
        <v>10</v>
      </c>
    </row>
    <row r="1983" spans="1:8" x14ac:dyDescent="0.3">
      <c r="A1983" s="1">
        <v>718</v>
      </c>
      <c r="B1983" s="1" t="s">
        <v>1687</v>
      </c>
      <c r="C1983" s="1" t="s">
        <v>5801</v>
      </c>
      <c r="D1983" s="1" t="s">
        <v>5802</v>
      </c>
      <c r="E1983" s="1">
        <v>5366.45</v>
      </c>
      <c r="F1983" s="1" t="s">
        <v>8</v>
      </c>
      <c r="G1983" s="1" t="s">
        <v>9</v>
      </c>
      <c r="H1983" s="1" t="s">
        <v>10</v>
      </c>
    </row>
    <row r="1984" spans="1:8" x14ac:dyDescent="0.3">
      <c r="A1984" s="1">
        <v>718</v>
      </c>
      <c r="B1984" s="1" t="s">
        <v>1687</v>
      </c>
      <c r="C1984" s="1" t="s">
        <v>5803</v>
      </c>
      <c r="D1984" s="1" t="s">
        <v>5804</v>
      </c>
      <c r="E1984" s="1">
        <v>1092.98</v>
      </c>
      <c r="F1984" s="1" t="s">
        <v>8</v>
      </c>
      <c r="G1984" s="1" t="s">
        <v>9</v>
      </c>
      <c r="H1984" s="1" t="s">
        <v>10</v>
      </c>
    </row>
    <row r="1985" spans="1:8" x14ac:dyDescent="0.3">
      <c r="A1985" s="1">
        <v>718</v>
      </c>
      <c r="B1985" s="1" t="s">
        <v>1687</v>
      </c>
      <c r="C1985" s="1" t="s">
        <v>5805</v>
      </c>
      <c r="D1985" s="1" t="s">
        <v>5806</v>
      </c>
      <c r="E1985" s="1">
        <v>979</v>
      </c>
      <c r="F1985" s="1" t="s">
        <v>8</v>
      </c>
      <c r="G1985" s="1" t="s">
        <v>9</v>
      </c>
      <c r="H1985" s="1" t="s">
        <v>10</v>
      </c>
    </row>
    <row r="1986" spans="1:8" x14ac:dyDescent="0.3">
      <c r="A1986" s="1">
        <v>718</v>
      </c>
      <c r="B1986" s="1" t="s">
        <v>1687</v>
      </c>
      <c r="C1986" s="1" t="s">
        <v>5807</v>
      </c>
      <c r="D1986" s="1" t="s">
        <v>5808</v>
      </c>
      <c r="E1986" s="1">
        <v>8935.89</v>
      </c>
      <c r="F1986" s="1" t="s">
        <v>8</v>
      </c>
      <c r="G1986" s="1" t="s">
        <v>9</v>
      </c>
      <c r="H1986" s="1" t="s">
        <v>10</v>
      </c>
    </row>
    <row r="1987" spans="1:8" x14ac:dyDescent="0.3">
      <c r="A1987" s="1">
        <v>718</v>
      </c>
      <c r="B1987" s="1" t="s">
        <v>1687</v>
      </c>
      <c r="C1987" s="1" t="s">
        <v>5809</v>
      </c>
      <c r="D1987" s="1" t="s">
        <v>5810</v>
      </c>
      <c r="E1987" s="1">
        <v>3533.17</v>
      </c>
      <c r="F1987" s="1" t="s">
        <v>8</v>
      </c>
      <c r="G1987" s="1" t="s">
        <v>9</v>
      </c>
      <c r="H1987" s="1" t="s">
        <v>10</v>
      </c>
    </row>
    <row r="1988" spans="1:8" x14ac:dyDescent="0.3">
      <c r="A1988" s="1">
        <v>718</v>
      </c>
      <c r="B1988" s="1" t="s">
        <v>1687</v>
      </c>
      <c r="C1988" s="1" t="s">
        <v>5811</v>
      </c>
      <c r="D1988" s="1" t="s">
        <v>5812</v>
      </c>
      <c r="E1988" s="1">
        <v>2034.24</v>
      </c>
      <c r="F1988" s="1" t="s">
        <v>8</v>
      </c>
      <c r="G1988" s="1" t="s">
        <v>9</v>
      </c>
      <c r="H1988" s="1" t="s">
        <v>10</v>
      </c>
    </row>
    <row r="1989" spans="1:8" x14ac:dyDescent="0.3">
      <c r="A1989" s="1">
        <v>718</v>
      </c>
      <c r="B1989" s="1" t="s">
        <v>1687</v>
      </c>
      <c r="C1989" s="1" t="s">
        <v>5813</v>
      </c>
      <c r="D1989" s="1" t="s">
        <v>5814</v>
      </c>
      <c r="E1989" s="1">
        <v>1997.84</v>
      </c>
      <c r="F1989" s="1" t="s">
        <v>8</v>
      </c>
      <c r="G1989" s="1" t="s">
        <v>9</v>
      </c>
      <c r="H1989" s="1" t="s">
        <v>10</v>
      </c>
    </row>
    <row r="1990" spans="1:8" x14ac:dyDescent="0.3">
      <c r="A1990" s="1">
        <v>718</v>
      </c>
      <c r="B1990" s="1" t="s">
        <v>1687</v>
      </c>
      <c r="C1990" s="1" t="s">
        <v>5815</v>
      </c>
      <c r="D1990" s="1" t="s">
        <v>5816</v>
      </c>
      <c r="E1990" s="1">
        <v>15990.56</v>
      </c>
      <c r="F1990" s="1" t="s">
        <v>8</v>
      </c>
      <c r="G1990" s="1" t="s">
        <v>9</v>
      </c>
      <c r="H1990" s="1" t="s">
        <v>10</v>
      </c>
    </row>
    <row r="1991" spans="1:8" x14ac:dyDescent="0.3">
      <c r="A1991" s="1">
        <v>718</v>
      </c>
      <c r="B1991" s="1" t="s">
        <v>1687</v>
      </c>
      <c r="C1991" s="1" t="s">
        <v>5817</v>
      </c>
      <c r="D1991" s="1" t="s">
        <v>5818</v>
      </c>
      <c r="E1991" s="1">
        <v>369</v>
      </c>
      <c r="F1991" s="1" t="s">
        <v>8</v>
      </c>
      <c r="G1991" s="1" t="s">
        <v>9</v>
      </c>
      <c r="H1991" s="1" t="s">
        <v>10</v>
      </c>
    </row>
    <row r="1992" spans="1:8" x14ac:dyDescent="0.3">
      <c r="A1992" s="1">
        <v>718</v>
      </c>
      <c r="B1992" s="1" t="s">
        <v>1687</v>
      </c>
      <c r="C1992" s="1" t="s">
        <v>5819</v>
      </c>
      <c r="D1992" s="1" t="s">
        <v>5820</v>
      </c>
      <c r="E1992" s="1">
        <v>8933.98</v>
      </c>
      <c r="F1992" s="1" t="s">
        <v>8</v>
      </c>
      <c r="G1992" s="1" t="s">
        <v>9</v>
      </c>
      <c r="H1992" s="1" t="s">
        <v>10</v>
      </c>
    </row>
    <row r="1993" spans="1:8" x14ac:dyDescent="0.3">
      <c r="A1993" s="1">
        <v>718</v>
      </c>
      <c r="B1993" s="1" t="s">
        <v>1687</v>
      </c>
      <c r="C1993" s="1" t="s">
        <v>5821</v>
      </c>
      <c r="D1993" s="1" t="s">
        <v>5822</v>
      </c>
      <c r="E1993" s="1">
        <v>419.8</v>
      </c>
      <c r="F1993" s="1" t="s">
        <v>8</v>
      </c>
      <c r="G1993" s="1" t="s">
        <v>9</v>
      </c>
      <c r="H1993" s="1" t="s">
        <v>10</v>
      </c>
    </row>
    <row r="1994" spans="1:8" x14ac:dyDescent="0.3">
      <c r="A1994" s="1">
        <v>718</v>
      </c>
      <c r="B1994" s="1" t="s">
        <v>1687</v>
      </c>
      <c r="C1994" s="1" t="s">
        <v>5823</v>
      </c>
      <c r="D1994" s="1" t="s">
        <v>5824</v>
      </c>
      <c r="E1994" s="1">
        <v>8495</v>
      </c>
      <c r="F1994" s="1" t="s">
        <v>8</v>
      </c>
      <c r="G1994" s="1" t="s">
        <v>9</v>
      </c>
      <c r="H1994" s="1" t="s">
        <v>10</v>
      </c>
    </row>
    <row r="1995" spans="1:8" x14ac:dyDescent="0.3">
      <c r="A1995" s="1">
        <v>718</v>
      </c>
      <c r="B1995" s="1" t="s">
        <v>1687</v>
      </c>
      <c r="C1995" s="1" t="s">
        <v>5825</v>
      </c>
      <c r="D1995" s="1" t="s">
        <v>5826</v>
      </c>
      <c r="E1995" s="1">
        <v>1794.71</v>
      </c>
      <c r="F1995" s="1" t="s">
        <v>8</v>
      </c>
      <c r="G1995" s="1" t="s">
        <v>9</v>
      </c>
      <c r="H1995" s="1" t="s">
        <v>10</v>
      </c>
    </row>
    <row r="1996" spans="1:8" x14ac:dyDescent="0.3">
      <c r="A1996" s="1">
        <v>718</v>
      </c>
      <c r="B1996" s="1" t="s">
        <v>1687</v>
      </c>
      <c r="C1996" s="1" t="s">
        <v>5827</v>
      </c>
      <c r="D1996" s="1" t="s">
        <v>5828</v>
      </c>
      <c r="E1996" s="1">
        <v>777</v>
      </c>
      <c r="F1996" s="1" t="s">
        <v>8</v>
      </c>
      <c r="G1996" s="1" t="s">
        <v>9</v>
      </c>
      <c r="H1996" s="1" t="s">
        <v>10</v>
      </c>
    </row>
    <row r="1997" spans="1:8" x14ac:dyDescent="0.3">
      <c r="A1997" s="1">
        <v>718</v>
      </c>
      <c r="B1997" s="1" t="s">
        <v>1687</v>
      </c>
      <c r="C1997" s="1" t="s">
        <v>5829</v>
      </c>
      <c r="D1997" s="1" t="s">
        <v>5830</v>
      </c>
      <c r="E1997" s="1">
        <v>15861.02</v>
      </c>
      <c r="F1997" s="1" t="s">
        <v>8</v>
      </c>
      <c r="G1997" s="1" t="s">
        <v>9</v>
      </c>
      <c r="H1997" s="1" t="s">
        <v>10</v>
      </c>
    </row>
    <row r="1998" spans="1:8" x14ac:dyDescent="0.3">
      <c r="A1998" s="1">
        <v>718</v>
      </c>
      <c r="B1998" s="1" t="s">
        <v>1687</v>
      </c>
      <c r="C1998" s="1" t="s">
        <v>5831</v>
      </c>
      <c r="D1998" s="1" t="s">
        <v>5832</v>
      </c>
      <c r="E1998" s="1">
        <v>14324.5</v>
      </c>
      <c r="F1998" s="1" t="s">
        <v>8</v>
      </c>
      <c r="G1998" s="1" t="s">
        <v>9</v>
      </c>
      <c r="H1998" s="1" t="s">
        <v>10</v>
      </c>
    </row>
    <row r="1999" spans="1:8" x14ac:dyDescent="0.3">
      <c r="A1999" s="1">
        <v>718</v>
      </c>
      <c r="B1999" s="1" t="s">
        <v>1687</v>
      </c>
      <c r="C1999" s="1" t="s">
        <v>5833</v>
      </c>
      <c r="D1999" s="1" t="s">
        <v>5834</v>
      </c>
      <c r="E1999" s="1">
        <v>2077.98</v>
      </c>
      <c r="F1999" s="1" t="s">
        <v>8</v>
      </c>
      <c r="G1999" s="1" t="s">
        <v>9</v>
      </c>
      <c r="H1999" s="1" t="s">
        <v>10</v>
      </c>
    </row>
    <row r="2000" spans="1:8" x14ac:dyDescent="0.3">
      <c r="A2000" s="1">
        <v>718</v>
      </c>
      <c r="B2000" s="1" t="s">
        <v>1687</v>
      </c>
      <c r="C2000" s="1" t="s">
        <v>5835</v>
      </c>
      <c r="D2000" s="1" t="s">
        <v>5836</v>
      </c>
      <c r="E2000" s="1">
        <v>1259.44</v>
      </c>
      <c r="F2000" s="1" t="s">
        <v>8</v>
      </c>
      <c r="G2000" s="1" t="s">
        <v>9</v>
      </c>
      <c r="H2000" s="1" t="s">
        <v>10</v>
      </c>
    </row>
    <row r="2001" spans="1:8" x14ac:dyDescent="0.3">
      <c r="A2001" s="1">
        <v>718</v>
      </c>
      <c r="B2001" s="1" t="s">
        <v>1687</v>
      </c>
      <c r="C2001" s="1" t="s">
        <v>5837</v>
      </c>
      <c r="D2001" s="1" t="s">
        <v>5838</v>
      </c>
      <c r="E2001" s="1">
        <v>4849.0600000000004</v>
      </c>
      <c r="F2001" s="1" t="s">
        <v>8</v>
      </c>
      <c r="G2001" s="1" t="s">
        <v>9</v>
      </c>
      <c r="H2001" s="1" t="s">
        <v>10</v>
      </c>
    </row>
    <row r="2002" spans="1:8" x14ac:dyDescent="0.3">
      <c r="A2002" s="1">
        <v>718</v>
      </c>
      <c r="B2002" s="1" t="s">
        <v>1687</v>
      </c>
      <c r="C2002" s="1" t="s">
        <v>5839</v>
      </c>
      <c r="D2002" s="1" t="s">
        <v>5840</v>
      </c>
      <c r="E2002" s="1">
        <v>1397.61</v>
      </c>
      <c r="F2002" s="1" t="s">
        <v>8</v>
      </c>
      <c r="G2002" s="1" t="s">
        <v>9</v>
      </c>
      <c r="H2002" s="1" t="s">
        <v>10</v>
      </c>
    </row>
    <row r="2003" spans="1:8" x14ac:dyDescent="0.3">
      <c r="A2003" s="1">
        <v>718</v>
      </c>
      <c r="B2003" s="1" t="s">
        <v>1687</v>
      </c>
      <c r="C2003" s="1" t="s">
        <v>5841</v>
      </c>
      <c r="D2003" s="1" t="s">
        <v>5842</v>
      </c>
      <c r="E2003" s="1">
        <v>5150.3900000000003</v>
      </c>
      <c r="F2003" s="1" t="s">
        <v>8</v>
      </c>
      <c r="G2003" s="1" t="s">
        <v>9</v>
      </c>
      <c r="H2003" s="1" t="s">
        <v>10</v>
      </c>
    </row>
    <row r="2004" spans="1:8" x14ac:dyDescent="0.3">
      <c r="A2004" s="1">
        <v>718</v>
      </c>
      <c r="B2004" s="1" t="s">
        <v>1687</v>
      </c>
      <c r="C2004" s="1" t="s">
        <v>5843</v>
      </c>
      <c r="D2004" s="1" t="s">
        <v>5844</v>
      </c>
      <c r="E2004" s="1">
        <v>40380</v>
      </c>
      <c r="F2004" s="1" t="s">
        <v>8</v>
      </c>
      <c r="G2004" s="1" t="s">
        <v>9</v>
      </c>
      <c r="H2004" s="1" t="s">
        <v>10</v>
      </c>
    </row>
    <row r="2005" spans="1:8" x14ac:dyDescent="0.3">
      <c r="A2005" s="1">
        <v>718</v>
      </c>
      <c r="B2005" s="1" t="s">
        <v>1687</v>
      </c>
      <c r="C2005" s="1" t="s">
        <v>5845</v>
      </c>
      <c r="D2005" s="1" t="s">
        <v>5846</v>
      </c>
      <c r="E2005" s="1">
        <v>697.1</v>
      </c>
      <c r="F2005" s="1" t="s">
        <v>8</v>
      </c>
      <c r="G2005" s="1" t="s">
        <v>9</v>
      </c>
      <c r="H2005" s="1" t="s">
        <v>10</v>
      </c>
    </row>
    <row r="2006" spans="1:8" x14ac:dyDescent="0.3">
      <c r="A2006" s="1">
        <v>718</v>
      </c>
      <c r="B2006" s="1" t="s">
        <v>1687</v>
      </c>
      <c r="C2006" s="1" t="s">
        <v>5847</v>
      </c>
      <c r="D2006" s="1" t="s">
        <v>5848</v>
      </c>
      <c r="E2006" s="1">
        <v>86</v>
      </c>
      <c r="F2006" s="1" t="s">
        <v>8</v>
      </c>
      <c r="G2006" s="1" t="s">
        <v>9</v>
      </c>
      <c r="H2006" s="1" t="s">
        <v>10</v>
      </c>
    </row>
    <row r="2007" spans="1:8" x14ac:dyDescent="0.3">
      <c r="A2007" s="1">
        <v>718</v>
      </c>
      <c r="B2007" s="1" t="s">
        <v>1687</v>
      </c>
      <c r="C2007" s="1" t="s">
        <v>5849</v>
      </c>
      <c r="D2007" s="1" t="s">
        <v>5850</v>
      </c>
      <c r="E2007" s="1">
        <v>6061.99</v>
      </c>
      <c r="F2007" s="1" t="s">
        <v>8</v>
      </c>
      <c r="G2007" s="1" t="s">
        <v>9</v>
      </c>
      <c r="H2007" s="1" t="s">
        <v>10</v>
      </c>
    </row>
    <row r="2008" spans="1:8" x14ac:dyDescent="0.3">
      <c r="A2008" s="1">
        <v>718</v>
      </c>
      <c r="B2008" s="1" t="s">
        <v>1687</v>
      </c>
      <c r="C2008" s="1" t="s">
        <v>5851</v>
      </c>
      <c r="D2008" s="1" t="s">
        <v>5852</v>
      </c>
      <c r="E2008" s="1">
        <v>1809</v>
      </c>
      <c r="F2008" s="1" t="s">
        <v>8</v>
      </c>
      <c r="G2008" s="1" t="s">
        <v>9</v>
      </c>
      <c r="H2008" s="1" t="s">
        <v>10</v>
      </c>
    </row>
    <row r="2009" spans="1:8" x14ac:dyDescent="0.3">
      <c r="A2009" s="1">
        <v>718</v>
      </c>
      <c r="B2009" s="1" t="s">
        <v>1687</v>
      </c>
      <c r="C2009" s="1" t="s">
        <v>5853</v>
      </c>
      <c r="D2009" s="1" t="s">
        <v>5854</v>
      </c>
      <c r="E2009" s="1">
        <v>2644</v>
      </c>
      <c r="F2009" s="1" t="s">
        <v>8</v>
      </c>
      <c r="G2009" s="1" t="s">
        <v>9</v>
      </c>
      <c r="H2009" s="1" t="s">
        <v>10</v>
      </c>
    </row>
    <row r="2010" spans="1:8" x14ac:dyDescent="0.3">
      <c r="A2010" s="1">
        <v>718</v>
      </c>
      <c r="B2010" s="1" t="s">
        <v>1687</v>
      </c>
      <c r="C2010" s="1" t="s">
        <v>5855</v>
      </c>
      <c r="D2010" s="1" t="s">
        <v>5856</v>
      </c>
      <c r="E2010" s="1">
        <v>2180</v>
      </c>
      <c r="F2010" s="1" t="s">
        <v>8</v>
      </c>
      <c r="G2010" s="1" t="s">
        <v>9</v>
      </c>
      <c r="H2010" s="1" t="s">
        <v>10</v>
      </c>
    </row>
    <row r="2011" spans="1:8" x14ac:dyDescent="0.3">
      <c r="A2011" s="1">
        <v>718</v>
      </c>
      <c r="B2011" s="1" t="s">
        <v>1687</v>
      </c>
      <c r="C2011" s="1" t="s">
        <v>5857</v>
      </c>
      <c r="D2011" s="1" t="s">
        <v>5858</v>
      </c>
      <c r="E2011" s="1">
        <v>19580.89</v>
      </c>
      <c r="F2011" s="1" t="s">
        <v>8</v>
      </c>
      <c r="G2011" s="1" t="s">
        <v>9</v>
      </c>
      <c r="H2011" s="1" t="s">
        <v>10</v>
      </c>
    </row>
    <row r="2012" spans="1:8" x14ac:dyDescent="0.3">
      <c r="A2012" s="1">
        <v>718</v>
      </c>
      <c r="B2012" s="1" t="s">
        <v>1687</v>
      </c>
      <c r="C2012" s="1" t="s">
        <v>5859</v>
      </c>
      <c r="D2012" s="1" t="s">
        <v>5860</v>
      </c>
      <c r="E2012" s="1">
        <v>8986.7999999999993</v>
      </c>
      <c r="F2012" s="1" t="s">
        <v>8</v>
      </c>
      <c r="G2012" s="1" t="s">
        <v>9</v>
      </c>
      <c r="H2012" s="1" t="s">
        <v>10</v>
      </c>
    </row>
    <row r="2013" spans="1:8" x14ac:dyDescent="0.3">
      <c r="A2013" s="1">
        <v>718</v>
      </c>
      <c r="B2013" s="1" t="s">
        <v>1687</v>
      </c>
      <c r="C2013" s="1" t="s">
        <v>5861</v>
      </c>
      <c r="D2013" s="1" t="s">
        <v>5862</v>
      </c>
      <c r="E2013" s="1">
        <v>332.9</v>
      </c>
      <c r="F2013" s="1" t="s">
        <v>8</v>
      </c>
      <c r="G2013" s="1" t="s">
        <v>9</v>
      </c>
      <c r="H2013" s="1" t="s">
        <v>10</v>
      </c>
    </row>
    <row r="2014" spans="1:8" x14ac:dyDescent="0.3">
      <c r="A2014" s="1">
        <v>718</v>
      </c>
      <c r="B2014" s="1" t="s">
        <v>1687</v>
      </c>
      <c r="C2014" s="1" t="s">
        <v>5863</v>
      </c>
      <c r="D2014" s="1" t="s">
        <v>5864</v>
      </c>
      <c r="E2014" s="1">
        <v>792.63</v>
      </c>
      <c r="F2014" s="1" t="s">
        <v>8</v>
      </c>
      <c r="G2014" s="1" t="s">
        <v>9</v>
      </c>
      <c r="H2014" s="1" t="s">
        <v>10</v>
      </c>
    </row>
    <row r="2015" spans="1:8" x14ac:dyDescent="0.3">
      <c r="A2015" s="1">
        <v>718</v>
      </c>
      <c r="B2015" s="1" t="s">
        <v>1687</v>
      </c>
      <c r="C2015" s="1" t="s">
        <v>5865</v>
      </c>
      <c r="D2015" s="1" t="s">
        <v>5866</v>
      </c>
      <c r="E2015" s="1">
        <v>1066.25</v>
      </c>
      <c r="F2015" s="1" t="s">
        <v>8</v>
      </c>
      <c r="G2015" s="1" t="s">
        <v>9</v>
      </c>
      <c r="H2015" s="1" t="s">
        <v>10</v>
      </c>
    </row>
    <row r="2016" spans="1:8" x14ac:dyDescent="0.3">
      <c r="A2016" s="1">
        <v>718</v>
      </c>
      <c r="B2016" s="1" t="s">
        <v>1687</v>
      </c>
      <c r="C2016" s="1" t="s">
        <v>5867</v>
      </c>
      <c r="D2016" s="1" t="s">
        <v>5868</v>
      </c>
      <c r="E2016" s="1">
        <v>393.87</v>
      </c>
      <c r="F2016" s="1" t="s">
        <v>8</v>
      </c>
      <c r="G2016" s="1" t="s">
        <v>9</v>
      </c>
      <c r="H2016" s="1" t="s">
        <v>10</v>
      </c>
    </row>
    <row r="2017" spans="1:8" x14ac:dyDescent="0.3">
      <c r="A2017" s="1">
        <v>718</v>
      </c>
      <c r="B2017" s="1" t="s">
        <v>1687</v>
      </c>
      <c r="C2017" s="1" t="s">
        <v>5869</v>
      </c>
      <c r="D2017" s="1" t="s">
        <v>5870</v>
      </c>
      <c r="E2017" s="1">
        <v>1345.31</v>
      </c>
      <c r="F2017" s="1" t="s">
        <v>8</v>
      </c>
      <c r="G2017" s="1" t="s">
        <v>9</v>
      </c>
      <c r="H2017" s="1" t="s">
        <v>10</v>
      </c>
    </row>
    <row r="2018" spans="1:8" x14ac:dyDescent="0.3">
      <c r="A2018" s="1">
        <v>718</v>
      </c>
      <c r="B2018" s="1" t="s">
        <v>1687</v>
      </c>
      <c r="C2018" s="1" t="s">
        <v>5871</v>
      </c>
      <c r="D2018" s="1" t="s">
        <v>5872</v>
      </c>
      <c r="E2018" s="1">
        <v>2626.84</v>
      </c>
      <c r="F2018" s="1" t="s">
        <v>8</v>
      </c>
      <c r="G2018" s="1" t="s">
        <v>9</v>
      </c>
      <c r="H2018" s="1" t="s">
        <v>10</v>
      </c>
    </row>
    <row r="2019" spans="1:8" x14ac:dyDescent="0.3">
      <c r="A2019" s="1">
        <v>718</v>
      </c>
      <c r="B2019" s="1" t="s">
        <v>1687</v>
      </c>
      <c r="C2019" s="1" t="s">
        <v>5873</v>
      </c>
      <c r="D2019" s="1" t="s">
        <v>5874</v>
      </c>
      <c r="E2019" s="1">
        <v>2545.6999999999998</v>
      </c>
      <c r="F2019" s="1" t="s">
        <v>8</v>
      </c>
      <c r="G2019" s="1" t="s">
        <v>9</v>
      </c>
      <c r="H2019" s="1" t="s">
        <v>10</v>
      </c>
    </row>
    <row r="2020" spans="1:8" x14ac:dyDescent="0.3">
      <c r="A2020" s="1">
        <v>718</v>
      </c>
      <c r="B2020" s="1" t="s">
        <v>1687</v>
      </c>
      <c r="C2020" s="1" t="s">
        <v>5875</v>
      </c>
      <c r="D2020" s="1" t="s">
        <v>5876</v>
      </c>
      <c r="E2020" s="1">
        <v>179.96</v>
      </c>
      <c r="F2020" s="1" t="s">
        <v>8</v>
      </c>
      <c r="G2020" s="1" t="s">
        <v>9</v>
      </c>
      <c r="H2020" s="1" t="s">
        <v>10</v>
      </c>
    </row>
    <row r="2021" spans="1:8" x14ac:dyDescent="0.3">
      <c r="A2021" s="1">
        <v>718</v>
      </c>
      <c r="B2021" s="1" t="s">
        <v>1687</v>
      </c>
      <c r="C2021" s="1" t="s">
        <v>5877</v>
      </c>
      <c r="D2021" s="1" t="s">
        <v>5878</v>
      </c>
      <c r="E2021" s="1">
        <v>2997.43</v>
      </c>
      <c r="F2021" s="1" t="s">
        <v>8</v>
      </c>
      <c r="G2021" s="1" t="s">
        <v>9</v>
      </c>
      <c r="H2021" s="1" t="s">
        <v>10</v>
      </c>
    </row>
    <row r="2022" spans="1:8" x14ac:dyDescent="0.3">
      <c r="A2022" s="1">
        <v>718</v>
      </c>
      <c r="B2022" s="1" t="s">
        <v>1687</v>
      </c>
      <c r="C2022" s="1" t="s">
        <v>5879</v>
      </c>
      <c r="D2022" s="1" t="s">
        <v>5880</v>
      </c>
      <c r="E2022" s="1">
        <v>3280</v>
      </c>
      <c r="F2022" s="1" t="s">
        <v>8</v>
      </c>
      <c r="G2022" s="1" t="s">
        <v>9</v>
      </c>
      <c r="H2022" s="1" t="s">
        <v>10</v>
      </c>
    </row>
    <row r="2023" spans="1:8" x14ac:dyDescent="0.3">
      <c r="A2023" s="1">
        <v>718</v>
      </c>
      <c r="B2023" s="1" t="s">
        <v>1687</v>
      </c>
      <c r="C2023" s="1" t="s">
        <v>5881</v>
      </c>
      <c r="D2023" s="1" t="s">
        <v>5882</v>
      </c>
      <c r="E2023" s="1">
        <v>656.34</v>
      </c>
      <c r="F2023" s="1" t="s">
        <v>8</v>
      </c>
      <c r="G2023" s="1" t="s">
        <v>9</v>
      </c>
      <c r="H2023" s="1" t="s">
        <v>10</v>
      </c>
    </row>
    <row r="2024" spans="1:8" x14ac:dyDescent="0.3">
      <c r="A2024" s="1">
        <v>718</v>
      </c>
      <c r="B2024" s="1" t="s">
        <v>1687</v>
      </c>
      <c r="C2024" s="1" t="s">
        <v>5883</v>
      </c>
      <c r="D2024" s="1" t="s">
        <v>5884</v>
      </c>
      <c r="E2024" s="1">
        <v>1238.76</v>
      </c>
      <c r="F2024" s="1" t="s">
        <v>8</v>
      </c>
      <c r="G2024" s="1" t="s">
        <v>9</v>
      </c>
      <c r="H2024" s="1" t="s">
        <v>10</v>
      </c>
    </row>
    <row r="2025" spans="1:8" x14ac:dyDescent="0.3">
      <c r="A2025" s="1">
        <v>718</v>
      </c>
      <c r="B2025" s="1" t="s">
        <v>1687</v>
      </c>
      <c r="C2025" s="1" t="s">
        <v>5885</v>
      </c>
      <c r="D2025" s="1" t="s">
        <v>5886</v>
      </c>
      <c r="E2025" s="1">
        <v>1908.2</v>
      </c>
      <c r="F2025" s="1" t="s">
        <v>8</v>
      </c>
      <c r="G2025" s="1" t="s">
        <v>9</v>
      </c>
      <c r="H2025" s="1" t="s">
        <v>10</v>
      </c>
    </row>
    <row r="2026" spans="1:8" x14ac:dyDescent="0.3">
      <c r="A2026" s="1">
        <v>718</v>
      </c>
      <c r="B2026" s="1" t="s">
        <v>1687</v>
      </c>
      <c r="C2026" s="1" t="s">
        <v>5887</v>
      </c>
      <c r="D2026" s="1" t="s">
        <v>5888</v>
      </c>
      <c r="E2026" s="1">
        <v>2031.12</v>
      </c>
      <c r="F2026" s="1" t="s">
        <v>8</v>
      </c>
      <c r="G2026" s="1" t="s">
        <v>9</v>
      </c>
      <c r="H2026" s="1" t="s">
        <v>10</v>
      </c>
    </row>
    <row r="2027" spans="1:8" x14ac:dyDescent="0.3">
      <c r="A2027" s="1">
        <v>718</v>
      </c>
      <c r="B2027" s="1" t="s">
        <v>1687</v>
      </c>
      <c r="C2027" s="1" t="s">
        <v>5889</v>
      </c>
      <c r="D2027" s="1" t="s">
        <v>5890</v>
      </c>
      <c r="E2027" s="1">
        <v>5913.66</v>
      </c>
      <c r="F2027" s="1" t="s">
        <v>8</v>
      </c>
      <c r="G2027" s="1" t="s">
        <v>9</v>
      </c>
      <c r="H2027" s="1" t="s">
        <v>10</v>
      </c>
    </row>
    <row r="2028" spans="1:8" x14ac:dyDescent="0.3">
      <c r="A2028" s="1">
        <v>718</v>
      </c>
      <c r="B2028" s="1" t="s">
        <v>1687</v>
      </c>
      <c r="C2028" s="1" t="s">
        <v>5891</v>
      </c>
      <c r="D2028" s="1" t="s">
        <v>5892</v>
      </c>
      <c r="E2028" s="1">
        <v>9633.75</v>
      </c>
      <c r="F2028" s="1" t="s">
        <v>8</v>
      </c>
      <c r="G2028" s="1" t="s">
        <v>9</v>
      </c>
      <c r="H2028" s="1" t="s">
        <v>10</v>
      </c>
    </row>
    <row r="2029" spans="1:8" x14ac:dyDescent="0.3">
      <c r="A2029" s="1">
        <v>718</v>
      </c>
      <c r="B2029" s="1" t="s">
        <v>1687</v>
      </c>
      <c r="C2029" s="1" t="s">
        <v>5893</v>
      </c>
      <c r="D2029" s="1" t="s">
        <v>5894</v>
      </c>
      <c r="E2029" s="1">
        <v>4551.68</v>
      </c>
      <c r="F2029" s="1" t="s">
        <v>8</v>
      </c>
      <c r="G2029" s="1" t="s">
        <v>9</v>
      </c>
      <c r="H2029" s="1" t="s">
        <v>10</v>
      </c>
    </row>
    <row r="2030" spans="1:8" x14ac:dyDescent="0.3">
      <c r="A2030" s="1">
        <v>718</v>
      </c>
      <c r="B2030" s="1" t="s">
        <v>1687</v>
      </c>
      <c r="C2030" s="1" t="s">
        <v>5895</v>
      </c>
      <c r="D2030" s="1" t="s">
        <v>5896</v>
      </c>
      <c r="E2030" s="1">
        <v>793.92</v>
      </c>
      <c r="F2030" s="1" t="s">
        <v>8</v>
      </c>
      <c r="G2030" s="1" t="s">
        <v>9</v>
      </c>
      <c r="H2030" s="1" t="s">
        <v>10</v>
      </c>
    </row>
    <row r="2031" spans="1:8" x14ac:dyDescent="0.3">
      <c r="A2031" s="1">
        <v>718</v>
      </c>
      <c r="B2031" s="1" t="s">
        <v>1687</v>
      </c>
      <c r="C2031" s="1" t="s">
        <v>5897</v>
      </c>
      <c r="D2031" s="1" t="s">
        <v>5898</v>
      </c>
      <c r="E2031" s="1">
        <v>624</v>
      </c>
      <c r="F2031" s="1" t="s">
        <v>8</v>
      </c>
      <c r="G2031" s="1" t="s">
        <v>9</v>
      </c>
      <c r="H2031" s="1" t="s">
        <v>10</v>
      </c>
    </row>
    <row r="2032" spans="1:8" x14ac:dyDescent="0.3">
      <c r="A2032" s="1">
        <v>718</v>
      </c>
      <c r="B2032" s="1" t="s">
        <v>1687</v>
      </c>
      <c r="C2032" s="1" t="s">
        <v>5899</v>
      </c>
      <c r="D2032" s="1" t="s">
        <v>5900</v>
      </c>
      <c r="E2032" s="1">
        <v>2794.8</v>
      </c>
      <c r="F2032" s="1" t="s">
        <v>8</v>
      </c>
      <c r="G2032" s="1" t="s">
        <v>9</v>
      </c>
      <c r="H2032" s="1" t="s">
        <v>10</v>
      </c>
    </row>
    <row r="2033" spans="1:8" x14ac:dyDescent="0.3">
      <c r="A2033" s="1">
        <v>718</v>
      </c>
      <c r="B2033" s="1" t="s">
        <v>1687</v>
      </c>
      <c r="C2033" s="1" t="s">
        <v>5901</v>
      </c>
      <c r="D2033" s="1" t="s">
        <v>5902</v>
      </c>
      <c r="E2033" s="1">
        <v>1191.5999999999999</v>
      </c>
      <c r="F2033" s="1" t="s">
        <v>8</v>
      </c>
      <c r="G2033" s="1" t="s">
        <v>9</v>
      </c>
      <c r="H2033" s="1" t="s">
        <v>10</v>
      </c>
    </row>
    <row r="2034" spans="1:8" x14ac:dyDescent="0.3">
      <c r="A2034" s="1">
        <v>718</v>
      </c>
      <c r="B2034" s="1" t="s">
        <v>1687</v>
      </c>
      <c r="C2034" s="1" t="s">
        <v>5903</v>
      </c>
      <c r="D2034" s="1" t="s">
        <v>5904</v>
      </c>
      <c r="E2034" s="1">
        <v>299.77999999999997</v>
      </c>
      <c r="F2034" s="1" t="s">
        <v>8</v>
      </c>
      <c r="G2034" s="1" t="s">
        <v>9</v>
      </c>
      <c r="H2034" s="1" t="s">
        <v>10</v>
      </c>
    </row>
    <row r="2035" spans="1:8" x14ac:dyDescent="0.3">
      <c r="A2035" s="1">
        <v>718</v>
      </c>
      <c r="B2035" s="1" t="s">
        <v>1687</v>
      </c>
      <c r="C2035" s="1" t="s">
        <v>5905</v>
      </c>
      <c r="D2035" s="1" t="s">
        <v>5906</v>
      </c>
      <c r="E2035" s="1">
        <v>1805.3</v>
      </c>
      <c r="F2035" s="1" t="s">
        <v>8</v>
      </c>
      <c r="G2035" s="1" t="s">
        <v>9</v>
      </c>
      <c r="H2035" s="1" t="s">
        <v>10</v>
      </c>
    </row>
    <row r="2036" spans="1:8" x14ac:dyDescent="0.3">
      <c r="A2036" s="1">
        <v>718</v>
      </c>
      <c r="B2036" s="1" t="s">
        <v>1687</v>
      </c>
      <c r="C2036" s="1" t="s">
        <v>5907</v>
      </c>
      <c r="D2036" s="1" t="s">
        <v>5908</v>
      </c>
      <c r="E2036" s="1">
        <v>1627.44</v>
      </c>
      <c r="F2036" s="1" t="s">
        <v>8</v>
      </c>
      <c r="G2036" s="1" t="s">
        <v>9</v>
      </c>
      <c r="H2036" s="1" t="s">
        <v>10</v>
      </c>
    </row>
    <row r="2037" spans="1:8" x14ac:dyDescent="0.3">
      <c r="A2037" s="1">
        <v>718</v>
      </c>
      <c r="B2037" s="1" t="s">
        <v>1687</v>
      </c>
      <c r="C2037" s="1" t="s">
        <v>5909</v>
      </c>
      <c r="D2037" s="1" t="s">
        <v>5910</v>
      </c>
      <c r="E2037" s="1">
        <v>7483.75</v>
      </c>
      <c r="F2037" s="1" t="s">
        <v>8</v>
      </c>
      <c r="G2037" s="1" t="s">
        <v>9</v>
      </c>
      <c r="H2037" s="1" t="s">
        <v>10</v>
      </c>
    </row>
    <row r="2038" spans="1:8" x14ac:dyDescent="0.3">
      <c r="A2038" s="1">
        <v>718</v>
      </c>
      <c r="B2038" s="1" t="s">
        <v>1687</v>
      </c>
      <c r="C2038" s="1" t="s">
        <v>5911</v>
      </c>
      <c r="D2038" s="1" t="s">
        <v>5912</v>
      </c>
      <c r="E2038" s="1">
        <v>5681</v>
      </c>
      <c r="F2038" s="1" t="s">
        <v>8</v>
      </c>
      <c r="G2038" s="1" t="s">
        <v>9</v>
      </c>
      <c r="H2038" s="1" t="s">
        <v>10</v>
      </c>
    </row>
    <row r="2039" spans="1:8" x14ac:dyDescent="0.3">
      <c r="A2039" s="1">
        <v>718</v>
      </c>
      <c r="B2039" s="1" t="s">
        <v>1687</v>
      </c>
      <c r="C2039" s="1" t="s">
        <v>5913</v>
      </c>
      <c r="D2039" s="1" t="s">
        <v>5914</v>
      </c>
      <c r="E2039" s="1">
        <v>260.82</v>
      </c>
      <c r="F2039" s="1" t="s">
        <v>8</v>
      </c>
      <c r="G2039" s="1" t="s">
        <v>9</v>
      </c>
      <c r="H2039" s="1" t="s">
        <v>10</v>
      </c>
    </row>
    <row r="2040" spans="1:8" x14ac:dyDescent="0.3">
      <c r="A2040" s="1">
        <v>718</v>
      </c>
      <c r="B2040" s="1" t="s">
        <v>1687</v>
      </c>
      <c r="C2040" s="1" t="s">
        <v>5915</v>
      </c>
      <c r="D2040" s="1" t="s">
        <v>5916</v>
      </c>
      <c r="E2040" s="1">
        <v>4372.92</v>
      </c>
      <c r="F2040" s="1" t="s">
        <v>8</v>
      </c>
      <c r="G2040" s="1" t="s">
        <v>9</v>
      </c>
      <c r="H2040" s="1" t="s">
        <v>10</v>
      </c>
    </row>
    <row r="2041" spans="1:8" x14ac:dyDescent="0.3">
      <c r="A2041" s="1">
        <v>718</v>
      </c>
      <c r="B2041" s="1" t="s">
        <v>1687</v>
      </c>
      <c r="C2041" s="1" t="s">
        <v>5917</v>
      </c>
      <c r="D2041" s="1" t="s">
        <v>5918</v>
      </c>
      <c r="E2041" s="1">
        <v>7123.88</v>
      </c>
      <c r="F2041" s="1" t="s">
        <v>8</v>
      </c>
      <c r="G2041" s="1" t="s">
        <v>9</v>
      </c>
      <c r="H2041" s="1" t="s">
        <v>10</v>
      </c>
    </row>
    <row r="2042" spans="1:8" x14ac:dyDescent="0.3">
      <c r="A2042" s="1">
        <v>718</v>
      </c>
      <c r="B2042" s="1" t="s">
        <v>1687</v>
      </c>
      <c r="C2042" s="1" t="s">
        <v>5919</v>
      </c>
      <c r="D2042" s="1" t="s">
        <v>5920</v>
      </c>
      <c r="E2042" s="1">
        <v>402.12</v>
      </c>
      <c r="F2042" s="1" t="s">
        <v>8</v>
      </c>
      <c r="G2042" s="1" t="s">
        <v>9</v>
      </c>
      <c r="H2042" s="1" t="s">
        <v>10</v>
      </c>
    </row>
    <row r="2043" spans="1:8" x14ac:dyDescent="0.3">
      <c r="A2043" s="1">
        <v>718</v>
      </c>
      <c r="B2043" s="1" t="s">
        <v>1687</v>
      </c>
      <c r="C2043" s="1" t="s">
        <v>5921</v>
      </c>
      <c r="D2043" s="1" t="s">
        <v>5922</v>
      </c>
      <c r="E2043" s="1">
        <v>290.29000000000002</v>
      </c>
      <c r="F2043" s="1" t="s">
        <v>8</v>
      </c>
      <c r="G2043" s="1" t="s">
        <v>9</v>
      </c>
      <c r="H2043" s="1" t="s">
        <v>10</v>
      </c>
    </row>
    <row r="2044" spans="1:8" x14ac:dyDescent="0.3">
      <c r="A2044" s="1">
        <v>718</v>
      </c>
      <c r="B2044" s="1" t="s">
        <v>1687</v>
      </c>
      <c r="C2044" s="1" t="s">
        <v>5923</v>
      </c>
      <c r="D2044" s="1" t="s">
        <v>5924</v>
      </c>
      <c r="E2044" s="1">
        <v>1189.25</v>
      </c>
      <c r="F2044" s="1" t="s">
        <v>8</v>
      </c>
      <c r="G2044" s="1" t="s">
        <v>9</v>
      </c>
      <c r="H2044" s="1" t="s">
        <v>10</v>
      </c>
    </row>
    <row r="2045" spans="1:8" x14ac:dyDescent="0.3">
      <c r="A2045" s="1">
        <v>718</v>
      </c>
      <c r="B2045" s="1" t="s">
        <v>1687</v>
      </c>
      <c r="C2045" s="1" t="s">
        <v>5925</v>
      </c>
      <c r="D2045" s="1" t="s">
        <v>5926</v>
      </c>
      <c r="E2045" s="1">
        <v>1077.5999999999999</v>
      </c>
      <c r="F2045" s="1" t="s">
        <v>8</v>
      </c>
      <c r="G2045" s="1" t="s">
        <v>9</v>
      </c>
      <c r="H2045" s="1" t="s">
        <v>10</v>
      </c>
    </row>
    <row r="2046" spans="1:8" x14ac:dyDescent="0.3">
      <c r="A2046" s="1">
        <v>718</v>
      </c>
      <c r="B2046" s="1" t="s">
        <v>1687</v>
      </c>
      <c r="C2046" s="1" t="s">
        <v>5927</v>
      </c>
      <c r="D2046" s="1" t="s">
        <v>5928</v>
      </c>
      <c r="E2046" s="1">
        <v>16617.7</v>
      </c>
      <c r="F2046" s="1" t="s">
        <v>8</v>
      </c>
      <c r="G2046" s="1" t="s">
        <v>9</v>
      </c>
      <c r="H2046" s="1" t="s">
        <v>10</v>
      </c>
    </row>
    <row r="2047" spans="1:8" x14ac:dyDescent="0.3">
      <c r="A2047" s="1">
        <v>718</v>
      </c>
      <c r="B2047" s="1" t="s">
        <v>1687</v>
      </c>
      <c r="C2047" s="1" t="s">
        <v>5929</v>
      </c>
      <c r="D2047" s="1" t="s">
        <v>5930</v>
      </c>
      <c r="E2047" s="1">
        <v>1445</v>
      </c>
      <c r="F2047" s="1" t="s">
        <v>8</v>
      </c>
      <c r="G2047" s="1" t="s">
        <v>9</v>
      </c>
      <c r="H2047" s="1" t="s">
        <v>10</v>
      </c>
    </row>
    <row r="2048" spans="1:8" x14ac:dyDescent="0.3">
      <c r="A2048" s="1">
        <v>718</v>
      </c>
      <c r="B2048" s="1" t="s">
        <v>1687</v>
      </c>
      <c r="C2048" s="1" t="s">
        <v>5931</v>
      </c>
      <c r="D2048" s="1" t="s">
        <v>5932</v>
      </c>
      <c r="E2048" s="1">
        <v>75</v>
      </c>
      <c r="F2048" s="1" t="s">
        <v>8</v>
      </c>
      <c r="G2048" s="1" t="s">
        <v>9</v>
      </c>
      <c r="H2048" s="1" t="s">
        <v>10</v>
      </c>
    </row>
    <row r="2049" spans="1:8" x14ac:dyDescent="0.3">
      <c r="A2049" s="1">
        <v>718</v>
      </c>
      <c r="B2049" s="1" t="s">
        <v>1687</v>
      </c>
      <c r="C2049" s="1" t="s">
        <v>5933</v>
      </c>
      <c r="D2049" s="1" t="s">
        <v>5934</v>
      </c>
      <c r="E2049" s="1">
        <v>217</v>
      </c>
      <c r="F2049" s="1" t="s">
        <v>8</v>
      </c>
      <c r="G2049" s="1" t="s">
        <v>9</v>
      </c>
      <c r="H2049" s="1" t="s">
        <v>10</v>
      </c>
    </row>
    <row r="2050" spans="1:8" x14ac:dyDescent="0.3">
      <c r="A2050" s="1">
        <v>718</v>
      </c>
      <c r="B2050" s="1" t="s">
        <v>1687</v>
      </c>
      <c r="C2050" s="1" t="s">
        <v>5935</v>
      </c>
      <c r="D2050" s="1" t="s">
        <v>5936</v>
      </c>
      <c r="E2050" s="1">
        <v>824</v>
      </c>
      <c r="F2050" s="1" t="s">
        <v>8</v>
      </c>
      <c r="G2050" s="1" t="s">
        <v>9</v>
      </c>
      <c r="H2050" s="1" t="s">
        <v>10</v>
      </c>
    </row>
    <row r="2051" spans="1:8" x14ac:dyDescent="0.3">
      <c r="A2051" s="1">
        <v>718</v>
      </c>
      <c r="B2051" s="1" t="s">
        <v>1687</v>
      </c>
      <c r="C2051" s="1" t="s">
        <v>5937</v>
      </c>
      <c r="D2051" s="1" t="s">
        <v>5938</v>
      </c>
      <c r="E2051" s="1">
        <v>130.06</v>
      </c>
      <c r="F2051" s="1" t="s">
        <v>8</v>
      </c>
      <c r="G2051" s="1" t="s">
        <v>9</v>
      </c>
      <c r="H2051" s="1" t="s">
        <v>10</v>
      </c>
    </row>
    <row r="2052" spans="1:8" x14ac:dyDescent="0.3">
      <c r="A2052" s="1">
        <v>738</v>
      </c>
      <c r="B2052" s="1" t="s">
        <v>1975</v>
      </c>
      <c r="C2052" s="1" t="s">
        <v>1976</v>
      </c>
      <c r="D2052" s="1" t="s">
        <v>1977</v>
      </c>
      <c r="E2052" s="1">
        <v>237.5</v>
      </c>
      <c r="F2052" s="1" t="s">
        <v>8</v>
      </c>
      <c r="G2052" s="1" t="s">
        <v>9</v>
      </c>
      <c r="H2052" s="1" t="s">
        <v>10</v>
      </c>
    </row>
    <row r="2053" spans="1:8" x14ac:dyDescent="0.3">
      <c r="A2053" s="1">
        <v>738</v>
      </c>
      <c r="B2053" s="1" t="s">
        <v>1975</v>
      </c>
      <c r="C2053" s="1" t="s">
        <v>1978</v>
      </c>
      <c r="D2053" s="1" t="s">
        <v>1979</v>
      </c>
      <c r="E2053" s="1">
        <v>100</v>
      </c>
      <c r="F2053" s="1" t="s">
        <v>11</v>
      </c>
      <c r="G2053" s="1" t="s">
        <v>9</v>
      </c>
      <c r="H2053" s="1" t="s">
        <v>10</v>
      </c>
    </row>
    <row r="2054" spans="1:8" x14ac:dyDescent="0.3">
      <c r="A2054" s="1">
        <v>738</v>
      </c>
      <c r="B2054" s="1" t="s">
        <v>1975</v>
      </c>
      <c r="C2054" s="1" t="s">
        <v>1541</v>
      </c>
      <c r="D2054" s="1" t="s">
        <v>1980</v>
      </c>
      <c r="E2054" s="1">
        <v>100</v>
      </c>
      <c r="F2054" s="1" t="s">
        <v>11</v>
      </c>
      <c r="G2054" s="1" t="s">
        <v>9</v>
      </c>
      <c r="H2054" s="1" t="s">
        <v>10</v>
      </c>
    </row>
    <row r="2055" spans="1:8" x14ac:dyDescent="0.3">
      <c r="A2055" s="1">
        <v>738</v>
      </c>
      <c r="B2055" s="1" t="s">
        <v>1975</v>
      </c>
      <c r="C2055" s="1" t="s">
        <v>249</v>
      </c>
      <c r="D2055" s="1" t="s">
        <v>1981</v>
      </c>
      <c r="E2055" s="1">
        <v>100</v>
      </c>
      <c r="F2055" s="1" t="s">
        <v>8</v>
      </c>
      <c r="G2055" s="1" t="s">
        <v>9</v>
      </c>
      <c r="H2055" s="1" t="s">
        <v>10</v>
      </c>
    </row>
    <row r="2056" spans="1:8" x14ac:dyDescent="0.3">
      <c r="A2056" s="1">
        <v>738</v>
      </c>
      <c r="B2056" s="1" t="s">
        <v>1975</v>
      </c>
      <c r="C2056" s="1" t="s">
        <v>1982</v>
      </c>
      <c r="D2056" s="1" t="s">
        <v>1983</v>
      </c>
      <c r="E2056" s="1">
        <v>4051.84</v>
      </c>
      <c r="F2056" s="1" t="s">
        <v>8</v>
      </c>
      <c r="G2056" s="1" t="s">
        <v>9</v>
      </c>
      <c r="H2056" s="1" t="s">
        <v>10</v>
      </c>
    </row>
    <row r="2057" spans="1:8" x14ac:dyDescent="0.3">
      <c r="A2057" s="1">
        <v>738</v>
      </c>
      <c r="B2057" s="1" t="s">
        <v>1975</v>
      </c>
      <c r="C2057" s="1" t="s">
        <v>1984</v>
      </c>
      <c r="D2057" s="1" t="s">
        <v>1985</v>
      </c>
      <c r="E2057" s="1">
        <v>4051.84</v>
      </c>
      <c r="F2057" s="1" t="s">
        <v>8</v>
      </c>
      <c r="G2057" s="1" t="s">
        <v>9</v>
      </c>
      <c r="H2057" s="1" t="s">
        <v>10</v>
      </c>
    </row>
    <row r="2058" spans="1:8" x14ac:dyDescent="0.3">
      <c r="A2058" s="1">
        <v>738</v>
      </c>
      <c r="B2058" s="1" t="s">
        <v>1975</v>
      </c>
      <c r="C2058" s="1" t="s">
        <v>1986</v>
      </c>
      <c r="D2058" s="1" t="s">
        <v>1987</v>
      </c>
      <c r="E2058" s="1">
        <v>7852.94</v>
      </c>
      <c r="F2058" s="1" t="s">
        <v>8</v>
      </c>
      <c r="G2058" s="1" t="s">
        <v>13</v>
      </c>
      <c r="H2058" s="1" t="s">
        <v>10</v>
      </c>
    </row>
    <row r="2059" spans="1:8" x14ac:dyDescent="0.3">
      <c r="A2059" s="1">
        <v>738</v>
      </c>
      <c r="B2059" s="1" t="s">
        <v>1975</v>
      </c>
      <c r="C2059" s="1" t="s">
        <v>1988</v>
      </c>
      <c r="D2059" s="1" t="s">
        <v>1989</v>
      </c>
      <c r="E2059" s="1">
        <v>100</v>
      </c>
      <c r="F2059" s="1" t="s">
        <v>8</v>
      </c>
      <c r="G2059" s="1" t="s">
        <v>9</v>
      </c>
      <c r="H2059" s="1" t="s">
        <v>10</v>
      </c>
    </row>
    <row r="2060" spans="1:8" x14ac:dyDescent="0.3">
      <c r="A2060" s="1">
        <v>738</v>
      </c>
      <c r="B2060" s="1" t="s">
        <v>1975</v>
      </c>
      <c r="C2060" s="1" t="s">
        <v>1990</v>
      </c>
      <c r="D2060" s="1" t="s">
        <v>1991</v>
      </c>
      <c r="E2060" s="1">
        <v>2363.2600000000002</v>
      </c>
      <c r="F2060" s="1" t="s">
        <v>8</v>
      </c>
      <c r="G2060" s="1" t="s">
        <v>9</v>
      </c>
      <c r="H2060" s="1" t="s">
        <v>10</v>
      </c>
    </row>
    <row r="2061" spans="1:8" x14ac:dyDescent="0.3">
      <c r="A2061" s="1">
        <v>738</v>
      </c>
      <c r="B2061" s="1" t="s">
        <v>1975</v>
      </c>
      <c r="C2061" s="1" t="s">
        <v>1992</v>
      </c>
      <c r="D2061" s="1" t="s">
        <v>1993</v>
      </c>
      <c r="E2061" s="1">
        <v>18635.86</v>
      </c>
      <c r="F2061" s="1" t="s">
        <v>8</v>
      </c>
      <c r="G2061" s="1" t="s">
        <v>13</v>
      </c>
      <c r="H2061" s="1" t="s">
        <v>10</v>
      </c>
    </row>
    <row r="2062" spans="1:8" x14ac:dyDescent="0.3">
      <c r="A2062" s="1">
        <v>738</v>
      </c>
      <c r="B2062" s="1" t="s">
        <v>1975</v>
      </c>
      <c r="C2062" s="1" t="s">
        <v>1994</v>
      </c>
      <c r="D2062" s="1" t="s">
        <v>1995</v>
      </c>
      <c r="E2062" s="1">
        <v>150</v>
      </c>
      <c r="F2062" s="1" t="s">
        <v>8</v>
      </c>
      <c r="G2062" s="1" t="s">
        <v>9</v>
      </c>
      <c r="H2062" s="1" t="s">
        <v>10</v>
      </c>
    </row>
    <row r="2063" spans="1:8" x14ac:dyDescent="0.3">
      <c r="A2063" s="1">
        <v>738</v>
      </c>
      <c r="B2063" s="1" t="s">
        <v>1975</v>
      </c>
      <c r="C2063" s="1" t="s">
        <v>1996</v>
      </c>
      <c r="D2063" s="1" t="s">
        <v>1997</v>
      </c>
      <c r="E2063" s="1">
        <v>5300</v>
      </c>
      <c r="F2063" s="1" t="s">
        <v>8</v>
      </c>
      <c r="G2063" s="1" t="s">
        <v>13</v>
      </c>
      <c r="H2063" s="1" t="s">
        <v>10</v>
      </c>
    </row>
    <row r="2064" spans="1:8" x14ac:dyDescent="0.3">
      <c r="A2064" s="1">
        <v>738</v>
      </c>
      <c r="B2064" s="1" t="s">
        <v>1975</v>
      </c>
      <c r="C2064" s="1" t="s">
        <v>1998</v>
      </c>
      <c r="D2064" s="1" t="s">
        <v>1999</v>
      </c>
      <c r="E2064" s="1">
        <v>3186.48</v>
      </c>
      <c r="F2064" s="1" t="s">
        <v>8</v>
      </c>
      <c r="G2064" s="1" t="s">
        <v>9</v>
      </c>
      <c r="H2064" s="1" t="s">
        <v>10</v>
      </c>
    </row>
    <row r="2065" spans="1:8" x14ac:dyDescent="0.3">
      <c r="A2065" s="1">
        <v>738</v>
      </c>
      <c r="B2065" s="1" t="s">
        <v>1975</v>
      </c>
      <c r="C2065" s="1" t="s">
        <v>2000</v>
      </c>
      <c r="D2065" s="1" t="s">
        <v>2001</v>
      </c>
      <c r="E2065" s="1">
        <v>15</v>
      </c>
      <c r="F2065" s="1" t="s">
        <v>8</v>
      </c>
      <c r="G2065" s="1" t="s">
        <v>9</v>
      </c>
      <c r="H2065" s="1" t="s">
        <v>10</v>
      </c>
    </row>
    <row r="2066" spans="1:8" x14ac:dyDescent="0.3">
      <c r="A2066" s="1">
        <v>738</v>
      </c>
      <c r="B2066" s="1" t="s">
        <v>1975</v>
      </c>
      <c r="C2066" s="1" t="s">
        <v>2002</v>
      </c>
      <c r="D2066" s="1" t="s">
        <v>2003</v>
      </c>
      <c r="E2066" s="1">
        <v>70</v>
      </c>
      <c r="F2066" s="1" t="s">
        <v>8</v>
      </c>
      <c r="G2066" s="1" t="s">
        <v>13</v>
      </c>
      <c r="H2066" s="1" t="s">
        <v>10</v>
      </c>
    </row>
    <row r="2067" spans="1:8" x14ac:dyDescent="0.3">
      <c r="A2067" s="1">
        <v>738</v>
      </c>
      <c r="B2067" s="1" t="s">
        <v>1975</v>
      </c>
      <c r="C2067" s="1" t="s">
        <v>2004</v>
      </c>
      <c r="D2067" s="1" t="s">
        <v>2005</v>
      </c>
      <c r="E2067" s="1">
        <v>3288.49</v>
      </c>
      <c r="F2067" s="1" t="s">
        <v>8</v>
      </c>
      <c r="G2067" s="1" t="s">
        <v>13</v>
      </c>
      <c r="H2067" s="1" t="s">
        <v>10</v>
      </c>
    </row>
    <row r="2068" spans="1:8" x14ac:dyDescent="0.3">
      <c r="A2068" s="1">
        <v>738</v>
      </c>
      <c r="B2068" s="1" t="s">
        <v>1975</v>
      </c>
      <c r="C2068" s="1" t="s">
        <v>2006</v>
      </c>
      <c r="D2068" s="1" t="s">
        <v>2007</v>
      </c>
      <c r="E2068" s="1">
        <v>10</v>
      </c>
      <c r="F2068" s="1" t="s">
        <v>8</v>
      </c>
      <c r="G2068" s="1" t="s">
        <v>9</v>
      </c>
      <c r="H2068" s="1" t="s">
        <v>10</v>
      </c>
    </row>
    <row r="2069" spans="1:8" x14ac:dyDescent="0.3">
      <c r="A2069" s="1">
        <v>738</v>
      </c>
      <c r="B2069" s="1" t="s">
        <v>1975</v>
      </c>
      <c r="C2069" s="1" t="s">
        <v>2008</v>
      </c>
      <c r="D2069" s="1" t="s">
        <v>2009</v>
      </c>
      <c r="E2069" s="1">
        <v>100</v>
      </c>
      <c r="F2069" s="1" t="s">
        <v>8</v>
      </c>
      <c r="G2069" s="1" t="s">
        <v>9</v>
      </c>
      <c r="H2069" s="1" t="s">
        <v>10</v>
      </c>
    </row>
    <row r="2070" spans="1:8" x14ac:dyDescent="0.3">
      <c r="A2070" s="1">
        <v>738</v>
      </c>
      <c r="B2070" s="1" t="s">
        <v>1975</v>
      </c>
      <c r="C2070" s="1" t="s">
        <v>2010</v>
      </c>
      <c r="D2070" s="1" t="s">
        <v>2011</v>
      </c>
      <c r="E2070" s="1">
        <v>3383.18</v>
      </c>
      <c r="F2070" s="1" t="s">
        <v>8</v>
      </c>
      <c r="G2070" s="1" t="s">
        <v>9</v>
      </c>
      <c r="H2070" s="1" t="s">
        <v>10</v>
      </c>
    </row>
    <row r="2071" spans="1:8" x14ac:dyDescent="0.3">
      <c r="A2071" s="1">
        <v>738</v>
      </c>
      <c r="B2071" s="1" t="s">
        <v>1975</v>
      </c>
      <c r="C2071" s="1" t="s">
        <v>2012</v>
      </c>
      <c r="D2071" s="1" t="s">
        <v>2013</v>
      </c>
      <c r="E2071" s="1">
        <v>134000.01</v>
      </c>
      <c r="F2071" s="1" t="s">
        <v>11</v>
      </c>
      <c r="G2071" s="1" t="s">
        <v>13</v>
      </c>
      <c r="H2071" s="1" t="s">
        <v>10</v>
      </c>
    </row>
    <row r="2072" spans="1:8" x14ac:dyDescent="0.3">
      <c r="A2072" s="1">
        <v>738</v>
      </c>
      <c r="B2072" s="1" t="s">
        <v>1975</v>
      </c>
      <c r="C2072" s="1" t="s">
        <v>2014</v>
      </c>
      <c r="D2072" s="1" t="s">
        <v>2015</v>
      </c>
      <c r="E2072" s="1">
        <v>271.58</v>
      </c>
      <c r="F2072" s="1" t="s">
        <v>8</v>
      </c>
      <c r="G2072" s="1" t="s">
        <v>13</v>
      </c>
      <c r="H2072" s="1" t="s">
        <v>10</v>
      </c>
    </row>
    <row r="2073" spans="1:8" x14ac:dyDescent="0.3">
      <c r="A2073" s="1">
        <v>738</v>
      </c>
      <c r="B2073" s="1" t="s">
        <v>1975</v>
      </c>
      <c r="C2073" s="1" t="s">
        <v>2016</v>
      </c>
      <c r="D2073" s="1" t="s">
        <v>2017</v>
      </c>
      <c r="E2073" s="1">
        <v>450</v>
      </c>
      <c r="F2073" s="1" t="s">
        <v>8</v>
      </c>
      <c r="G2073" s="1" t="s">
        <v>13</v>
      </c>
      <c r="H2073" s="1" t="s">
        <v>10</v>
      </c>
    </row>
    <row r="2074" spans="1:8" x14ac:dyDescent="0.3">
      <c r="A2074" s="1">
        <v>738</v>
      </c>
      <c r="B2074" s="1" t="s">
        <v>1975</v>
      </c>
      <c r="C2074" s="1" t="s">
        <v>2018</v>
      </c>
      <c r="D2074" s="1" t="s">
        <v>2019</v>
      </c>
      <c r="E2074" s="1">
        <v>310</v>
      </c>
      <c r="F2074" s="1" t="s">
        <v>8</v>
      </c>
      <c r="G2074" s="1" t="s">
        <v>9</v>
      </c>
      <c r="H2074" s="1" t="s">
        <v>10</v>
      </c>
    </row>
    <row r="2075" spans="1:8" x14ac:dyDescent="0.3">
      <c r="A2075" s="1">
        <v>738</v>
      </c>
      <c r="B2075" s="1" t="s">
        <v>1975</v>
      </c>
      <c r="C2075" s="1" t="s">
        <v>2020</v>
      </c>
      <c r="D2075" s="1" t="s">
        <v>2021</v>
      </c>
      <c r="E2075" s="1">
        <v>100</v>
      </c>
      <c r="F2075" s="1" t="s">
        <v>8</v>
      </c>
      <c r="G2075" s="1" t="s">
        <v>9</v>
      </c>
      <c r="H2075" s="1" t="s">
        <v>10</v>
      </c>
    </row>
    <row r="2076" spans="1:8" x14ac:dyDescent="0.3">
      <c r="A2076" s="1">
        <v>738</v>
      </c>
      <c r="B2076" s="1" t="s">
        <v>1975</v>
      </c>
      <c r="C2076" s="1" t="s">
        <v>2022</v>
      </c>
      <c r="D2076" s="1" t="s">
        <v>2023</v>
      </c>
      <c r="E2076" s="1">
        <v>2624.31</v>
      </c>
      <c r="F2076" s="1" t="s">
        <v>8</v>
      </c>
      <c r="G2076" s="1" t="s">
        <v>9</v>
      </c>
      <c r="H2076" s="1" t="s">
        <v>10</v>
      </c>
    </row>
    <row r="2077" spans="1:8" x14ac:dyDescent="0.3">
      <c r="A2077" s="1">
        <v>738</v>
      </c>
      <c r="B2077" s="1" t="s">
        <v>1975</v>
      </c>
      <c r="C2077" s="1" t="s">
        <v>2024</v>
      </c>
      <c r="D2077" s="1" t="s">
        <v>2025</v>
      </c>
      <c r="E2077" s="1">
        <v>8560.25</v>
      </c>
      <c r="F2077" s="1" t="s">
        <v>8</v>
      </c>
      <c r="G2077" s="1" t="s">
        <v>13</v>
      </c>
      <c r="H2077" s="1" t="s">
        <v>10</v>
      </c>
    </row>
    <row r="2078" spans="1:8" x14ac:dyDescent="0.3">
      <c r="A2078" s="1">
        <v>738</v>
      </c>
      <c r="B2078" s="1" t="s">
        <v>1975</v>
      </c>
      <c r="C2078" s="1" t="s">
        <v>2026</v>
      </c>
      <c r="D2078" s="1" t="s">
        <v>2027</v>
      </c>
      <c r="E2078" s="1">
        <v>92000</v>
      </c>
      <c r="F2078" s="1" t="s">
        <v>8</v>
      </c>
      <c r="G2078" s="1" t="s">
        <v>13</v>
      </c>
      <c r="H2078" s="1" t="s">
        <v>10</v>
      </c>
    </row>
    <row r="2079" spans="1:8" x14ac:dyDescent="0.3">
      <c r="A2079" s="1">
        <v>738</v>
      </c>
      <c r="B2079" s="1" t="s">
        <v>1975</v>
      </c>
      <c r="C2079" s="1" t="s">
        <v>2028</v>
      </c>
      <c r="D2079" s="1" t="s">
        <v>2029</v>
      </c>
      <c r="E2079" s="1">
        <v>630</v>
      </c>
      <c r="F2079" s="1" t="s">
        <v>8</v>
      </c>
      <c r="G2079" s="1" t="s">
        <v>9</v>
      </c>
      <c r="H2079" s="1" t="s">
        <v>10</v>
      </c>
    </row>
    <row r="2080" spans="1:8" x14ac:dyDescent="0.3">
      <c r="A2080" s="1">
        <v>738</v>
      </c>
      <c r="B2080" s="1" t="s">
        <v>1975</v>
      </c>
      <c r="C2080" s="1" t="s">
        <v>2030</v>
      </c>
      <c r="D2080" s="1" t="s">
        <v>2031</v>
      </c>
      <c r="E2080" s="1">
        <v>8460</v>
      </c>
      <c r="F2080" s="1" t="s">
        <v>8</v>
      </c>
      <c r="G2080" s="1" t="s">
        <v>13</v>
      </c>
      <c r="H2080" s="1" t="s">
        <v>10</v>
      </c>
    </row>
    <row r="2081" spans="1:8" x14ac:dyDescent="0.3">
      <c r="A2081" s="1">
        <v>738</v>
      </c>
      <c r="B2081" s="1" t="s">
        <v>1975</v>
      </c>
      <c r="C2081" s="1" t="s">
        <v>2032</v>
      </c>
      <c r="D2081" s="1" t="s">
        <v>2033</v>
      </c>
      <c r="E2081" s="1">
        <v>26719.29</v>
      </c>
      <c r="F2081" s="1" t="s">
        <v>8</v>
      </c>
      <c r="G2081" s="1" t="s">
        <v>13</v>
      </c>
      <c r="H2081" s="1" t="s">
        <v>10</v>
      </c>
    </row>
    <row r="2082" spans="1:8" x14ac:dyDescent="0.3">
      <c r="A2082" s="1">
        <v>738</v>
      </c>
      <c r="B2082" s="1" t="s">
        <v>1975</v>
      </c>
      <c r="C2082" s="1" t="s">
        <v>2034</v>
      </c>
      <c r="D2082" s="1" t="s">
        <v>2035</v>
      </c>
      <c r="E2082" s="1">
        <v>20950</v>
      </c>
      <c r="F2082" s="1" t="s">
        <v>8</v>
      </c>
      <c r="G2082" s="1" t="s">
        <v>13</v>
      </c>
      <c r="H2082" s="1" t="s">
        <v>10</v>
      </c>
    </row>
    <row r="2083" spans="1:8" x14ac:dyDescent="0.3">
      <c r="A2083" s="1">
        <v>738</v>
      </c>
      <c r="B2083" s="1" t="s">
        <v>1975</v>
      </c>
      <c r="C2083" s="1" t="s">
        <v>2036</v>
      </c>
      <c r="D2083" s="1" t="s">
        <v>2037</v>
      </c>
      <c r="E2083" s="1">
        <v>4450.5</v>
      </c>
      <c r="F2083" s="1" t="s">
        <v>8</v>
      </c>
      <c r="G2083" s="1" t="s">
        <v>13</v>
      </c>
      <c r="H2083" s="1" t="s">
        <v>10</v>
      </c>
    </row>
    <row r="2084" spans="1:8" x14ac:dyDescent="0.3">
      <c r="A2084" s="1">
        <v>738</v>
      </c>
      <c r="B2084" s="1" t="s">
        <v>1975</v>
      </c>
      <c r="C2084" s="1" t="s">
        <v>2038</v>
      </c>
      <c r="D2084" s="1" t="s">
        <v>2039</v>
      </c>
      <c r="E2084" s="1">
        <v>44</v>
      </c>
      <c r="F2084" s="1" t="s">
        <v>8</v>
      </c>
      <c r="G2084" s="1" t="s">
        <v>9</v>
      </c>
      <c r="H2084" s="1" t="s">
        <v>10</v>
      </c>
    </row>
    <row r="2085" spans="1:8" x14ac:dyDescent="0.3">
      <c r="A2085" s="1">
        <v>738</v>
      </c>
      <c r="B2085" s="1" t="s">
        <v>1975</v>
      </c>
      <c r="C2085" s="1" t="s">
        <v>2040</v>
      </c>
      <c r="D2085" s="1" t="s">
        <v>2041</v>
      </c>
      <c r="E2085" s="1">
        <v>19</v>
      </c>
      <c r="F2085" s="1" t="s">
        <v>8</v>
      </c>
      <c r="G2085" s="1" t="s">
        <v>9</v>
      </c>
      <c r="H2085" s="1" t="s">
        <v>10</v>
      </c>
    </row>
    <row r="2086" spans="1:8" x14ac:dyDescent="0.3">
      <c r="A2086" s="1">
        <v>738</v>
      </c>
      <c r="B2086" s="1" t="s">
        <v>1975</v>
      </c>
      <c r="C2086" s="1" t="s">
        <v>2042</v>
      </c>
      <c r="D2086" s="1" t="s">
        <v>2043</v>
      </c>
      <c r="E2086" s="1">
        <v>134000</v>
      </c>
      <c r="F2086" s="1" t="s">
        <v>8</v>
      </c>
      <c r="G2086" s="1" t="s">
        <v>13</v>
      </c>
      <c r="H2086" s="1" t="s">
        <v>10</v>
      </c>
    </row>
    <row r="2087" spans="1:8" x14ac:dyDescent="0.3">
      <c r="A2087" s="1">
        <v>738</v>
      </c>
      <c r="B2087" s="1" t="s">
        <v>1975</v>
      </c>
      <c r="C2087" s="1" t="s">
        <v>2044</v>
      </c>
      <c r="D2087" s="1" t="s">
        <v>2045</v>
      </c>
      <c r="E2087" s="1">
        <v>20</v>
      </c>
      <c r="F2087" s="1" t="s">
        <v>8</v>
      </c>
      <c r="G2087" s="1" t="s">
        <v>9</v>
      </c>
      <c r="H2087" s="1" t="s">
        <v>10</v>
      </c>
    </row>
    <row r="2088" spans="1:8" x14ac:dyDescent="0.3">
      <c r="A2088" s="1">
        <v>738</v>
      </c>
      <c r="B2088" s="1" t="s">
        <v>1975</v>
      </c>
      <c r="C2088" s="1" t="s">
        <v>2046</v>
      </c>
      <c r="D2088" s="1" t="s">
        <v>2047</v>
      </c>
      <c r="E2088" s="1">
        <v>29</v>
      </c>
      <c r="F2088" s="1" t="s">
        <v>8</v>
      </c>
      <c r="G2088" s="1" t="s">
        <v>9</v>
      </c>
      <c r="H2088" s="1" t="s">
        <v>10</v>
      </c>
    </row>
    <row r="2089" spans="1:8" x14ac:dyDescent="0.3">
      <c r="A2089" s="1">
        <v>738</v>
      </c>
      <c r="B2089" s="1" t="s">
        <v>1975</v>
      </c>
      <c r="C2089" s="1" t="s">
        <v>2048</v>
      </c>
      <c r="D2089" s="1" t="s">
        <v>2049</v>
      </c>
      <c r="E2089" s="1">
        <v>8212.2900000000009</v>
      </c>
      <c r="F2089" s="1" t="s">
        <v>8</v>
      </c>
      <c r="G2089" s="1" t="s">
        <v>9</v>
      </c>
      <c r="H2089" s="1" t="s">
        <v>10</v>
      </c>
    </row>
    <row r="2090" spans="1:8" x14ac:dyDescent="0.3">
      <c r="A2090" s="1">
        <v>738</v>
      </c>
      <c r="B2090" s="1" t="s">
        <v>1975</v>
      </c>
      <c r="C2090" s="1" t="s">
        <v>2050</v>
      </c>
      <c r="D2090" s="1" t="s">
        <v>2051</v>
      </c>
      <c r="E2090" s="1">
        <v>8212.2900000000009</v>
      </c>
      <c r="F2090" s="1" t="s">
        <v>8</v>
      </c>
      <c r="G2090" s="1" t="s">
        <v>9</v>
      </c>
      <c r="H2090" s="1" t="s">
        <v>10</v>
      </c>
    </row>
    <row r="2091" spans="1:8" x14ac:dyDescent="0.3">
      <c r="A2091" s="1">
        <v>738</v>
      </c>
      <c r="B2091" s="1" t="s">
        <v>1975</v>
      </c>
      <c r="C2091" s="1" t="s">
        <v>2052</v>
      </c>
      <c r="D2091" s="1" t="s">
        <v>2053</v>
      </c>
      <c r="E2091" s="1">
        <v>10123.43</v>
      </c>
      <c r="F2091" s="1" t="s">
        <v>8</v>
      </c>
      <c r="G2091" s="1" t="s">
        <v>9</v>
      </c>
      <c r="H2091" s="1" t="s">
        <v>10</v>
      </c>
    </row>
    <row r="2092" spans="1:8" x14ac:dyDescent="0.3">
      <c r="A2092" s="1">
        <v>738</v>
      </c>
      <c r="B2092" s="1" t="s">
        <v>1975</v>
      </c>
      <c r="C2092" s="1" t="s">
        <v>2054</v>
      </c>
      <c r="D2092" s="1" t="s">
        <v>2055</v>
      </c>
      <c r="E2092" s="1">
        <v>10123.43</v>
      </c>
      <c r="F2092" s="1" t="s">
        <v>8</v>
      </c>
      <c r="G2092" s="1" t="s">
        <v>9</v>
      </c>
      <c r="H2092" s="1" t="s">
        <v>10</v>
      </c>
    </row>
    <row r="2093" spans="1:8" x14ac:dyDescent="0.3">
      <c r="A2093" s="1">
        <v>738</v>
      </c>
      <c r="B2093" s="1" t="s">
        <v>1975</v>
      </c>
      <c r="C2093" s="1" t="s">
        <v>5939</v>
      </c>
      <c r="D2093" s="1" t="s">
        <v>5940</v>
      </c>
      <c r="E2093" s="1">
        <v>75</v>
      </c>
      <c r="F2093" s="1" t="s">
        <v>8</v>
      </c>
      <c r="G2093" s="1" t="s">
        <v>9</v>
      </c>
      <c r="H2093" s="1" t="s">
        <v>10</v>
      </c>
    </row>
    <row r="2094" spans="1:8" x14ac:dyDescent="0.3">
      <c r="A2094" s="1">
        <v>738</v>
      </c>
      <c r="B2094" s="1" t="s">
        <v>1975</v>
      </c>
      <c r="C2094" s="1" t="s">
        <v>5941</v>
      </c>
      <c r="D2094" s="1" t="s">
        <v>5942</v>
      </c>
      <c r="E2094" s="1">
        <v>3286.02</v>
      </c>
      <c r="F2094" s="1" t="s">
        <v>8</v>
      </c>
      <c r="G2094" s="1" t="s">
        <v>9</v>
      </c>
      <c r="H2094" s="1" t="s">
        <v>10</v>
      </c>
    </row>
    <row r="2095" spans="1:8" x14ac:dyDescent="0.3">
      <c r="A2095" s="1">
        <v>738</v>
      </c>
      <c r="B2095" s="1" t="s">
        <v>1975</v>
      </c>
      <c r="C2095" s="1" t="s">
        <v>5943</v>
      </c>
      <c r="D2095" s="1" t="s">
        <v>5944</v>
      </c>
      <c r="E2095" s="1">
        <v>150</v>
      </c>
      <c r="F2095" s="1" t="s">
        <v>8</v>
      </c>
      <c r="G2095" s="1" t="s">
        <v>9</v>
      </c>
      <c r="H2095" s="1" t="s">
        <v>10</v>
      </c>
    </row>
    <row r="2096" spans="1:8" x14ac:dyDescent="0.3">
      <c r="A2096" s="1">
        <v>738</v>
      </c>
      <c r="B2096" s="1" t="s">
        <v>1975</v>
      </c>
      <c r="C2096" s="1" t="s">
        <v>5945</v>
      </c>
      <c r="D2096" s="1" t="s">
        <v>5946</v>
      </c>
      <c r="E2096" s="1">
        <v>291.60000000000002</v>
      </c>
      <c r="F2096" s="1" t="s">
        <v>8</v>
      </c>
      <c r="G2096" s="1" t="s">
        <v>9</v>
      </c>
      <c r="H2096" s="1" t="s">
        <v>10</v>
      </c>
    </row>
    <row r="2097" spans="1:8" x14ac:dyDescent="0.3">
      <c r="A2097" s="1">
        <v>738</v>
      </c>
      <c r="B2097" s="1" t="s">
        <v>1975</v>
      </c>
      <c r="C2097" s="1" t="s">
        <v>5947</v>
      </c>
      <c r="D2097" s="1" t="s">
        <v>5948</v>
      </c>
      <c r="E2097" s="1">
        <v>2583</v>
      </c>
      <c r="F2097" s="1" t="s">
        <v>8</v>
      </c>
      <c r="G2097" s="1" t="s">
        <v>9</v>
      </c>
      <c r="H2097" s="1" t="s">
        <v>10</v>
      </c>
    </row>
    <row r="2098" spans="1:8" x14ac:dyDescent="0.3">
      <c r="A2098" s="1">
        <v>738</v>
      </c>
      <c r="B2098" s="1" t="s">
        <v>1975</v>
      </c>
      <c r="C2098" s="1" t="s">
        <v>5949</v>
      </c>
      <c r="D2098" s="1" t="s">
        <v>5950</v>
      </c>
      <c r="E2098" s="1">
        <v>17702.46</v>
      </c>
      <c r="F2098" s="1" t="s">
        <v>8</v>
      </c>
      <c r="G2098" s="1" t="s">
        <v>13</v>
      </c>
      <c r="H2098" s="1" t="s">
        <v>10</v>
      </c>
    </row>
    <row r="2099" spans="1:8" x14ac:dyDescent="0.3">
      <c r="A2099" s="1">
        <v>738</v>
      </c>
      <c r="B2099" s="1" t="s">
        <v>1975</v>
      </c>
      <c r="C2099" s="1" t="s">
        <v>5951</v>
      </c>
      <c r="D2099" s="1" t="s">
        <v>5952</v>
      </c>
      <c r="E2099" s="1">
        <v>1817.37</v>
      </c>
      <c r="F2099" s="1" t="s">
        <v>8</v>
      </c>
      <c r="G2099" s="1" t="s">
        <v>9</v>
      </c>
      <c r="H2099" s="1" t="s">
        <v>10</v>
      </c>
    </row>
    <row r="2100" spans="1:8" x14ac:dyDescent="0.3">
      <c r="A2100" s="1">
        <v>738</v>
      </c>
      <c r="B2100" s="1" t="s">
        <v>1975</v>
      </c>
      <c r="C2100" s="1" t="s">
        <v>5953</v>
      </c>
      <c r="D2100" s="1" t="s">
        <v>5954</v>
      </c>
      <c r="E2100" s="1">
        <v>1029</v>
      </c>
      <c r="F2100" s="1" t="s">
        <v>8</v>
      </c>
      <c r="G2100" s="1" t="s">
        <v>13</v>
      </c>
      <c r="H2100" s="1" t="s">
        <v>10</v>
      </c>
    </row>
    <row r="2101" spans="1:8" x14ac:dyDescent="0.3">
      <c r="A2101" s="1">
        <v>768</v>
      </c>
      <c r="B2101" s="1" t="s">
        <v>2057</v>
      </c>
      <c r="C2101" s="1" t="s">
        <v>2066</v>
      </c>
      <c r="D2101" s="1" t="s">
        <v>2067</v>
      </c>
      <c r="E2101" s="1">
        <v>15715.7</v>
      </c>
      <c r="F2101" s="1" t="s">
        <v>8</v>
      </c>
      <c r="G2101" s="1" t="s">
        <v>9</v>
      </c>
      <c r="H2101" s="1" t="s">
        <v>10</v>
      </c>
    </row>
    <row r="2102" spans="1:8" x14ac:dyDescent="0.3">
      <c r="A2102" s="1">
        <v>768</v>
      </c>
      <c r="B2102" s="1" t="s">
        <v>2057</v>
      </c>
      <c r="C2102" s="1" t="s">
        <v>2060</v>
      </c>
      <c r="D2102" s="1" t="s">
        <v>2061</v>
      </c>
      <c r="E2102" s="1">
        <v>7684.14</v>
      </c>
      <c r="F2102" s="1" t="s">
        <v>8</v>
      </c>
      <c r="G2102" s="1" t="s">
        <v>9</v>
      </c>
      <c r="H2102" s="1" t="s">
        <v>10</v>
      </c>
    </row>
    <row r="2103" spans="1:8" x14ac:dyDescent="0.3">
      <c r="A2103" s="1">
        <v>768</v>
      </c>
      <c r="B2103" s="1" t="s">
        <v>2057</v>
      </c>
      <c r="C2103" s="1" t="s">
        <v>2058</v>
      </c>
      <c r="D2103" s="1" t="s">
        <v>2059</v>
      </c>
      <c r="E2103" s="1">
        <v>630</v>
      </c>
      <c r="F2103" s="1" t="s">
        <v>8</v>
      </c>
      <c r="G2103" s="1" t="s">
        <v>9</v>
      </c>
      <c r="H2103" s="1" t="s">
        <v>10</v>
      </c>
    </row>
    <row r="2104" spans="1:8" x14ac:dyDescent="0.3">
      <c r="A2104" s="1">
        <v>768</v>
      </c>
      <c r="B2104" s="1" t="s">
        <v>2057</v>
      </c>
      <c r="C2104" s="1" t="s">
        <v>2068</v>
      </c>
      <c r="D2104" s="1" t="s">
        <v>2069</v>
      </c>
      <c r="E2104" s="1">
        <v>1068</v>
      </c>
      <c r="F2104" s="1" t="s">
        <v>8</v>
      </c>
      <c r="G2104" s="1" t="s">
        <v>9</v>
      </c>
      <c r="H2104" s="1" t="s">
        <v>10</v>
      </c>
    </row>
    <row r="2105" spans="1:8" x14ac:dyDescent="0.3">
      <c r="A2105" s="1">
        <v>768</v>
      </c>
      <c r="B2105" s="1" t="s">
        <v>2057</v>
      </c>
      <c r="C2105" s="1" t="s">
        <v>2062</v>
      </c>
      <c r="D2105" s="1" t="s">
        <v>2063</v>
      </c>
      <c r="E2105" s="1">
        <v>260</v>
      </c>
      <c r="F2105" s="1" t="s">
        <v>8</v>
      </c>
      <c r="G2105" s="1" t="s">
        <v>9</v>
      </c>
      <c r="H2105" s="1" t="s">
        <v>10</v>
      </c>
    </row>
    <row r="2106" spans="1:8" x14ac:dyDescent="0.3">
      <c r="A2106" s="1">
        <v>768</v>
      </c>
      <c r="B2106" s="1" t="s">
        <v>2057</v>
      </c>
      <c r="C2106" s="1" t="s">
        <v>2064</v>
      </c>
      <c r="D2106" s="1" t="s">
        <v>2065</v>
      </c>
      <c r="E2106" s="1">
        <v>3996.91</v>
      </c>
      <c r="F2106" s="1" t="s">
        <v>8</v>
      </c>
      <c r="G2106" s="1" t="s">
        <v>9</v>
      </c>
      <c r="H2106" s="1" t="s">
        <v>10</v>
      </c>
    </row>
    <row r="2107" spans="1:8" x14ac:dyDescent="0.3">
      <c r="A2107" s="1">
        <v>768</v>
      </c>
      <c r="B2107" s="1" t="s">
        <v>2057</v>
      </c>
      <c r="C2107" s="1" t="s">
        <v>2070</v>
      </c>
      <c r="D2107" s="1" t="s">
        <v>2071</v>
      </c>
      <c r="E2107" s="1">
        <v>3100</v>
      </c>
      <c r="F2107" s="1" t="s">
        <v>8</v>
      </c>
      <c r="G2107" s="1" t="s">
        <v>9</v>
      </c>
      <c r="H2107" s="1" t="s">
        <v>10</v>
      </c>
    </row>
    <row r="2108" spans="1:8" x14ac:dyDescent="0.3">
      <c r="A2108" s="1">
        <v>768</v>
      </c>
      <c r="B2108" s="1" t="s">
        <v>2057</v>
      </c>
      <c r="C2108" s="1" t="s">
        <v>2072</v>
      </c>
      <c r="D2108" s="1" t="s">
        <v>2073</v>
      </c>
      <c r="E2108" s="1">
        <v>787.5</v>
      </c>
      <c r="F2108" s="1" t="s">
        <v>8</v>
      </c>
      <c r="G2108" s="1" t="s">
        <v>9</v>
      </c>
      <c r="H2108" s="1" t="s">
        <v>10</v>
      </c>
    </row>
    <row r="2109" spans="1:8" x14ac:dyDescent="0.3">
      <c r="A2109" s="1">
        <v>768</v>
      </c>
      <c r="B2109" s="1" t="s">
        <v>2057</v>
      </c>
      <c r="C2109" s="1" t="s">
        <v>2074</v>
      </c>
      <c r="D2109" s="1" t="s">
        <v>2075</v>
      </c>
      <c r="E2109" s="1">
        <v>129.31</v>
      </c>
      <c r="F2109" s="1" t="s">
        <v>8</v>
      </c>
      <c r="G2109" s="1" t="s">
        <v>9</v>
      </c>
      <c r="H2109" s="1" t="s">
        <v>10</v>
      </c>
    </row>
    <row r="2110" spans="1:8" x14ac:dyDescent="0.3">
      <c r="A2110" s="1">
        <v>768</v>
      </c>
      <c r="B2110" s="1" t="s">
        <v>2057</v>
      </c>
      <c r="C2110" s="1" t="s">
        <v>2076</v>
      </c>
      <c r="D2110" s="1" t="s">
        <v>2077</v>
      </c>
      <c r="E2110" s="1">
        <v>132</v>
      </c>
      <c r="F2110" s="1" t="s">
        <v>8</v>
      </c>
      <c r="G2110" s="1" t="s">
        <v>9</v>
      </c>
      <c r="H2110" s="1" t="s">
        <v>10</v>
      </c>
    </row>
    <row r="2111" spans="1:8" x14ac:dyDescent="0.3">
      <c r="A2111" s="1">
        <v>768</v>
      </c>
      <c r="B2111" s="1" t="s">
        <v>2057</v>
      </c>
      <c r="C2111" s="1" t="s">
        <v>2078</v>
      </c>
      <c r="D2111" s="1" t="s">
        <v>2079</v>
      </c>
      <c r="E2111" s="1">
        <v>4800</v>
      </c>
      <c r="F2111" s="1" t="s">
        <v>8</v>
      </c>
      <c r="G2111" s="1" t="s">
        <v>9</v>
      </c>
      <c r="H2111" s="1" t="s">
        <v>10</v>
      </c>
    </row>
    <row r="2112" spans="1:8" x14ac:dyDescent="0.3">
      <c r="A2112" s="1">
        <v>768</v>
      </c>
      <c r="B2112" s="1" t="s">
        <v>2057</v>
      </c>
      <c r="C2112" s="1" t="s">
        <v>2080</v>
      </c>
      <c r="D2112" s="1" t="s">
        <v>2081</v>
      </c>
      <c r="E2112" s="1">
        <v>131868</v>
      </c>
      <c r="F2112" s="1" t="s">
        <v>8</v>
      </c>
      <c r="G2112" s="1" t="s">
        <v>9</v>
      </c>
      <c r="H2112" s="1" t="s">
        <v>10</v>
      </c>
    </row>
    <row r="2113" spans="1:8" x14ac:dyDescent="0.3">
      <c r="A2113" s="1">
        <v>768</v>
      </c>
      <c r="B2113" s="1" t="s">
        <v>2057</v>
      </c>
      <c r="C2113" s="1" t="s">
        <v>2082</v>
      </c>
      <c r="D2113" s="1" t="s">
        <v>2083</v>
      </c>
      <c r="E2113" s="1">
        <v>1953.21</v>
      </c>
      <c r="F2113" s="1" t="s">
        <v>8</v>
      </c>
      <c r="G2113" s="1" t="s">
        <v>9</v>
      </c>
      <c r="H2113" s="1" t="s">
        <v>10</v>
      </c>
    </row>
    <row r="2114" spans="1:8" x14ac:dyDescent="0.3">
      <c r="A2114" s="1">
        <v>768</v>
      </c>
      <c r="B2114" s="1" t="s">
        <v>2057</v>
      </c>
      <c r="C2114" s="1" t="s">
        <v>2084</v>
      </c>
      <c r="D2114" s="1" t="s">
        <v>2085</v>
      </c>
      <c r="E2114" s="1">
        <v>1741.5</v>
      </c>
      <c r="F2114" s="1" t="s">
        <v>8</v>
      </c>
      <c r="G2114" s="1" t="s">
        <v>9</v>
      </c>
      <c r="H2114" s="1" t="s">
        <v>10</v>
      </c>
    </row>
    <row r="2115" spans="1:8" x14ac:dyDescent="0.3">
      <c r="A2115" s="1">
        <v>768</v>
      </c>
      <c r="B2115" s="1" t="s">
        <v>2057</v>
      </c>
      <c r="C2115" s="1" t="s">
        <v>2086</v>
      </c>
      <c r="D2115" s="1" t="s">
        <v>2087</v>
      </c>
      <c r="E2115" s="1">
        <v>1368</v>
      </c>
      <c r="F2115" s="1" t="s">
        <v>8</v>
      </c>
      <c r="G2115" s="1" t="s">
        <v>9</v>
      </c>
      <c r="H2115" s="1" t="s">
        <v>10</v>
      </c>
    </row>
    <row r="2116" spans="1:8" x14ac:dyDescent="0.3">
      <c r="A2116" s="1">
        <v>768</v>
      </c>
      <c r="B2116" s="1" t="s">
        <v>2057</v>
      </c>
      <c r="C2116" s="1" t="s">
        <v>2088</v>
      </c>
      <c r="D2116" s="1" t="s">
        <v>2089</v>
      </c>
      <c r="E2116" s="1">
        <v>737.5</v>
      </c>
      <c r="F2116" s="1" t="s">
        <v>8</v>
      </c>
      <c r="G2116" s="1" t="s">
        <v>9</v>
      </c>
      <c r="H2116" s="1" t="s">
        <v>10</v>
      </c>
    </row>
    <row r="2117" spans="1:8" x14ac:dyDescent="0.3">
      <c r="A2117" s="1">
        <v>768</v>
      </c>
      <c r="B2117" s="1" t="s">
        <v>2057</v>
      </c>
      <c r="C2117" s="1" t="s">
        <v>2090</v>
      </c>
      <c r="D2117" s="1" t="s">
        <v>2091</v>
      </c>
      <c r="E2117" s="1">
        <v>963.5</v>
      </c>
      <c r="F2117" s="1" t="s">
        <v>8</v>
      </c>
      <c r="G2117" s="1" t="s">
        <v>9</v>
      </c>
      <c r="H2117" s="1" t="s">
        <v>10</v>
      </c>
    </row>
    <row r="2118" spans="1:8" x14ac:dyDescent="0.3">
      <c r="A2118" s="1">
        <v>768</v>
      </c>
      <c r="B2118" s="1" t="s">
        <v>2057</v>
      </c>
      <c r="C2118" s="1" t="s">
        <v>2096</v>
      </c>
      <c r="D2118" s="1" t="s">
        <v>2097</v>
      </c>
      <c r="E2118" s="1">
        <v>5100</v>
      </c>
      <c r="F2118" s="1" t="s">
        <v>8</v>
      </c>
      <c r="G2118" s="1" t="s">
        <v>9</v>
      </c>
      <c r="H2118" s="1" t="s">
        <v>10</v>
      </c>
    </row>
    <row r="2119" spans="1:8" x14ac:dyDescent="0.3">
      <c r="A2119" s="1">
        <v>768</v>
      </c>
      <c r="B2119" s="1" t="s">
        <v>2057</v>
      </c>
      <c r="C2119" s="1" t="s">
        <v>2098</v>
      </c>
      <c r="D2119" s="1" t="s">
        <v>2099</v>
      </c>
      <c r="E2119" s="1">
        <v>12750</v>
      </c>
      <c r="F2119" s="1" t="s">
        <v>8</v>
      </c>
      <c r="G2119" s="1" t="s">
        <v>9</v>
      </c>
      <c r="H2119" s="1" t="s">
        <v>10</v>
      </c>
    </row>
    <row r="2120" spans="1:8" x14ac:dyDescent="0.3">
      <c r="A2120" s="1">
        <v>768</v>
      </c>
      <c r="B2120" s="1" t="s">
        <v>2057</v>
      </c>
      <c r="C2120" s="1" t="s">
        <v>2100</v>
      </c>
      <c r="D2120" s="1" t="s">
        <v>2101</v>
      </c>
      <c r="E2120" s="1">
        <v>5100</v>
      </c>
      <c r="F2120" s="1" t="s">
        <v>8</v>
      </c>
      <c r="G2120" s="1" t="s">
        <v>9</v>
      </c>
      <c r="H2120" s="1" t="s">
        <v>10</v>
      </c>
    </row>
    <row r="2121" spans="1:8" x14ac:dyDescent="0.3">
      <c r="A2121" s="1">
        <v>768</v>
      </c>
      <c r="B2121" s="1" t="s">
        <v>2057</v>
      </c>
      <c r="C2121" s="1" t="s">
        <v>2092</v>
      </c>
      <c r="D2121" s="1" t="s">
        <v>2093</v>
      </c>
      <c r="E2121" s="1">
        <v>15300</v>
      </c>
      <c r="F2121" s="1" t="s">
        <v>8</v>
      </c>
      <c r="G2121" s="1" t="s">
        <v>9</v>
      </c>
      <c r="H2121" s="1" t="s">
        <v>10</v>
      </c>
    </row>
    <row r="2122" spans="1:8" x14ac:dyDescent="0.3">
      <c r="A2122" s="1">
        <v>768</v>
      </c>
      <c r="B2122" s="1" t="s">
        <v>2057</v>
      </c>
      <c r="C2122" s="1" t="s">
        <v>2094</v>
      </c>
      <c r="D2122" s="1" t="s">
        <v>2095</v>
      </c>
      <c r="E2122" s="1">
        <v>4845</v>
      </c>
      <c r="F2122" s="1" t="s">
        <v>8</v>
      </c>
      <c r="G2122" s="1" t="s">
        <v>9</v>
      </c>
      <c r="H2122" s="1" t="s">
        <v>10</v>
      </c>
    </row>
    <row r="2123" spans="1:8" x14ac:dyDescent="0.3">
      <c r="A2123" s="1">
        <v>768</v>
      </c>
      <c r="B2123" s="1" t="s">
        <v>2057</v>
      </c>
      <c r="C2123" s="1" t="s">
        <v>5955</v>
      </c>
      <c r="D2123" s="1" t="s">
        <v>5956</v>
      </c>
      <c r="E2123" s="1">
        <v>12750</v>
      </c>
      <c r="F2123" s="1" t="s">
        <v>8</v>
      </c>
      <c r="G2123" s="1" t="s">
        <v>9</v>
      </c>
      <c r="H2123" s="1" t="s">
        <v>10</v>
      </c>
    </row>
    <row r="2124" spans="1:8" x14ac:dyDescent="0.3">
      <c r="A2124" s="1">
        <v>768</v>
      </c>
      <c r="B2124" s="1" t="s">
        <v>2057</v>
      </c>
      <c r="C2124" s="1" t="s">
        <v>2102</v>
      </c>
      <c r="D2124" s="1" t="s">
        <v>2103</v>
      </c>
      <c r="E2124" s="1">
        <v>4088.07</v>
      </c>
      <c r="F2124" s="1" t="s">
        <v>8</v>
      </c>
      <c r="G2124" s="1" t="s">
        <v>9</v>
      </c>
      <c r="H2124" s="1" t="s">
        <v>10</v>
      </c>
    </row>
    <row r="2125" spans="1:8" x14ac:dyDescent="0.3">
      <c r="A2125" s="1">
        <v>768</v>
      </c>
      <c r="B2125" s="1" t="s">
        <v>2057</v>
      </c>
      <c r="C2125" s="1" t="s">
        <v>2104</v>
      </c>
      <c r="D2125" s="1" t="s">
        <v>2105</v>
      </c>
      <c r="E2125" s="1">
        <v>721</v>
      </c>
      <c r="F2125" s="1" t="s">
        <v>8</v>
      </c>
      <c r="G2125" s="1" t="s">
        <v>9</v>
      </c>
      <c r="H2125" s="1" t="s">
        <v>10</v>
      </c>
    </row>
    <row r="2126" spans="1:8" x14ac:dyDescent="0.3">
      <c r="A2126" s="1">
        <v>768</v>
      </c>
      <c r="B2126" s="1" t="s">
        <v>2057</v>
      </c>
      <c r="C2126" s="1" t="s">
        <v>2106</v>
      </c>
      <c r="D2126" s="1" t="s">
        <v>2107</v>
      </c>
      <c r="E2126" s="1">
        <v>39602.839999999997</v>
      </c>
      <c r="F2126" s="1" t="s">
        <v>8</v>
      </c>
      <c r="G2126" s="1" t="s">
        <v>9</v>
      </c>
      <c r="H2126" s="1" t="s">
        <v>10</v>
      </c>
    </row>
    <row r="2127" spans="1:8" x14ac:dyDescent="0.3">
      <c r="A2127" s="1">
        <v>768</v>
      </c>
      <c r="B2127" s="1" t="s">
        <v>2057</v>
      </c>
      <c r="C2127" s="1" t="s">
        <v>2108</v>
      </c>
      <c r="D2127" s="1" t="s">
        <v>2109</v>
      </c>
      <c r="E2127" s="1">
        <v>6471.78</v>
      </c>
      <c r="F2127" s="1" t="s">
        <v>8</v>
      </c>
      <c r="G2127" s="1" t="s">
        <v>9</v>
      </c>
      <c r="H2127" s="1" t="s">
        <v>10</v>
      </c>
    </row>
    <row r="2128" spans="1:8" x14ac:dyDescent="0.3">
      <c r="A2128" s="1">
        <v>768</v>
      </c>
      <c r="B2128" s="1" t="s">
        <v>2057</v>
      </c>
      <c r="C2128" s="1" t="s">
        <v>384</v>
      </c>
      <c r="D2128" s="1" t="s">
        <v>2110</v>
      </c>
      <c r="E2128" s="1">
        <v>1311</v>
      </c>
      <c r="F2128" s="1" t="s">
        <v>11</v>
      </c>
      <c r="G2128" s="1" t="s">
        <v>9</v>
      </c>
      <c r="H2128" s="1" t="s">
        <v>10</v>
      </c>
    </row>
    <row r="2129" spans="1:8" x14ac:dyDescent="0.3">
      <c r="A2129" s="1">
        <v>768</v>
      </c>
      <c r="B2129" s="1" t="s">
        <v>2057</v>
      </c>
      <c r="C2129" s="1" t="s">
        <v>2111</v>
      </c>
      <c r="D2129" s="1" t="s">
        <v>2112</v>
      </c>
      <c r="E2129" s="1">
        <v>3402</v>
      </c>
      <c r="F2129" s="1" t="s">
        <v>8</v>
      </c>
      <c r="G2129" s="1" t="s">
        <v>9</v>
      </c>
      <c r="H2129" s="1" t="s">
        <v>10</v>
      </c>
    </row>
    <row r="2130" spans="1:8" x14ac:dyDescent="0.3">
      <c r="A2130" s="1">
        <v>768</v>
      </c>
      <c r="B2130" s="1" t="s">
        <v>2057</v>
      </c>
      <c r="C2130" s="1" t="s">
        <v>2113</v>
      </c>
      <c r="D2130" s="1" t="s">
        <v>2114</v>
      </c>
      <c r="E2130" s="1">
        <v>1191</v>
      </c>
      <c r="F2130" s="1" t="s">
        <v>8</v>
      </c>
      <c r="G2130" s="1" t="s">
        <v>9</v>
      </c>
      <c r="H2130" s="1" t="s">
        <v>10</v>
      </c>
    </row>
    <row r="2131" spans="1:8" x14ac:dyDescent="0.3">
      <c r="A2131" s="1">
        <v>768</v>
      </c>
      <c r="B2131" s="1" t="s">
        <v>2057</v>
      </c>
      <c r="C2131" s="1" t="s">
        <v>2115</v>
      </c>
      <c r="D2131" s="1" t="s">
        <v>2116</v>
      </c>
      <c r="E2131" s="1">
        <v>3200</v>
      </c>
      <c r="F2131" s="1" t="s">
        <v>8</v>
      </c>
      <c r="G2131" s="1" t="s">
        <v>9</v>
      </c>
      <c r="H2131" s="1" t="s">
        <v>10</v>
      </c>
    </row>
    <row r="2132" spans="1:8" x14ac:dyDescent="0.3">
      <c r="A2132" s="1">
        <v>768</v>
      </c>
      <c r="B2132" s="1" t="s">
        <v>2057</v>
      </c>
      <c r="C2132" s="1" t="s">
        <v>2117</v>
      </c>
      <c r="D2132" s="1" t="s">
        <v>2118</v>
      </c>
      <c r="E2132" s="1">
        <v>668.8</v>
      </c>
      <c r="F2132" s="1" t="s">
        <v>8</v>
      </c>
      <c r="G2132" s="1" t="s">
        <v>9</v>
      </c>
      <c r="H2132" s="1" t="s">
        <v>10</v>
      </c>
    </row>
    <row r="2133" spans="1:8" x14ac:dyDescent="0.3">
      <c r="A2133" s="1">
        <v>768</v>
      </c>
      <c r="B2133" s="1" t="s">
        <v>2057</v>
      </c>
      <c r="C2133" s="1" t="s">
        <v>2119</v>
      </c>
      <c r="D2133" s="1" t="s">
        <v>2120</v>
      </c>
      <c r="E2133" s="1">
        <v>23500</v>
      </c>
      <c r="F2133" s="1" t="s">
        <v>8</v>
      </c>
      <c r="G2133" s="1" t="s">
        <v>9</v>
      </c>
      <c r="H2133" s="1" t="s">
        <v>10</v>
      </c>
    </row>
    <row r="2134" spans="1:8" x14ac:dyDescent="0.3">
      <c r="A2134" s="1">
        <v>768</v>
      </c>
      <c r="B2134" s="1" t="s">
        <v>2057</v>
      </c>
      <c r="C2134" s="1" t="s">
        <v>2123</v>
      </c>
      <c r="D2134" s="1" t="s">
        <v>2124</v>
      </c>
      <c r="E2134" s="1">
        <v>19142.5</v>
      </c>
      <c r="F2134" s="1" t="s">
        <v>8</v>
      </c>
      <c r="G2134" s="1" t="s">
        <v>9</v>
      </c>
      <c r="H2134" s="1" t="s">
        <v>10</v>
      </c>
    </row>
    <row r="2135" spans="1:8" x14ac:dyDescent="0.3">
      <c r="A2135" s="1">
        <v>768</v>
      </c>
      <c r="B2135" s="1" t="s">
        <v>2057</v>
      </c>
      <c r="C2135" s="1" t="s">
        <v>2121</v>
      </c>
      <c r="D2135" s="1" t="s">
        <v>2122</v>
      </c>
      <c r="E2135" s="1">
        <v>2907.2</v>
      </c>
      <c r="F2135" s="1" t="s">
        <v>8</v>
      </c>
      <c r="G2135" s="1" t="s">
        <v>9</v>
      </c>
      <c r="H2135" s="1" t="s">
        <v>10</v>
      </c>
    </row>
    <row r="2136" spans="1:8" x14ac:dyDescent="0.3">
      <c r="A2136" s="1">
        <v>768</v>
      </c>
      <c r="B2136" s="1" t="s">
        <v>2057</v>
      </c>
      <c r="C2136" s="1" t="s">
        <v>2125</v>
      </c>
      <c r="D2136" s="1" t="s">
        <v>2126</v>
      </c>
      <c r="E2136" s="1">
        <v>4983</v>
      </c>
      <c r="F2136" s="1" t="s">
        <v>8</v>
      </c>
      <c r="G2136" s="1" t="s">
        <v>9</v>
      </c>
      <c r="H2136" s="1" t="s">
        <v>10</v>
      </c>
    </row>
    <row r="2137" spans="1:8" x14ac:dyDescent="0.3">
      <c r="A2137" s="1">
        <v>768</v>
      </c>
      <c r="B2137" s="1" t="s">
        <v>2057</v>
      </c>
      <c r="C2137" s="1" t="s">
        <v>2127</v>
      </c>
      <c r="D2137" s="1" t="s">
        <v>2128</v>
      </c>
      <c r="E2137" s="1">
        <v>2133</v>
      </c>
      <c r="F2137" s="1" t="s">
        <v>8</v>
      </c>
      <c r="G2137" s="1" t="s">
        <v>9</v>
      </c>
      <c r="H2137" s="1" t="s">
        <v>10</v>
      </c>
    </row>
    <row r="2138" spans="1:8" x14ac:dyDescent="0.3">
      <c r="A2138" s="1">
        <v>768</v>
      </c>
      <c r="B2138" s="1" t="s">
        <v>2057</v>
      </c>
      <c r="C2138" s="1" t="s">
        <v>2131</v>
      </c>
      <c r="D2138" s="1" t="s">
        <v>2132</v>
      </c>
      <c r="E2138" s="1">
        <v>16453</v>
      </c>
      <c r="F2138" s="1" t="s">
        <v>8</v>
      </c>
      <c r="G2138" s="1" t="s">
        <v>9</v>
      </c>
      <c r="H2138" s="1" t="s">
        <v>10</v>
      </c>
    </row>
    <row r="2139" spans="1:8" x14ac:dyDescent="0.3">
      <c r="A2139" s="1">
        <v>768</v>
      </c>
      <c r="B2139" s="1" t="s">
        <v>2057</v>
      </c>
      <c r="C2139" s="1" t="s">
        <v>2129</v>
      </c>
      <c r="D2139" s="1" t="s">
        <v>2130</v>
      </c>
      <c r="E2139" s="1">
        <v>6003</v>
      </c>
      <c r="F2139" s="1" t="s">
        <v>8</v>
      </c>
      <c r="G2139" s="1" t="s">
        <v>9</v>
      </c>
      <c r="H2139" s="1" t="s">
        <v>10</v>
      </c>
    </row>
    <row r="2140" spans="1:8" x14ac:dyDescent="0.3">
      <c r="A2140" s="1">
        <v>768</v>
      </c>
      <c r="B2140" s="1" t="s">
        <v>2057</v>
      </c>
      <c r="C2140" s="1" t="s">
        <v>2133</v>
      </c>
      <c r="D2140" s="1" t="s">
        <v>2134</v>
      </c>
      <c r="E2140" s="1">
        <v>13.74</v>
      </c>
      <c r="F2140" s="1" t="s">
        <v>8</v>
      </c>
      <c r="G2140" s="1" t="s">
        <v>9</v>
      </c>
      <c r="H2140" s="1" t="s">
        <v>10</v>
      </c>
    </row>
    <row r="2141" spans="1:8" x14ac:dyDescent="0.3">
      <c r="A2141" s="1">
        <v>768</v>
      </c>
      <c r="B2141" s="1" t="s">
        <v>2057</v>
      </c>
      <c r="C2141" s="1" t="s">
        <v>2135</v>
      </c>
      <c r="D2141" s="1" t="s">
        <v>2136</v>
      </c>
      <c r="E2141" s="1">
        <v>4491.6000000000004</v>
      </c>
      <c r="F2141" s="1" t="s">
        <v>8</v>
      </c>
      <c r="G2141" s="1" t="s">
        <v>9</v>
      </c>
      <c r="H2141" s="1" t="s">
        <v>10</v>
      </c>
    </row>
    <row r="2142" spans="1:8" x14ac:dyDescent="0.3">
      <c r="A2142" s="1">
        <v>768</v>
      </c>
      <c r="B2142" s="1" t="s">
        <v>2057</v>
      </c>
      <c r="C2142" s="1" t="s">
        <v>2137</v>
      </c>
      <c r="D2142" s="1" t="s">
        <v>2138</v>
      </c>
      <c r="E2142" s="1">
        <v>2198.48</v>
      </c>
      <c r="F2142" s="1" t="s">
        <v>8</v>
      </c>
      <c r="G2142" s="1" t="s">
        <v>9</v>
      </c>
      <c r="H2142" s="1" t="s">
        <v>10</v>
      </c>
    </row>
    <row r="2143" spans="1:8" x14ac:dyDescent="0.3">
      <c r="A2143" s="1">
        <v>768</v>
      </c>
      <c r="B2143" s="1" t="s">
        <v>2057</v>
      </c>
      <c r="C2143" s="1" t="s">
        <v>2139</v>
      </c>
      <c r="D2143" s="1" t="s">
        <v>2140</v>
      </c>
      <c r="E2143" s="1">
        <v>1819.74</v>
      </c>
      <c r="F2143" s="1" t="s">
        <v>8</v>
      </c>
      <c r="G2143" s="1" t="s">
        <v>9</v>
      </c>
      <c r="H2143" s="1" t="s">
        <v>10</v>
      </c>
    </row>
    <row r="2144" spans="1:8" x14ac:dyDescent="0.3">
      <c r="A2144" s="1">
        <v>768</v>
      </c>
      <c r="B2144" s="1" t="s">
        <v>2057</v>
      </c>
      <c r="C2144" s="1" t="s">
        <v>2141</v>
      </c>
      <c r="D2144" s="1" t="s">
        <v>2142</v>
      </c>
      <c r="E2144" s="1">
        <v>2532.06</v>
      </c>
      <c r="F2144" s="1" t="s">
        <v>8</v>
      </c>
      <c r="G2144" s="1" t="s">
        <v>9</v>
      </c>
      <c r="H2144" s="1" t="s">
        <v>10</v>
      </c>
    </row>
    <row r="2145" spans="1:8" x14ac:dyDescent="0.3">
      <c r="A2145" s="1">
        <v>768</v>
      </c>
      <c r="B2145" s="1" t="s">
        <v>2057</v>
      </c>
      <c r="C2145" s="1" t="s">
        <v>2143</v>
      </c>
      <c r="D2145" s="1" t="s">
        <v>2144</v>
      </c>
      <c r="E2145" s="1">
        <v>497.16</v>
      </c>
      <c r="F2145" s="1" t="s">
        <v>8</v>
      </c>
      <c r="G2145" s="1" t="s">
        <v>9</v>
      </c>
      <c r="H2145" s="1" t="s">
        <v>10</v>
      </c>
    </row>
    <row r="2146" spans="1:8" x14ac:dyDescent="0.3">
      <c r="A2146" s="1">
        <v>768</v>
      </c>
      <c r="B2146" s="1" t="s">
        <v>2057</v>
      </c>
      <c r="C2146" s="1" t="s">
        <v>2145</v>
      </c>
      <c r="D2146" s="1" t="s">
        <v>2146</v>
      </c>
      <c r="E2146" s="1">
        <v>4850.6000000000004</v>
      </c>
      <c r="F2146" s="1" t="s">
        <v>8</v>
      </c>
      <c r="G2146" s="1" t="s">
        <v>9</v>
      </c>
      <c r="H2146" s="1" t="s">
        <v>10</v>
      </c>
    </row>
    <row r="2147" spans="1:8" x14ac:dyDescent="0.3">
      <c r="A2147" s="1">
        <v>768</v>
      </c>
      <c r="B2147" s="1" t="s">
        <v>2057</v>
      </c>
      <c r="C2147" s="1" t="s">
        <v>2147</v>
      </c>
      <c r="D2147" s="1" t="s">
        <v>2148</v>
      </c>
      <c r="E2147" s="1">
        <v>6900</v>
      </c>
      <c r="F2147" s="1" t="s">
        <v>8</v>
      </c>
      <c r="G2147" s="1" t="s">
        <v>9</v>
      </c>
      <c r="H2147" s="1" t="s">
        <v>10</v>
      </c>
    </row>
    <row r="2148" spans="1:8" x14ac:dyDescent="0.3">
      <c r="A2148" s="1">
        <v>768</v>
      </c>
      <c r="B2148" s="1" t="s">
        <v>2057</v>
      </c>
      <c r="C2148" s="1" t="s">
        <v>2151</v>
      </c>
      <c r="D2148" s="1" t="s">
        <v>2152</v>
      </c>
      <c r="E2148" s="1">
        <v>2582.19</v>
      </c>
      <c r="F2148" s="1" t="s">
        <v>8</v>
      </c>
      <c r="G2148" s="1" t="s">
        <v>9</v>
      </c>
      <c r="H2148" s="1" t="s">
        <v>10</v>
      </c>
    </row>
    <row r="2149" spans="1:8" x14ac:dyDescent="0.3">
      <c r="A2149" s="1">
        <v>768</v>
      </c>
      <c r="B2149" s="1" t="s">
        <v>2057</v>
      </c>
      <c r="C2149" s="1" t="s">
        <v>2155</v>
      </c>
      <c r="D2149" s="1" t="s">
        <v>2156</v>
      </c>
      <c r="E2149" s="1">
        <v>9715.7999999999993</v>
      </c>
      <c r="F2149" s="1" t="s">
        <v>8</v>
      </c>
      <c r="G2149" s="1" t="s">
        <v>9</v>
      </c>
      <c r="H2149" s="1" t="s">
        <v>10</v>
      </c>
    </row>
    <row r="2150" spans="1:8" x14ac:dyDescent="0.3">
      <c r="A2150" s="1">
        <v>768</v>
      </c>
      <c r="B2150" s="1" t="s">
        <v>2057</v>
      </c>
      <c r="C2150" s="1" t="s">
        <v>2149</v>
      </c>
      <c r="D2150" s="1" t="s">
        <v>2150</v>
      </c>
      <c r="E2150" s="1">
        <v>4660.3</v>
      </c>
      <c r="F2150" s="1" t="s">
        <v>8</v>
      </c>
      <c r="G2150" s="1" t="s">
        <v>9</v>
      </c>
      <c r="H2150" s="1" t="s">
        <v>10</v>
      </c>
    </row>
    <row r="2151" spans="1:8" x14ac:dyDescent="0.3">
      <c r="A2151" s="1">
        <v>768</v>
      </c>
      <c r="B2151" s="1" t="s">
        <v>2057</v>
      </c>
      <c r="C2151" s="1" t="s">
        <v>2153</v>
      </c>
      <c r="D2151" s="1" t="s">
        <v>2154</v>
      </c>
      <c r="E2151" s="1">
        <v>285</v>
      </c>
      <c r="F2151" s="1" t="s">
        <v>8</v>
      </c>
      <c r="G2151" s="1" t="s">
        <v>9</v>
      </c>
      <c r="H2151" s="1" t="s">
        <v>10</v>
      </c>
    </row>
    <row r="2152" spans="1:8" x14ac:dyDescent="0.3">
      <c r="A2152" s="1">
        <v>768</v>
      </c>
      <c r="B2152" s="1" t="s">
        <v>2057</v>
      </c>
      <c r="C2152" s="1" t="s">
        <v>2155</v>
      </c>
      <c r="D2152" s="1" t="s">
        <v>2156</v>
      </c>
      <c r="E2152" s="1">
        <v>9715.7999999999993</v>
      </c>
      <c r="F2152" s="1" t="s">
        <v>8</v>
      </c>
      <c r="G2152" s="1" t="s">
        <v>9</v>
      </c>
      <c r="H2152" s="1" t="s">
        <v>10</v>
      </c>
    </row>
    <row r="2153" spans="1:8" x14ac:dyDescent="0.3">
      <c r="A2153" s="1">
        <v>768</v>
      </c>
      <c r="B2153" s="1" t="s">
        <v>2057</v>
      </c>
      <c r="C2153" s="1" t="s">
        <v>5957</v>
      </c>
      <c r="D2153" s="1" t="s">
        <v>5958</v>
      </c>
      <c r="E2153" s="1">
        <v>3328.14</v>
      </c>
      <c r="F2153" s="1" t="s">
        <v>8</v>
      </c>
      <c r="G2153" s="1" t="s">
        <v>9</v>
      </c>
      <c r="H2153" s="1" t="s">
        <v>10</v>
      </c>
    </row>
    <row r="2154" spans="1:8" x14ac:dyDescent="0.3">
      <c r="A2154" s="1">
        <v>768</v>
      </c>
      <c r="B2154" s="1" t="s">
        <v>2057</v>
      </c>
      <c r="C2154" s="1" t="s">
        <v>2157</v>
      </c>
      <c r="D2154" s="1" t="s">
        <v>2158</v>
      </c>
      <c r="E2154" s="1">
        <v>5162.8</v>
      </c>
      <c r="F2154" s="1" t="s">
        <v>8</v>
      </c>
      <c r="G2154" s="1" t="s">
        <v>9</v>
      </c>
      <c r="H2154" s="1" t="s">
        <v>10</v>
      </c>
    </row>
    <row r="2155" spans="1:8" x14ac:dyDescent="0.3">
      <c r="A2155" s="1">
        <v>768</v>
      </c>
      <c r="B2155" s="1" t="s">
        <v>2057</v>
      </c>
      <c r="C2155" s="1" t="s">
        <v>2159</v>
      </c>
      <c r="D2155" s="1" t="s">
        <v>2160</v>
      </c>
      <c r="E2155" s="1">
        <v>14268</v>
      </c>
      <c r="F2155" s="1" t="s">
        <v>8</v>
      </c>
      <c r="G2155" s="1" t="s">
        <v>9</v>
      </c>
      <c r="H2155" s="1" t="s">
        <v>10</v>
      </c>
    </row>
    <row r="2156" spans="1:8" x14ac:dyDescent="0.3">
      <c r="A2156" s="1">
        <v>768</v>
      </c>
      <c r="B2156" s="1" t="s">
        <v>2057</v>
      </c>
      <c r="C2156" s="1" t="s">
        <v>2161</v>
      </c>
      <c r="D2156" s="1" t="s">
        <v>2162</v>
      </c>
      <c r="E2156" s="1">
        <v>3088.8</v>
      </c>
      <c r="F2156" s="1" t="s">
        <v>8</v>
      </c>
      <c r="G2156" s="1" t="s">
        <v>9</v>
      </c>
      <c r="H2156" s="1" t="s">
        <v>10</v>
      </c>
    </row>
    <row r="2157" spans="1:8" x14ac:dyDescent="0.3">
      <c r="A2157" s="1">
        <v>768</v>
      </c>
      <c r="B2157" s="1" t="s">
        <v>2057</v>
      </c>
      <c r="C2157" s="1" t="s">
        <v>2163</v>
      </c>
      <c r="D2157" s="1" t="s">
        <v>2164</v>
      </c>
      <c r="E2157" s="1">
        <v>101100</v>
      </c>
      <c r="F2157" s="1" t="s">
        <v>8</v>
      </c>
      <c r="G2157" s="1" t="s">
        <v>9</v>
      </c>
      <c r="H2157" s="1" t="s">
        <v>10</v>
      </c>
    </row>
    <row r="2158" spans="1:8" x14ac:dyDescent="0.3">
      <c r="A2158" s="1">
        <v>768</v>
      </c>
      <c r="B2158" s="1" t="s">
        <v>2057</v>
      </c>
      <c r="C2158" s="1" t="s">
        <v>2165</v>
      </c>
      <c r="D2158" s="1" t="s">
        <v>2166</v>
      </c>
      <c r="E2158" s="1">
        <v>486.84</v>
      </c>
      <c r="F2158" s="1" t="s">
        <v>8</v>
      </c>
      <c r="G2158" s="1" t="s">
        <v>9</v>
      </c>
      <c r="H2158" s="1" t="s">
        <v>10</v>
      </c>
    </row>
    <row r="2159" spans="1:8" x14ac:dyDescent="0.3">
      <c r="A2159" s="1">
        <v>768</v>
      </c>
      <c r="B2159" s="1" t="s">
        <v>2057</v>
      </c>
      <c r="C2159" s="1" t="s">
        <v>2167</v>
      </c>
      <c r="D2159" s="1" t="s">
        <v>2168</v>
      </c>
      <c r="E2159" s="1">
        <v>95677.119999999995</v>
      </c>
      <c r="F2159" s="1" t="s">
        <v>8</v>
      </c>
      <c r="G2159" s="1" t="s">
        <v>9</v>
      </c>
      <c r="H2159" s="1" t="s">
        <v>10</v>
      </c>
    </row>
    <row r="2160" spans="1:8" x14ac:dyDescent="0.3">
      <c r="A2160" s="1">
        <v>768</v>
      </c>
      <c r="B2160" s="1" t="s">
        <v>2057</v>
      </c>
      <c r="C2160" s="1" t="s">
        <v>2169</v>
      </c>
      <c r="D2160" s="1" t="s">
        <v>2170</v>
      </c>
      <c r="E2160" s="1">
        <v>1196</v>
      </c>
      <c r="F2160" s="1" t="s">
        <v>8</v>
      </c>
      <c r="G2160" s="1" t="s">
        <v>9</v>
      </c>
      <c r="H2160" s="1" t="s">
        <v>10</v>
      </c>
    </row>
    <row r="2161" spans="1:8" x14ac:dyDescent="0.3">
      <c r="A2161" s="1">
        <v>768</v>
      </c>
      <c r="B2161" s="1" t="s">
        <v>2057</v>
      </c>
      <c r="C2161" s="1" t="s">
        <v>2171</v>
      </c>
      <c r="D2161" s="1" t="s">
        <v>2172</v>
      </c>
      <c r="E2161" s="1">
        <v>2262.2399999999998</v>
      </c>
      <c r="F2161" s="1" t="s">
        <v>8</v>
      </c>
      <c r="G2161" s="1" t="s">
        <v>9</v>
      </c>
      <c r="H2161" s="1" t="s">
        <v>10</v>
      </c>
    </row>
    <row r="2162" spans="1:8" x14ac:dyDescent="0.3">
      <c r="A2162" s="1">
        <v>768</v>
      </c>
      <c r="B2162" s="1" t="s">
        <v>2057</v>
      </c>
      <c r="C2162" s="1" t="s">
        <v>2173</v>
      </c>
      <c r="D2162" s="1" t="s">
        <v>2174</v>
      </c>
      <c r="E2162" s="1">
        <v>904.8</v>
      </c>
      <c r="F2162" s="1" t="s">
        <v>8</v>
      </c>
      <c r="G2162" s="1" t="s">
        <v>9</v>
      </c>
      <c r="H2162" s="1" t="s">
        <v>10</v>
      </c>
    </row>
    <row r="2163" spans="1:8" x14ac:dyDescent="0.3">
      <c r="A2163" s="1">
        <v>768</v>
      </c>
      <c r="B2163" s="1" t="s">
        <v>2057</v>
      </c>
      <c r="C2163" s="1" t="s">
        <v>2175</v>
      </c>
      <c r="D2163" s="1" t="s">
        <v>2176</v>
      </c>
      <c r="E2163" s="1">
        <v>8670.6299999999992</v>
      </c>
      <c r="F2163" s="1" t="s">
        <v>8</v>
      </c>
      <c r="G2163" s="1" t="s">
        <v>9</v>
      </c>
      <c r="H2163" s="1" t="s">
        <v>10</v>
      </c>
    </row>
    <row r="2164" spans="1:8" x14ac:dyDescent="0.3">
      <c r="A2164" s="1">
        <v>768</v>
      </c>
      <c r="B2164" s="1" t="s">
        <v>2057</v>
      </c>
      <c r="C2164" s="1" t="s">
        <v>2177</v>
      </c>
      <c r="D2164" s="1" t="s">
        <v>2178</v>
      </c>
      <c r="E2164" s="1">
        <v>23703.040000000001</v>
      </c>
      <c r="F2164" s="1" t="s">
        <v>8</v>
      </c>
      <c r="G2164" s="1" t="s">
        <v>9</v>
      </c>
      <c r="H2164" s="1" t="s">
        <v>10</v>
      </c>
    </row>
    <row r="2165" spans="1:8" x14ac:dyDescent="0.3">
      <c r="A2165" s="1">
        <v>768</v>
      </c>
      <c r="B2165" s="1" t="s">
        <v>2057</v>
      </c>
      <c r="C2165" s="1" t="s">
        <v>2179</v>
      </c>
      <c r="D2165" s="1" t="s">
        <v>2180</v>
      </c>
      <c r="E2165" s="1">
        <v>1315.54</v>
      </c>
      <c r="F2165" s="1" t="s">
        <v>8</v>
      </c>
      <c r="G2165" s="1" t="s">
        <v>9</v>
      </c>
      <c r="H2165" s="1" t="s">
        <v>10</v>
      </c>
    </row>
    <row r="2166" spans="1:8" x14ac:dyDescent="0.3">
      <c r="A2166" s="1">
        <v>768</v>
      </c>
      <c r="B2166" s="1" t="s">
        <v>2057</v>
      </c>
      <c r="C2166" s="1" t="s">
        <v>2181</v>
      </c>
      <c r="D2166" s="1" t="s">
        <v>2182</v>
      </c>
      <c r="E2166" s="1">
        <v>542.4</v>
      </c>
      <c r="F2166" s="1" t="s">
        <v>8</v>
      </c>
      <c r="G2166" s="1" t="s">
        <v>9</v>
      </c>
      <c r="H2166" s="1" t="s">
        <v>10</v>
      </c>
    </row>
    <row r="2167" spans="1:8" x14ac:dyDescent="0.3">
      <c r="A2167" s="1">
        <v>768</v>
      </c>
      <c r="B2167" s="1" t="s">
        <v>2057</v>
      </c>
      <c r="C2167" s="1" t="s">
        <v>2183</v>
      </c>
      <c r="D2167" s="1" t="s">
        <v>2184</v>
      </c>
      <c r="E2167" s="1">
        <v>2767.23</v>
      </c>
      <c r="F2167" s="1" t="s">
        <v>8</v>
      </c>
      <c r="G2167" s="1" t="s">
        <v>9</v>
      </c>
      <c r="H2167" s="1" t="s">
        <v>10</v>
      </c>
    </row>
    <row r="2168" spans="1:8" x14ac:dyDescent="0.3">
      <c r="A2168" s="1">
        <v>768</v>
      </c>
      <c r="B2168" s="1" t="s">
        <v>2057</v>
      </c>
      <c r="C2168" s="1" t="s">
        <v>2185</v>
      </c>
      <c r="D2168" s="1" t="s">
        <v>2186</v>
      </c>
      <c r="E2168" s="1">
        <v>6102.4</v>
      </c>
      <c r="F2168" s="1" t="s">
        <v>8</v>
      </c>
      <c r="G2168" s="1" t="s">
        <v>9</v>
      </c>
      <c r="H2168" s="1" t="s">
        <v>10</v>
      </c>
    </row>
    <row r="2169" spans="1:8" x14ac:dyDescent="0.3">
      <c r="A2169" s="1">
        <v>768</v>
      </c>
      <c r="B2169" s="1" t="s">
        <v>2057</v>
      </c>
      <c r="C2169" s="1" t="s">
        <v>2187</v>
      </c>
      <c r="D2169" s="1" t="s">
        <v>2188</v>
      </c>
      <c r="E2169" s="1">
        <v>1665</v>
      </c>
      <c r="F2169" s="1" t="s">
        <v>8</v>
      </c>
      <c r="G2169" s="1" t="s">
        <v>9</v>
      </c>
      <c r="H2169" s="1" t="s">
        <v>10</v>
      </c>
    </row>
    <row r="2170" spans="1:8" x14ac:dyDescent="0.3">
      <c r="A2170" s="1">
        <v>768</v>
      </c>
      <c r="B2170" s="1" t="s">
        <v>2057</v>
      </c>
      <c r="C2170" s="1" t="s">
        <v>2189</v>
      </c>
      <c r="D2170" s="1" t="s">
        <v>2190</v>
      </c>
      <c r="E2170" s="1">
        <v>10044</v>
      </c>
      <c r="F2170" s="1" t="s">
        <v>8</v>
      </c>
      <c r="G2170" s="1" t="s">
        <v>9</v>
      </c>
      <c r="H2170" s="1" t="s">
        <v>10</v>
      </c>
    </row>
    <row r="2171" spans="1:8" x14ac:dyDescent="0.3">
      <c r="A2171" s="1">
        <v>768</v>
      </c>
      <c r="B2171" s="1" t="s">
        <v>2057</v>
      </c>
      <c r="C2171" s="1" t="s">
        <v>2191</v>
      </c>
      <c r="D2171" s="1" t="s">
        <v>2192</v>
      </c>
      <c r="E2171" s="1">
        <v>169.9</v>
      </c>
      <c r="F2171" s="1" t="s">
        <v>8</v>
      </c>
      <c r="G2171" s="1" t="s">
        <v>9</v>
      </c>
      <c r="H2171" s="1" t="s">
        <v>10</v>
      </c>
    </row>
    <row r="2172" spans="1:8" x14ac:dyDescent="0.3">
      <c r="A2172" s="1">
        <v>768</v>
      </c>
      <c r="B2172" s="1" t="s">
        <v>2057</v>
      </c>
      <c r="C2172" s="1" t="s">
        <v>2193</v>
      </c>
      <c r="D2172" s="1" t="s">
        <v>2194</v>
      </c>
      <c r="E2172" s="1">
        <v>1514.3</v>
      </c>
      <c r="F2172" s="1" t="s">
        <v>8</v>
      </c>
      <c r="G2172" s="1" t="s">
        <v>9</v>
      </c>
      <c r="H2172" s="1" t="s">
        <v>10</v>
      </c>
    </row>
    <row r="2173" spans="1:8" x14ac:dyDescent="0.3">
      <c r="A2173" s="1">
        <v>768</v>
      </c>
      <c r="B2173" s="1" t="s">
        <v>2057</v>
      </c>
      <c r="C2173" s="1" t="s">
        <v>2195</v>
      </c>
      <c r="D2173" s="1" t="s">
        <v>2196</v>
      </c>
      <c r="E2173" s="1">
        <v>1290.0999999999999</v>
      </c>
      <c r="F2173" s="1" t="s">
        <v>8</v>
      </c>
      <c r="G2173" s="1" t="s">
        <v>9</v>
      </c>
      <c r="H2173" s="1" t="s">
        <v>10</v>
      </c>
    </row>
    <row r="2174" spans="1:8" x14ac:dyDescent="0.3">
      <c r="A2174" s="1">
        <v>768</v>
      </c>
      <c r="B2174" s="1" t="s">
        <v>2057</v>
      </c>
      <c r="C2174" s="1" t="s">
        <v>2197</v>
      </c>
      <c r="D2174" s="1" t="s">
        <v>2198</v>
      </c>
      <c r="E2174" s="1">
        <v>4520.76</v>
      </c>
      <c r="F2174" s="1" t="s">
        <v>8</v>
      </c>
      <c r="G2174" s="1" t="s">
        <v>9</v>
      </c>
      <c r="H2174" s="1" t="s">
        <v>10</v>
      </c>
    </row>
    <row r="2175" spans="1:8" x14ac:dyDescent="0.3">
      <c r="A2175" s="1">
        <v>768</v>
      </c>
      <c r="B2175" s="1" t="s">
        <v>2057</v>
      </c>
      <c r="C2175" s="1" t="s">
        <v>2199</v>
      </c>
      <c r="D2175" s="1" t="s">
        <v>2200</v>
      </c>
      <c r="E2175" s="1">
        <v>1281.5999999999999</v>
      </c>
      <c r="F2175" s="1" t="s">
        <v>8</v>
      </c>
      <c r="G2175" s="1" t="s">
        <v>9</v>
      </c>
      <c r="H2175" s="1" t="s">
        <v>10</v>
      </c>
    </row>
    <row r="2176" spans="1:8" x14ac:dyDescent="0.3">
      <c r="A2176" s="1">
        <v>768</v>
      </c>
      <c r="B2176" s="1" t="s">
        <v>2057</v>
      </c>
      <c r="C2176" s="1" t="s">
        <v>2201</v>
      </c>
      <c r="D2176" s="1" t="s">
        <v>2202</v>
      </c>
      <c r="E2176" s="1">
        <v>4618</v>
      </c>
      <c r="F2176" s="1" t="s">
        <v>8</v>
      </c>
      <c r="G2176" s="1" t="s">
        <v>9</v>
      </c>
      <c r="H2176" s="1" t="s">
        <v>10</v>
      </c>
    </row>
    <row r="2177" spans="1:8" x14ac:dyDescent="0.3">
      <c r="A2177" s="1">
        <v>768</v>
      </c>
      <c r="B2177" s="1" t="s">
        <v>2057</v>
      </c>
      <c r="C2177" s="1" t="s">
        <v>2203</v>
      </c>
      <c r="D2177" s="1" t="s">
        <v>2204</v>
      </c>
      <c r="E2177" s="1">
        <v>468</v>
      </c>
      <c r="F2177" s="1" t="s">
        <v>8</v>
      </c>
      <c r="G2177" s="1" t="s">
        <v>9</v>
      </c>
      <c r="H2177" s="1" t="s">
        <v>10</v>
      </c>
    </row>
    <row r="2178" spans="1:8" x14ac:dyDescent="0.3">
      <c r="A2178" s="1">
        <v>768</v>
      </c>
      <c r="B2178" s="1" t="s">
        <v>2057</v>
      </c>
      <c r="C2178" s="1" t="s">
        <v>2205</v>
      </c>
      <c r="D2178" s="1" t="s">
        <v>2206</v>
      </c>
      <c r="E2178" s="1">
        <v>5122.4799999999996</v>
      </c>
      <c r="F2178" s="1" t="s">
        <v>8</v>
      </c>
      <c r="G2178" s="1" t="s">
        <v>9</v>
      </c>
      <c r="H2178" s="1" t="s">
        <v>10</v>
      </c>
    </row>
    <row r="2179" spans="1:8" x14ac:dyDescent="0.3">
      <c r="A2179" s="1">
        <v>768</v>
      </c>
      <c r="B2179" s="1" t="s">
        <v>2057</v>
      </c>
      <c r="C2179" s="1" t="s">
        <v>2207</v>
      </c>
      <c r="D2179" s="1" t="s">
        <v>2208</v>
      </c>
      <c r="E2179" s="1">
        <v>11882.22</v>
      </c>
      <c r="F2179" s="1" t="s">
        <v>8</v>
      </c>
      <c r="G2179" s="1" t="s">
        <v>9</v>
      </c>
      <c r="H2179" s="1" t="s">
        <v>10</v>
      </c>
    </row>
    <row r="2180" spans="1:8" x14ac:dyDescent="0.3">
      <c r="A2180" s="1">
        <v>768</v>
      </c>
      <c r="B2180" s="1" t="s">
        <v>2057</v>
      </c>
      <c r="C2180" s="1" t="s">
        <v>2211</v>
      </c>
      <c r="D2180" s="1" t="s">
        <v>2212</v>
      </c>
      <c r="E2180" s="1">
        <v>68.2</v>
      </c>
      <c r="F2180" s="1" t="s">
        <v>8</v>
      </c>
      <c r="G2180" s="1" t="s">
        <v>9</v>
      </c>
      <c r="H2180" s="1" t="s">
        <v>10</v>
      </c>
    </row>
    <row r="2181" spans="1:8" x14ac:dyDescent="0.3">
      <c r="A2181" s="1">
        <v>768</v>
      </c>
      <c r="B2181" s="1" t="s">
        <v>2057</v>
      </c>
      <c r="C2181" s="1" t="s">
        <v>2209</v>
      </c>
      <c r="D2181" s="1" t="s">
        <v>2210</v>
      </c>
      <c r="E2181" s="1">
        <v>2378.4899999999998</v>
      </c>
      <c r="F2181" s="1" t="s">
        <v>8</v>
      </c>
      <c r="G2181" s="1" t="s">
        <v>9</v>
      </c>
      <c r="H2181" s="1" t="s">
        <v>10</v>
      </c>
    </row>
    <row r="2182" spans="1:8" x14ac:dyDescent="0.3">
      <c r="A2182" s="1">
        <v>768</v>
      </c>
      <c r="B2182" s="1" t="s">
        <v>2057</v>
      </c>
      <c r="C2182" s="1" t="s">
        <v>2213</v>
      </c>
      <c r="D2182" s="1" t="s">
        <v>2214</v>
      </c>
      <c r="E2182" s="1">
        <v>686.88</v>
      </c>
      <c r="F2182" s="1" t="s">
        <v>8</v>
      </c>
      <c r="G2182" s="1" t="s">
        <v>9</v>
      </c>
      <c r="H2182" s="1" t="s">
        <v>10</v>
      </c>
    </row>
    <row r="2183" spans="1:8" x14ac:dyDescent="0.3">
      <c r="A2183" s="1">
        <v>768</v>
      </c>
      <c r="B2183" s="1" t="s">
        <v>2057</v>
      </c>
      <c r="C2183" s="1" t="s">
        <v>2215</v>
      </c>
      <c r="D2183" s="1" t="s">
        <v>2216</v>
      </c>
      <c r="E2183" s="1">
        <v>830.32</v>
      </c>
      <c r="F2183" s="1" t="s">
        <v>8</v>
      </c>
      <c r="G2183" s="1" t="s">
        <v>9</v>
      </c>
      <c r="H2183" s="1" t="s">
        <v>10</v>
      </c>
    </row>
    <row r="2184" spans="1:8" x14ac:dyDescent="0.3">
      <c r="A2184" s="1">
        <v>768</v>
      </c>
      <c r="B2184" s="1" t="s">
        <v>2057</v>
      </c>
      <c r="C2184" s="1" t="s">
        <v>2217</v>
      </c>
      <c r="D2184" s="1" t="s">
        <v>2218</v>
      </c>
      <c r="E2184" s="1">
        <v>1467.69</v>
      </c>
      <c r="F2184" s="1" t="s">
        <v>8</v>
      </c>
      <c r="G2184" s="1" t="s">
        <v>9</v>
      </c>
      <c r="H2184" s="1" t="s">
        <v>10</v>
      </c>
    </row>
    <row r="2185" spans="1:8" x14ac:dyDescent="0.3">
      <c r="A2185" s="1">
        <v>768</v>
      </c>
      <c r="B2185" s="1" t="s">
        <v>2057</v>
      </c>
      <c r="C2185" s="1" t="s">
        <v>2219</v>
      </c>
      <c r="D2185" s="1" t="s">
        <v>2220</v>
      </c>
      <c r="E2185" s="1">
        <v>26970</v>
      </c>
      <c r="F2185" s="1" t="s">
        <v>8</v>
      </c>
      <c r="G2185" s="1" t="s">
        <v>9</v>
      </c>
      <c r="H2185" s="1" t="s">
        <v>10</v>
      </c>
    </row>
    <row r="2186" spans="1:8" x14ac:dyDescent="0.3">
      <c r="A2186" s="1">
        <v>768</v>
      </c>
      <c r="B2186" s="1" t="s">
        <v>2057</v>
      </c>
      <c r="C2186" s="1" t="s">
        <v>2221</v>
      </c>
      <c r="D2186" s="1" t="s">
        <v>2222</v>
      </c>
      <c r="E2186" s="1">
        <v>270</v>
      </c>
      <c r="F2186" s="1" t="s">
        <v>8</v>
      </c>
      <c r="G2186" s="1" t="s">
        <v>9</v>
      </c>
      <c r="H2186" s="1" t="s">
        <v>10</v>
      </c>
    </row>
    <row r="2187" spans="1:8" x14ac:dyDescent="0.3">
      <c r="A2187" s="1">
        <v>768</v>
      </c>
      <c r="B2187" s="1" t="s">
        <v>2057</v>
      </c>
      <c r="C2187" s="1" t="s">
        <v>2223</v>
      </c>
      <c r="D2187" s="1" t="s">
        <v>2224</v>
      </c>
      <c r="E2187" s="1">
        <v>540.4</v>
      </c>
      <c r="F2187" s="1" t="s">
        <v>8</v>
      </c>
      <c r="G2187" s="1" t="s">
        <v>9</v>
      </c>
      <c r="H2187" s="1" t="s">
        <v>10</v>
      </c>
    </row>
    <row r="2188" spans="1:8" x14ac:dyDescent="0.3">
      <c r="A2188" s="1">
        <v>768</v>
      </c>
      <c r="B2188" s="1" t="s">
        <v>2057</v>
      </c>
      <c r="C2188" s="1" t="s">
        <v>2225</v>
      </c>
      <c r="D2188" s="1" t="s">
        <v>2226</v>
      </c>
      <c r="E2188" s="1">
        <v>2464.73</v>
      </c>
      <c r="F2188" s="1" t="s">
        <v>8</v>
      </c>
      <c r="G2188" s="1" t="s">
        <v>9</v>
      </c>
      <c r="H2188" s="1" t="s">
        <v>10</v>
      </c>
    </row>
    <row r="2189" spans="1:8" x14ac:dyDescent="0.3">
      <c r="A2189" s="1">
        <v>768</v>
      </c>
      <c r="B2189" s="1" t="s">
        <v>2057</v>
      </c>
      <c r="C2189" s="1" t="s">
        <v>2227</v>
      </c>
      <c r="D2189" s="1" t="s">
        <v>2228</v>
      </c>
      <c r="E2189" s="1">
        <v>294</v>
      </c>
      <c r="F2189" s="1" t="s">
        <v>8</v>
      </c>
      <c r="G2189" s="1" t="s">
        <v>9</v>
      </c>
      <c r="H2189" s="1" t="s">
        <v>10</v>
      </c>
    </row>
    <row r="2190" spans="1:8" x14ac:dyDescent="0.3">
      <c r="A2190" s="1">
        <v>768</v>
      </c>
      <c r="B2190" s="1" t="s">
        <v>2057</v>
      </c>
      <c r="C2190" s="1" t="s">
        <v>2229</v>
      </c>
      <c r="D2190" s="1" t="s">
        <v>2230</v>
      </c>
      <c r="E2190" s="1">
        <v>320</v>
      </c>
      <c r="F2190" s="1" t="s">
        <v>8</v>
      </c>
      <c r="G2190" s="1" t="s">
        <v>9</v>
      </c>
      <c r="H2190" s="1" t="s">
        <v>10</v>
      </c>
    </row>
    <row r="2191" spans="1:8" x14ac:dyDescent="0.3">
      <c r="A2191" s="1">
        <v>768</v>
      </c>
      <c r="B2191" s="1" t="s">
        <v>2057</v>
      </c>
      <c r="C2191" s="1" t="s">
        <v>2231</v>
      </c>
      <c r="D2191" s="1" t="s">
        <v>2232</v>
      </c>
      <c r="E2191" s="1">
        <v>1896.5</v>
      </c>
      <c r="F2191" s="1" t="s">
        <v>8</v>
      </c>
      <c r="G2191" s="1" t="s">
        <v>9</v>
      </c>
      <c r="H2191" s="1" t="s">
        <v>10</v>
      </c>
    </row>
    <row r="2192" spans="1:8" x14ac:dyDescent="0.3">
      <c r="A2192" s="1">
        <v>768</v>
      </c>
      <c r="B2192" s="1" t="s">
        <v>2057</v>
      </c>
      <c r="C2192" s="1" t="s">
        <v>2233</v>
      </c>
      <c r="D2192" s="1" t="s">
        <v>2234</v>
      </c>
      <c r="E2192" s="1">
        <v>387.34</v>
      </c>
      <c r="F2192" s="1" t="s">
        <v>8</v>
      </c>
      <c r="G2192" s="1" t="s">
        <v>9</v>
      </c>
      <c r="H2192" s="1" t="s">
        <v>10</v>
      </c>
    </row>
    <row r="2193" spans="1:8" x14ac:dyDescent="0.3">
      <c r="A2193" s="1">
        <v>768</v>
      </c>
      <c r="B2193" s="1" t="s">
        <v>2057</v>
      </c>
      <c r="C2193" s="1" t="s">
        <v>2235</v>
      </c>
      <c r="D2193" s="1" t="s">
        <v>2236</v>
      </c>
      <c r="E2193" s="1">
        <v>3914.35</v>
      </c>
      <c r="F2193" s="1" t="s">
        <v>8</v>
      </c>
      <c r="G2193" s="1" t="s">
        <v>9</v>
      </c>
      <c r="H2193" s="1" t="s">
        <v>10</v>
      </c>
    </row>
    <row r="2194" spans="1:8" x14ac:dyDescent="0.3">
      <c r="A2194" s="1">
        <v>768</v>
      </c>
      <c r="B2194" s="1" t="s">
        <v>2057</v>
      </c>
      <c r="C2194" s="1" t="s">
        <v>2237</v>
      </c>
      <c r="D2194" s="1" t="s">
        <v>2238</v>
      </c>
      <c r="E2194" s="1">
        <v>7645.26</v>
      </c>
      <c r="F2194" s="1" t="s">
        <v>8</v>
      </c>
      <c r="G2194" s="1" t="s">
        <v>9</v>
      </c>
      <c r="H2194" s="1" t="s">
        <v>10</v>
      </c>
    </row>
    <row r="2195" spans="1:8" x14ac:dyDescent="0.3">
      <c r="A2195" s="1">
        <v>768</v>
      </c>
      <c r="B2195" s="1" t="s">
        <v>2057</v>
      </c>
      <c r="C2195" s="1" t="s">
        <v>2239</v>
      </c>
      <c r="D2195" s="1" t="s">
        <v>2240</v>
      </c>
      <c r="E2195" s="1">
        <v>188030.56</v>
      </c>
      <c r="F2195" s="1" t="s">
        <v>8</v>
      </c>
      <c r="G2195" s="1" t="s">
        <v>9</v>
      </c>
      <c r="H2195" s="1" t="s">
        <v>10</v>
      </c>
    </row>
    <row r="2196" spans="1:8" x14ac:dyDescent="0.3">
      <c r="A2196" s="1">
        <v>768</v>
      </c>
      <c r="B2196" s="1" t="s">
        <v>2057</v>
      </c>
      <c r="C2196" s="1" t="s">
        <v>2241</v>
      </c>
      <c r="D2196" s="1" t="s">
        <v>2242</v>
      </c>
      <c r="E2196" s="1">
        <v>188030.56</v>
      </c>
      <c r="F2196" s="1" t="s">
        <v>8</v>
      </c>
      <c r="G2196" s="1" t="s">
        <v>9</v>
      </c>
      <c r="H2196" s="1" t="s">
        <v>10</v>
      </c>
    </row>
    <row r="2197" spans="1:8" x14ac:dyDescent="0.3">
      <c r="A2197" s="1">
        <v>768</v>
      </c>
      <c r="B2197" s="1" t="s">
        <v>2057</v>
      </c>
      <c r="C2197" s="1" t="s">
        <v>2243</v>
      </c>
      <c r="D2197" s="1" t="s">
        <v>2244</v>
      </c>
      <c r="E2197" s="1">
        <v>1101.67</v>
      </c>
      <c r="F2197" s="1" t="s">
        <v>8</v>
      </c>
      <c r="G2197" s="1" t="s">
        <v>9</v>
      </c>
      <c r="H2197" s="1" t="s">
        <v>10</v>
      </c>
    </row>
    <row r="2198" spans="1:8" x14ac:dyDescent="0.3">
      <c r="A2198" s="1">
        <v>768</v>
      </c>
      <c r="B2198" s="1" t="s">
        <v>2057</v>
      </c>
      <c r="C2198" s="1" t="s">
        <v>2245</v>
      </c>
      <c r="D2198" s="1" t="s">
        <v>2246</v>
      </c>
      <c r="E2198" s="1">
        <v>449.5</v>
      </c>
      <c r="F2198" s="1" t="s">
        <v>8</v>
      </c>
      <c r="G2198" s="1" t="s">
        <v>9</v>
      </c>
      <c r="H2198" s="1" t="s">
        <v>10</v>
      </c>
    </row>
    <row r="2199" spans="1:8" x14ac:dyDescent="0.3">
      <c r="A2199" s="1">
        <v>768</v>
      </c>
      <c r="B2199" s="1" t="s">
        <v>2057</v>
      </c>
      <c r="C2199" s="1" t="s">
        <v>2247</v>
      </c>
      <c r="D2199" s="1" t="s">
        <v>2248</v>
      </c>
      <c r="E2199" s="1">
        <v>7000</v>
      </c>
      <c r="F2199" s="1" t="s">
        <v>8</v>
      </c>
      <c r="G2199" s="1" t="s">
        <v>9</v>
      </c>
      <c r="H2199" s="1" t="s">
        <v>10</v>
      </c>
    </row>
    <row r="2200" spans="1:8" x14ac:dyDescent="0.3">
      <c r="A2200" s="1">
        <v>768</v>
      </c>
      <c r="B2200" s="1" t="s">
        <v>2057</v>
      </c>
      <c r="C2200" s="1" t="s">
        <v>2249</v>
      </c>
      <c r="D2200" s="1" t="s">
        <v>2250</v>
      </c>
      <c r="E2200" s="1">
        <v>1440</v>
      </c>
      <c r="F2200" s="1" t="s">
        <v>8</v>
      </c>
      <c r="G2200" s="1" t="s">
        <v>9</v>
      </c>
      <c r="H2200" s="1" t="s">
        <v>10</v>
      </c>
    </row>
    <row r="2201" spans="1:8" x14ac:dyDescent="0.3">
      <c r="A2201" s="1">
        <v>768</v>
      </c>
      <c r="B2201" s="1" t="s">
        <v>2057</v>
      </c>
      <c r="C2201" s="1" t="s">
        <v>2251</v>
      </c>
      <c r="D2201" s="1" t="s">
        <v>2252</v>
      </c>
      <c r="E2201" s="1">
        <v>1060</v>
      </c>
      <c r="F2201" s="1" t="s">
        <v>8</v>
      </c>
      <c r="G2201" s="1" t="s">
        <v>9</v>
      </c>
      <c r="H2201" s="1" t="s">
        <v>10</v>
      </c>
    </row>
    <row r="2202" spans="1:8" x14ac:dyDescent="0.3">
      <c r="A2202" s="1">
        <v>768</v>
      </c>
      <c r="B2202" s="1" t="s">
        <v>2057</v>
      </c>
      <c r="C2202" s="1" t="s">
        <v>2253</v>
      </c>
      <c r="D2202" s="1" t="s">
        <v>2254</v>
      </c>
      <c r="E2202" s="1">
        <v>821.79</v>
      </c>
      <c r="F2202" s="1" t="s">
        <v>8</v>
      </c>
      <c r="G2202" s="1" t="s">
        <v>9</v>
      </c>
      <c r="H2202" s="1" t="s">
        <v>10</v>
      </c>
    </row>
    <row r="2203" spans="1:8" x14ac:dyDescent="0.3">
      <c r="A2203" s="1">
        <v>768</v>
      </c>
      <c r="B2203" s="1" t="s">
        <v>2057</v>
      </c>
      <c r="C2203" s="1" t="s">
        <v>2255</v>
      </c>
      <c r="D2203" s="1" t="s">
        <v>2256</v>
      </c>
      <c r="E2203" s="1">
        <v>739.3</v>
      </c>
      <c r="F2203" s="1" t="s">
        <v>8</v>
      </c>
      <c r="G2203" s="1" t="s">
        <v>9</v>
      </c>
      <c r="H2203" s="1" t="s">
        <v>10</v>
      </c>
    </row>
    <row r="2204" spans="1:8" x14ac:dyDescent="0.3">
      <c r="A2204" s="1">
        <v>768</v>
      </c>
      <c r="B2204" s="1" t="s">
        <v>2057</v>
      </c>
      <c r="C2204" s="1" t="s">
        <v>2257</v>
      </c>
      <c r="D2204" s="1" t="s">
        <v>2258</v>
      </c>
      <c r="E2204" s="1">
        <v>1556.36</v>
      </c>
      <c r="F2204" s="1" t="s">
        <v>8</v>
      </c>
      <c r="G2204" s="1" t="s">
        <v>9</v>
      </c>
      <c r="H2204" s="1" t="s">
        <v>10</v>
      </c>
    </row>
    <row r="2205" spans="1:8" x14ac:dyDescent="0.3">
      <c r="A2205" s="1">
        <v>768</v>
      </c>
      <c r="B2205" s="1" t="s">
        <v>2057</v>
      </c>
      <c r="C2205" s="1" t="s">
        <v>2259</v>
      </c>
      <c r="D2205" s="1" t="s">
        <v>2260</v>
      </c>
      <c r="E2205" s="1">
        <v>787.63</v>
      </c>
      <c r="F2205" s="1" t="s">
        <v>8</v>
      </c>
      <c r="G2205" s="1" t="s">
        <v>9</v>
      </c>
      <c r="H2205" s="1" t="s">
        <v>10</v>
      </c>
    </row>
    <row r="2206" spans="1:8" x14ac:dyDescent="0.3">
      <c r="A2206" s="1">
        <v>768</v>
      </c>
      <c r="B2206" s="1" t="s">
        <v>2057</v>
      </c>
      <c r="C2206" s="1" t="s">
        <v>2261</v>
      </c>
      <c r="D2206" s="1" t="s">
        <v>2262</v>
      </c>
      <c r="E2206" s="1">
        <v>510.4</v>
      </c>
      <c r="F2206" s="1" t="s">
        <v>8</v>
      </c>
      <c r="G2206" s="1" t="s">
        <v>9</v>
      </c>
      <c r="H2206" s="1" t="s">
        <v>10</v>
      </c>
    </row>
    <row r="2207" spans="1:8" x14ac:dyDescent="0.3">
      <c r="A2207" s="1">
        <v>768</v>
      </c>
      <c r="B2207" s="1" t="s">
        <v>2057</v>
      </c>
      <c r="C2207" s="1" t="s">
        <v>2263</v>
      </c>
      <c r="D2207" s="1" t="s">
        <v>2264</v>
      </c>
      <c r="E2207" s="1">
        <v>287.25</v>
      </c>
      <c r="F2207" s="1" t="s">
        <v>8</v>
      </c>
      <c r="G2207" s="1" t="s">
        <v>9</v>
      </c>
      <c r="H2207" s="1" t="s">
        <v>10</v>
      </c>
    </row>
    <row r="2208" spans="1:8" x14ac:dyDescent="0.3">
      <c r="A2208" s="1">
        <v>768</v>
      </c>
      <c r="B2208" s="1" t="s">
        <v>2057</v>
      </c>
      <c r="C2208" s="1" t="s">
        <v>2265</v>
      </c>
      <c r="D2208" s="1" t="s">
        <v>2266</v>
      </c>
      <c r="E2208" s="1">
        <v>531.51</v>
      </c>
      <c r="F2208" s="1" t="s">
        <v>8</v>
      </c>
      <c r="G2208" s="1" t="s">
        <v>9</v>
      </c>
      <c r="H2208" s="1" t="s">
        <v>10</v>
      </c>
    </row>
    <row r="2209" spans="1:8" x14ac:dyDescent="0.3">
      <c r="A2209" s="1">
        <v>768</v>
      </c>
      <c r="B2209" s="1" t="s">
        <v>2057</v>
      </c>
      <c r="C2209" s="1" t="s">
        <v>2267</v>
      </c>
      <c r="D2209" s="1" t="s">
        <v>2268</v>
      </c>
      <c r="E2209" s="1">
        <v>152.54</v>
      </c>
      <c r="F2209" s="1" t="s">
        <v>8</v>
      </c>
      <c r="G2209" s="1" t="s">
        <v>9</v>
      </c>
      <c r="H2209" s="1" t="s">
        <v>10</v>
      </c>
    </row>
    <row r="2210" spans="1:8" x14ac:dyDescent="0.3">
      <c r="A2210" s="1">
        <v>768</v>
      </c>
      <c r="B2210" s="1" t="s">
        <v>2057</v>
      </c>
      <c r="C2210" s="1" t="s">
        <v>2269</v>
      </c>
      <c r="D2210" s="1" t="s">
        <v>2270</v>
      </c>
      <c r="E2210" s="1">
        <v>40104.99</v>
      </c>
      <c r="F2210" s="1" t="s">
        <v>8</v>
      </c>
      <c r="G2210" s="1" t="s">
        <v>9</v>
      </c>
      <c r="H2210" s="1" t="s">
        <v>10</v>
      </c>
    </row>
    <row r="2211" spans="1:8" x14ac:dyDescent="0.3">
      <c r="A2211" s="1">
        <v>768</v>
      </c>
      <c r="B2211" s="1" t="s">
        <v>2057</v>
      </c>
      <c r="C2211" s="1" t="s">
        <v>2271</v>
      </c>
      <c r="D2211" s="1" t="s">
        <v>2272</v>
      </c>
      <c r="E2211" s="1">
        <v>21603</v>
      </c>
      <c r="F2211" s="1" t="s">
        <v>8</v>
      </c>
      <c r="G2211" s="1" t="s">
        <v>9</v>
      </c>
      <c r="H2211" s="1" t="s">
        <v>10</v>
      </c>
    </row>
    <row r="2212" spans="1:8" x14ac:dyDescent="0.3">
      <c r="A2212" s="1">
        <v>768</v>
      </c>
      <c r="B2212" s="1" t="s">
        <v>2057</v>
      </c>
      <c r="C2212" s="1" t="s">
        <v>2275</v>
      </c>
      <c r="D2212" s="1" t="s">
        <v>2276</v>
      </c>
      <c r="E2212" s="1">
        <v>1453.22</v>
      </c>
      <c r="F2212" s="1" t="s">
        <v>8</v>
      </c>
      <c r="G2212" s="1" t="s">
        <v>9</v>
      </c>
      <c r="H2212" s="1" t="s">
        <v>10</v>
      </c>
    </row>
    <row r="2213" spans="1:8" x14ac:dyDescent="0.3">
      <c r="A2213" s="1">
        <v>768</v>
      </c>
      <c r="B2213" s="1" t="s">
        <v>2057</v>
      </c>
      <c r="C2213" s="1" t="s">
        <v>2273</v>
      </c>
      <c r="D2213" s="1" t="s">
        <v>2274</v>
      </c>
      <c r="E2213" s="1">
        <v>1129.43</v>
      </c>
      <c r="F2213" s="1" t="s">
        <v>8</v>
      </c>
      <c r="G2213" s="1" t="s">
        <v>9</v>
      </c>
      <c r="H2213" s="1" t="s">
        <v>10</v>
      </c>
    </row>
    <row r="2214" spans="1:8" x14ac:dyDescent="0.3">
      <c r="A2214" s="1">
        <v>768</v>
      </c>
      <c r="B2214" s="1" t="s">
        <v>2057</v>
      </c>
      <c r="C2214" s="1" t="s">
        <v>2277</v>
      </c>
      <c r="D2214" s="1" t="s">
        <v>2278</v>
      </c>
      <c r="E2214" s="1">
        <v>40224</v>
      </c>
      <c r="F2214" s="1" t="s">
        <v>8</v>
      </c>
      <c r="G2214" s="1" t="s">
        <v>9</v>
      </c>
      <c r="H2214" s="1" t="s">
        <v>10</v>
      </c>
    </row>
    <row r="2215" spans="1:8" x14ac:dyDescent="0.3">
      <c r="A2215" s="1">
        <v>768</v>
      </c>
      <c r="B2215" s="1" t="s">
        <v>2057</v>
      </c>
      <c r="C2215" s="1" t="s">
        <v>2279</v>
      </c>
      <c r="D2215" s="1" t="s">
        <v>2280</v>
      </c>
      <c r="E2215" s="1">
        <v>148.33000000000001</v>
      </c>
      <c r="F2215" s="1" t="s">
        <v>8</v>
      </c>
      <c r="G2215" s="1" t="s">
        <v>9</v>
      </c>
      <c r="H2215" s="1" t="s">
        <v>10</v>
      </c>
    </row>
    <row r="2216" spans="1:8" x14ac:dyDescent="0.3">
      <c r="A2216" s="1">
        <v>768</v>
      </c>
      <c r="B2216" s="1" t="s">
        <v>2057</v>
      </c>
      <c r="C2216" s="1" t="s">
        <v>2281</v>
      </c>
      <c r="D2216" s="1" t="s">
        <v>2282</v>
      </c>
      <c r="E2216" s="1">
        <v>2358</v>
      </c>
      <c r="F2216" s="1" t="s">
        <v>8</v>
      </c>
      <c r="G2216" s="1" t="s">
        <v>9</v>
      </c>
      <c r="H2216" s="1" t="s">
        <v>10</v>
      </c>
    </row>
    <row r="2217" spans="1:8" x14ac:dyDescent="0.3">
      <c r="A2217" s="1">
        <v>768</v>
      </c>
      <c r="B2217" s="1" t="s">
        <v>2057</v>
      </c>
      <c r="C2217" s="1" t="s">
        <v>2283</v>
      </c>
      <c r="D2217" s="1" t="s">
        <v>2284</v>
      </c>
      <c r="E2217" s="1">
        <v>388.84</v>
      </c>
      <c r="F2217" s="1" t="s">
        <v>8</v>
      </c>
      <c r="G2217" s="1" t="s">
        <v>9</v>
      </c>
      <c r="H2217" s="1" t="s">
        <v>10</v>
      </c>
    </row>
    <row r="2218" spans="1:8" x14ac:dyDescent="0.3">
      <c r="A2218" s="1">
        <v>768</v>
      </c>
      <c r="B2218" s="1" t="s">
        <v>2057</v>
      </c>
      <c r="C2218" s="1" t="s">
        <v>2285</v>
      </c>
      <c r="D2218" s="1" t="s">
        <v>2286</v>
      </c>
      <c r="E2218" s="1">
        <v>6655.32</v>
      </c>
      <c r="F2218" s="1" t="s">
        <v>8</v>
      </c>
      <c r="G2218" s="1" t="s">
        <v>9</v>
      </c>
      <c r="H2218" s="1" t="s">
        <v>10</v>
      </c>
    </row>
    <row r="2219" spans="1:8" x14ac:dyDescent="0.3">
      <c r="A2219" s="1">
        <v>768</v>
      </c>
      <c r="B2219" s="1" t="s">
        <v>2057</v>
      </c>
      <c r="C2219" s="1" t="s">
        <v>2287</v>
      </c>
      <c r="D2219" s="1" t="s">
        <v>2288</v>
      </c>
      <c r="E2219" s="1">
        <v>11965.31</v>
      </c>
      <c r="F2219" s="1" t="s">
        <v>8</v>
      </c>
      <c r="G2219" s="1" t="s">
        <v>9</v>
      </c>
      <c r="H2219" s="1" t="s">
        <v>10</v>
      </c>
    </row>
    <row r="2220" spans="1:8" x14ac:dyDescent="0.3">
      <c r="A2220" s="1">
        <v>768</v>
      </c>
      <c r="B2220" s="1" t="s">
        <v>2057</v>
      </c>
      <c r="C2220" s="1" t="s">
        <v>2289</v>
      </c>
      <c r="D2220" s="1" t="s">
        <v>2290</v>
      </c>
      <c r="E2220" s="1">
        <v>1543.3</v>
      </c>
      <c r="F2220" s="1" t="s">
        <v>8</v>
      </c>
      <c r="G2220" s="1" t="s">
        <v>9</v>
      </c>
      <c r="H2220" s="1" t="s">
        <v>10</v>
      </c>
    </row>
    <row r="2221" spans="1:8" x14ac:dyDescent="0.3">
      <c r="A2221" s="1">
        <v>768</v>
      </c>
      <c r="B2221" s="1" t="s">
        <v>2057</v>
      </c>
      <c r="C2221" s="1" t="s">
        <v>2291</v>
      </c>
      <c r="D2221" s="1" t="s">
        <v>2292</v>
      </c>
      <c r="E2221" s="1">
        <v>34.909999999999997</v>
      </c>
      <c r="F2221" s="1" t="s">
        <v>8</v>
      </c>
      <c r="G2221" s="1" t="s">
        <v>9</v>
      </c>
      <c r="H2221" s="1" t="s">
        <v>10</v>
      </c>
    </row>
    <row r="2222" spans="1:8" x14ac:dyDescent="0.3">
      <c r="A2222" s="1">
        <v>768</v>
      </c>
      <c r="B2222" s="1" t="s">
        <v>2057</v>
      </c>
      <c r="C2222" s="1" t="s">
        <v>2293</v>
      </c>
      <c r="D2222" s="1" t="s">
        <v>2294</v>
      </c>
      <c r="E2222" s="1">
        <v>1515.27</v>
      </c>
      <c r="F2222" s="1" t="s">
        <v>8</v>
      </c>
      <c r="G2222" s="1" t="s">
        <v>9</v>
      </c>
      <c r="H2222" s="1" t="s">
        <v>10</v>
      </c>
    </row>
    <row r="2223" spans="1:8" x14ac:dyDescent="0.3">
      <c r="A2223" s="1">
        <v>768</v>
      </c>
      <c r="B2223" s="1" t="s">
        <v>2057</v>
      </c>
      <c r="C2223" s="1" t="s">
        <v>2295</v>
      </c>
      <c r="D2223" s="1" t="s">
        <v>2296</v>
      </c>
      <c r="E2223" s="1">
        <v>2252.36</v>
      </c>
      <c r="F2223" s="1" t="s">
        <v>8</v>
      </c>
      <c r="G2223" s="1" t="s">
        <v>9</v>
      </c>
      <c r="H2223" s="1" t="s">
        <v>10</v>
      </c>
    </row>
    <row r="2224" spans="1:8" x14ac:dyDescent="0.3">
      <c r="A2224" s="1">
        <v>768</v>
      </c>
      <c r="B2224" s="1" t="s">
        <v>2057</v>
      </c>
      <c r="C2224" s="1" t="s">
        <v>2299</v>
      </c>
      <c r="D2224" s="1" t="s">
        <v>2300</v>
      </c>
      <c r="E2224" s="1">
        <v>2771.98</v>
      </c>
      <c r="F2224" s="1" t="s">
        <v>8</v>
      </c>
      <c r="G2224" s="1" t="s">
        <v>9</v>
      </c>
      <c r="H2224" s="1" t="s">
        <v>10</v>
      </c>
    </row>
    <row r="2225" spans="1:8" x14ac:dyDescent="0.3">
      <c r="A2225" s="1">
        <v>768</v>
      </c>
      <c r="B2225" s="1" t="s">
        <v>2057</v>
      </c>
      <c r="C2225" s="1" t="s">
        <v>2297</v>
      </c>
      <c r="D2225" s="1" t="s">
        <v>2298</v>
      </c>
      <c r="E2225" s="1">
        <v>525.11</v>
      </c>
      <c r="F2225" s="1" t="s">
        <v>8</v>
      </c>
      <c r="G2225" s="1" t="s">
        <v>9</v>
      </c>
      <c r="H2225" s="1" t="s">
        <v>10</v>
      </c>
    </row>
    <row r="2226" spans="1:8" x14ac:dyDescent="0.3">
      <c r="A2226" s="1">
        <v>768</v>
      </c>
      <c r="B2226" s="1" t="s">
        <v>2057</v>
      </c>
      <c r="C2226" s="1" t="s">
        <v>2301</v>
      </c>
      <c r="D2226" s="1" t="s">
        <v>2302</v>
      </c>
      <c r="E2226" s="1">
        <v>5089.8</v>
      </c>
      <c r="F2226" s="1" t="s">
        <v>8</v>
      </c>
      <c r="G2226" s="1" t="s">
        <v>9</v>
      </c>
      <c r="H2226" s="1" t="s">
        <v>10</v>
      </c>
    </row>
    <row r="2227" spans="1:8" x14ac:dyDescent="0.3">
      <c r="A2227" s="1">
        <v>768</v>
      </c>
      <c r="B2227" s="1" t="s">
        <v>2057</v>
      </c>
      <c r="C2227" s="1" t="s">
        <v>2303</v>
      </c>
      <c r="D2227" s="1" t="s">
        <v>2304</v>
      </c>
      <c r="E2227" s="1">
        <v>3564.6</v>
      </c>
      <c r="F2227" s="1" t="s">
        <v>8</v>
      </c>
      <c r="G2227" s="1" t="s">
        <v>9</v>
      </c>
      <c r="H2227" s="1" t="s">
        <v>10</v>
      </c>
    </row>
    <row r="2228" spans="1:8" x14ac:dyDescent="0.3">
      <c r="A2228" s="1">
        <v>768</v>
      </c>
      <c r="B2228" s="1" t="s">
        <v>2057</v>
      </c>
      <c r="C2228" s="1" t="s">
        <v>2305</v>
      </c>
      <c r="D2228" s="1" t="s">
        <v>2306</v>
      </c>
      <c r="E2228" s="1">
        <v>5705.76</v>
      </c>
      <c r="F2228" s="1" t="s">
        <v>8</v>
      </c>
      <c r="G2228" s="1" t="s">
        <v>9</v>
      </c>
      <c r="H2228" s="1" t="s">
        <v>10</v>
      </c>
    </row>
    <row r="2229" spans="1:8" x14ac:dyDescent="0.3">
      <c r="A2229" s="1">
        <v>768</v>
      </c>
      <c r="B2229" s="1" t="s">
        <v>2057</v>
      </c>
      <c r="C2229" s="1" t="s">
        <v>2307</v>
      </c>
      <c r="D2229" s="1" t="s">
        <v>2308</v>
      </c>
      <c r="E2229" s="1">
        <v>3111</v>
      </c>
      <c r="F2229" s="1" t="s">
        <v>8</v>
      </c>
      <c r="G2229" s="1" t="s">
        <v>9</v>
      </c>
      <c r="H2229" s="1" t="s">
        <v>10</v>
      </c>
    </row>
    <row r="2230" spans="1:8" x14ac:dyDescent="0.3">
      <c r="A2230" s="1">
        <v>768</v>
      </c>
      <c r="B2230" s="1" t="s">
        <v>2057</v>
      </c>
      <c r="C2230" s="1" t="s">
        <v>2309</v>
      </c>
      <c r="D2230" s="1" t="s">
        <v>2310</v>
      </c>
      <c r="E2230" s="1">
        <v>27380</v>
      </c>
      <c r="F2230" s="1" t="s">
        <v>8</v>
      </c>
      <c r="G2230" s="1" t="s">
        <v>9</v>
      </c>
      <c r="H2230" s="1" t="s">
        <v>10</v>
      </c>
    </row>
    <row r="2231" spans="1:8" x14ac:dyDescent="0.3">
      <c r="A2231" s="1">
        <v>768</v>
      </c>
      <c r="B2231" s="1" t="s">
        <v>2057</v>
      </c>
      <c r="C2231" s="1" t="s">
        <v>2311</v>
      </c>
      <c r="D2231" s="1" t="s">
        <v>2312</v>
      </c>
      <c r="E2231" s="1">
        <v>1710.47</v>
      </c>
      <c r="F2231" s="1" t="s">
        <v>8</v>
      </c>
      <c r="G2231" s="1" t="s">
        <v>9</v>
      </c>
      <c r="H2231" s="1" t="s">
        <v>10</v>
      </c>
    </row>
    <row r="2232" spans="1:8" x14ac:dyDescent="0.3">
      <c r="A2232" s="1">
        <v>768</v>
      </c>
      <c r="B2232" s="1" t="s">
        <v>2057</v>
      </c>
      <c r="C2232" s="1" t="s">
        <v>2313</v>
      </c>
      <c r="D2232" s="1" t="s">
        <v>2314</v>
      </c>
      <c r="E2232" s="1">
        <v>573</v>
      </c>
      <c r="F2232" s="1" t="s">
        <v>8</v>
      </c>
      <c r="G2232" s="1" t="s">
        <v>9</v>
      </c>
      <c r="H2232" s="1" t="s">
        <v>10</v>
      </c>
    </row>
    <row r="2233" spans="1:8" x14ac:dyDescent="0.3">
      <c r="A2233" s="1">
        <v>768</v>
      </c>
      <c r="B2233" s="1" t="s">
        <v>2057</v>
      </c>
      <c r="C2233" s="1" t="s">
        <v>2315</v>
      </c>
      <c r="D2233" s="1" t="s">
        <v>2316</v>
      </c>
      <c r="E2233" s="1">
        <v>10264.25</v>
      </c>
      <c r="F2233" s="1" t="s">
        <v>8</v>
      </c>
      <c r="G2233" s="1" t="s">
        <v>9</v>
      </c>
      <c r="H2233" s="1" t="s">
        <v>10</v>
      </c>
    </row>
    <row r="2234" spans="1:8" x14ac:dyDescent="0.3">
      <c r="A2234" s="1">
        <v>768</v>
      </c>
      <c r="B2234" s="1" t="s">
        <v>2057</v>
      </c>
      <c r="C2234" s="1" t="s">
        <v>2317</v>
      </c>
      <c r="D2234" s="1" t="s">
        <v>2318</v>
      </c>
      <c r="E2234" s="1">
        <v>1660</v>
      </c>
      <c r="F2234" s="1" t="s">
        <v>8</v>
      </c>
      <c r="G2234" s="1" t="s">
        <v>9</v>
      </c>
      <c r="H2234" s="1" t="s">
        <v>10</v>
      </c>
    </row>
    <row r="2235" spans="1:8" x14ac:dyDescent="0.3">
      <c r="A2235" s="1">
        <v>768</v>
      </c>
      <c r="B2235" s="1" t="s">
        <v>2057</v>
      </c>
      <c r="C2235" s="1" t="s">
        <v>2319</v>
      </c>
      <c r="D2235" s="1" t="s">
        <v>2320</v>
      </c>
      <c r="E2235" s="1">
        <v>3755.05</v>
      </c>
      <c r="F2235" s="1" t="s">
        <v>8</v>
      </c>
      <c r="G2235" s="1" t="s">
        <v>9</v>
      </c>
      <c r="H2235" s="1" t="s">
        <v>10</v>
      </c>
    </row>
    <row r="2236" spans="1:8" x14ac:dyDescent="0.3">
      <c r="A2236" s="1">
        <v>768</v>
      </c>
      <c r="B2236" s="1" t="s">
        <v>2057</v>
      </c>
      <c r="C2236" s="1" t="s">
        <v>2321</v>
      </c>
      <c r="D2236" s="1" t="s">
        <v>2322</v>
      </c>
      <c r="E2236" s="1">
        <v>2200</v>
      </c>
      <c r="F2236" s="1" t="s">
        <v>8</v>
      </c>
      <c r="G2236" s="1" t="s">
        <v>9</v>
      </c>
      <c r="H2236" s="1" t="s">
        <v>10</v>
      </c>
    </row>
    <row r="2237" spans="1:8" x14ac:dyDescent="0.3">
      <c r="A2237" s="1">
        <v>768</v>
      </c>
      <c r="B2237" s="1" t="s">
        <v>2057</v>
      </c>
      <c r="C2237" s="1" t="s">
        <v>2325</v>
      </c>
      <c r="D2237" s="1" t="s">
        <v>2326</v>
      </c>
      <c r="E2237" s="1">
        <v>1335</v>
      </c>
      <c r="F2237" s="1" t="s">
        <v>8</v>
      </c>
      <c r="G2237" s="1" t="s">
        <v>9</v>
      </c>
      <c r="H2237" s="1" t="s">
        <v>10</v>
      </c>
    </row>
    <row r="2238" spans="1:8" x14ac:dyDescent="0.3">
      <c r="A2238" s="1">
        <v>768</v>
      </c>
      <c r="B2238" s="1" t="s">
        <v>2057</v>
      </c>
      <c r="C2238" s="1" t="s">
        <v>2327</v>
      </c>
      <c r="D2238" s="1" t="s">
        <v>2328</v>
      </c>
      <c r="E2238" s="1">
        <v>22752</v>
      </c>
      <c r="F2238" s="1" t="s">
        <v>8</v>
      </c>
      <c r="G2238" s="1" t="s">
        <v>9</v>
      </c>
      <c r="H2238" s="1" t="s">
        <v>10</v>
      </c>
    </row>
    <row r="2239" spans="1:8" x14ac:dyDescent="0.3">
      <c r="A2239" s="1">
        <v>768</v>
      </c>
      <c r="B2239" s="1" t="s">
        <v>2057</v>
      </c>
      <c r="C2239" s="1" t="s">
        <v>2329</v>
      </c>
      <c r="D2239" s="1" t="s">
        <v>2330</v>
      </c>
      <c r="E2239" s="1">
        <v>325</v>
      </c>
      <c r="F2239" s="1" t="s">
        <v>8</v>
      </c>
      <c r="G2239" s="1" t="s">
        <v>9</v>
      </c>
      <c r="H2239" s="1" t="s">
        <v>10</v>
      </c>
    </row>
    <row r="2240" spans="1:8" x14ac:dyDescent="0.3">
      <c r="A2240" s="1">
        <v>768</v>
      </c>
      <c r="B2240" s="1" t="s">
        <v>2057</v>
      </c>
      <c r="C2240" s="1" t="s">
        <v>2323</v>
      </c>
      <c r="D2240" s="1" t="s">
        <v>2324</v>
      </c>
      <c r="E2240" s="1">
        <v>4580.1899999999996</v>
      </c>
      <c r="F2240" s="1" t="s">
        <v>8</v>
      </c>
      <c r="G2240" s="1" t="s">
        <v>9</v>
      </c>
      <c r="H2240" s="1" t="s">
        <v>10</v>
      </c>
    </row>
    <row r="2241" spans="1:8" x14ac:dyDescent="0.3">
      <c r="A2241" s="1">
        <v>768</v>
      </c>
      <c r="B2241" s="1" t="s">
        <v>2057</v>
      </c>
      <c r="C2241" s="1" t="s">
        <v>2331</v>
      </c>
      <c r="D2241" s="1" t="s">
        <v>2332</v>
      </c>
      <c r="E2241" s="1">
        <v>3587.23</v>
      </c>
      <c r="F2241" s="1" t="s">
        <v>8</v>
      </c>
      <c r="G2241" s="1" t="s">
        <v>9</v>
      </c>
      <c r="H2241" s="1" t="s">
        <v>10</v>
      </c>
    </row>
    <row r="2242" spans="1:8" x14ac:dyDescent="0.3">
      <c r="A2242" s="1">
        <v>768</v>
      </c>
      <c r="B2242" s="1" t="s">
        <v>2057</v>
      </c>
      <c r="C2242" s="1" t="s">
        <v>2333</v>
      </c>
      <c r="D2242" s="1" t="s">
        <v>2334</v>
      </c>
      <c r="E2242" s="1">
        <v>1358.35</v>
      </c>
      <c r="F2242" s="1" t="s">
        <v>8</v>
      </c>
      <c r="G2242" s="1" t="s">
        <v>9</v>
      </c>
      <c r="H2242" s="1" t="s">
        <v>10</v>
      </c>
    </row>
    <row r="2243" spans="1:8" x14ac:dyDescent="0.3">
      <c r="A2243" s="1">
        <v>768</v>
      </c>
      <c r="B2243" s="1" t="s">
        <v>2057</v>
      </c>
      <c r="C2243" s="1" t="s">
        <v>2335</v>
      </c>
      <c r="D2243" s="1" t="s">
        <v>2336</v>
      </c>
      <c r="E2243" s="1">
        <v>40104.99</v>
      </c>
      <c r="F2243" s="1" t="s">
        <v>11</v>
      </c>
      <c r="G2243" s="1" t="s">
        <v>9</v>
      </c>
      <c r="H2243" s="1" t="s">
        <v>10</v>
      </c>
    </row>
    <row r="2244" spans="1:8" x14ac:dyDescent="0.3">
      <c r="A2244" s="1">
        <v>768</v>
      </c>
      <c r="B2244" s="1" t="s">
        <v>2057</v>
      </c>
      <c r="C2244" s="1" t="s">
        <v>2337</v>
      </c>
      <c r="D2244" s="1" t="s">
        <v>2338</v>
      </c>
      <c r="E2244" s="1">
        <v>4503</v>
      </c>
      <c r="F2244" s="1" t="s">
        <v>8</v>
      </c>
      <c r="G2244" s="1" t="s">
        <v>9</v>
      </c>
      <c r="H2244" s="1" t="s">
        <v>10</v>
      </c>
    </row>
    <row r="2245" spans="1:8" x14ac:dyDescent="0.3">
      <c r="A2245" s="1">
        <v>768</v>
      </c>
      <c r="B2245" s="1" t="s">
        <v>2057</v>
      </c>
      <c r="C2245" s="1" t="s">
        <v>2339</v>
      </c>
      <c r="D2245" s="1" t="s">
        <v>2340</v>
      </c>
      <c r="E2245" s="1">
        <v>534.71</v>
      </c>
      <c r="F2245" s="1" t="s">
        <v>8</v>
      </c>
      <c r="G2245" s="1" t="s">
        <v>9</v>
      </c>
      <c r="H2245" s="1" t="s">
        <v>10</v>
      </c>
    </row>
    <row r="2246" spans="1:8" x14ac:dyDescent="0.3">
      <c r="A2246" s="1">
        <v>768</v>
      </c>
      <c r="B2246" s="1" t="s">
        <v>2057</v>
      </c>
      <c r="C2246" s="1" t="s">
        <v>2341</v>
      </c>
      <c r="D2246" s="1" t="s">
        <v>2342</v>
      </c>
      <c r="E2246" s="1">
        <v>237</v>
      </c>
      <c r="F2246" s="1" t="s">
        <v>8</v>
      </c>
      <c r="G2246" s="1" t="s">
        <v>9</v>
      </c>
      <c r="H2246" s="1" t="s">
        <v>10</v>
      </c>
    </row>
    <row r="2247" spans="1:8" x14ac:dyDescent="0.3">
      <c r="A2247" s="1">
        <v>768</v>
      </c>
      <c r="B2247" s="1" t="s">
        <v>2057</v>
      </c>
      <c r="C2247" s="1" t="s">
        <v>2343</v>
      </c>
      <c r="D2247" s="1" t="s">
        <v>2344</v>
      </c>
      <c r="E2247" s="1">
        <v>439.6</v>
      </c>
      <c r="F2247" s="1" t="s">
        <v>8</v>
      </c>
      <c r="G2247" s="1" t="s">
        <v>9</v>
      </c>
      <c r="H2247" s="1" t="s">
        <v>10</v>
      </c>
    </row>
    <row r="2248" spans="1:8" x14ac:dyDescent="0.3">
      <c r="A2248" s="1">
        <v>768</v>
      </c>
      <c r="B2248" s="1" t="s">
        <v>2057</v>
      </c>
      <c r="C2248" s="1" t="s">
        <v>2345</v>
      </c>
      <c r="D2248" s="1" t="s">
        <v>2346</v>
      </c>
      <c r="E2248" s="1">
        <v>4169.7</v>
      </c>
      <c r="F2248" s="1" t="s">
        <v>8</v>
      </c>
      <c r="G2248" s="1" t="s">
        <v>9</v>
      </c>
      <c r="H2248" s="1" t="s">
        <v>10</v>
      </c>
    </row>
    <row r="2249" spans="1:8" x14ac:dyDescent="0.3">
      <c r="A2249" s="1">
        <v>768</v>
      </c>
      <c r="B2249" s="1" t="s">
        <v>2057</v>
      </c>
      <c r="C2249" s="1" t="s">
        <v>2347</v>
      </c>
      <c r="D2249" s="1" t="s">
        <v>2348</v>
      </c>
      <c r="E2249" s="1">
        <v>233.7</v>
      </c>
      <c r="F2249" s="1" t="s">
        <v>8</v>
      </c>
      <c r="G2249" s="1" t="s">
        <v>9</v>
      </c>
      <c r="H2249" s="1" t="s">
        <v>10</v>
      </c>
    </row>
    <row r="2250" spans="1:8" x14ac:dyDescent="0.3">
      <c r="A2250" s="1">
        <v>768</v>
      </c>
      <c r="B2250" s="1" t="s">
        <v>2057</v>
      </c>
      <c r="C2250" s="1" t="s">
        <v>2349</v>
      </c>
      <c r="D2250" s="1" t="s">
        <v>2350</v>
      </c>
      <c r="E2250" s="1">
        <v>7500</v>
      </c>
      <c r="F2250" s="1" t="s">
        <v>8</v>
      </c>
      <c r="G2250" s="1" t="s">
        <v>9</v>
      </c>
      <c r="H2250" s="1" t="s">
        <v>10</v>
      </c>
    </row>
    <row r="2251" spans="1:8" x14ac:dyDescent="0.3">
      <c r="A2251" s="1">
        <v>768</v>
      </c>
      <c r="B2251" s="1" t="s">
        <v>2057</v>
      </c>
      <c r="C2251" s="1" t="s">
        <v>5959</v>
      </c>
      <c r="D2251" s="1" t="s">
        <v>5960</v>
      </c>
      <c r="E2251" s="1">
        <v>137.53</v>
      </c>
      <c r="F2251" s="1" t="s">
        <v>8</v>
      </c>
      <c r="G2251" s="1" t="s">
        <v>9</v>
      </c>
      <c r="H2251" s="1" t="s">
        <v>10</v>
      </c>
    </row>
    <row r="2252" spans="1:8" x14ac:dyDescent="0.3">
      <c r="A2252" s="1">
        <v>768</v>
      </c>
      <c r="B2252" s="1" t="s">
        <v>2057</v>
      </c>
      <c r="C2252" s="1" t="s">
        <v>5961</v>
      </c>
      <c r="D2252" s="1" t="s">
        <v>5962</v>
      </c>
      <c r="E2252" s="1">
        <v>26419.06</v>
      </c>
      <c r="F2252" s="1" t="s">
        <v>8</v>
      </c>
      <c r="G2252" s="1" t="s">
        <v>9</v>
      </c>
      <c r="H2252" s="1" t="s">
        <v>10</v>
      </c>
    </row>
    <row r="2253" spans="1:8" x14ac:dyDescent="0.3">
      <c r="A2253" s="1">
        <v>768</v>
      </c>
      <c r="B2253" s="1" t="s">
        <v>2057</v>
      </c>
      <c r="C2253" s="1" t="s">
        <v>5963</v>
      </c>
      <c r="D2253" s="1" t="s">
        <v>5964</v>
      </c>
      <c r="E2253" s="1">
        <v>1416.28</v>
      </c>
      <c r="F2253" s="1" t="s">
        <v>8</v>
      </c>
      <c r="G2253" s="1" t="s">
        <v>9</v>
      </c>
      <c r="H2253" s="1" t="s">
        <v>10</v>
      </c>
    </row>
    <row r="2254" spans="1:8" x14ac:dyDescent="0.3">
      <c r="A2254" s="1">
        <v>768</v>
      </c>
      <c r="B2254" s="1" t="s">
        <v>2057</v>
      </c>
      <c r="C2254" s="1" t="s">
        <v>5965</v>
      </c>
      <c r="D2254" s="1" t="s">
        <v>5966</v>
      </c>
      <c r="E2254" s="1">
        <v>1854</v>
      </c>
      <c r="F2254" s="1" t="s">
        <v>8</v>
      </c>
      <c r="G2254" s="1" t="s">
        <v>9</v>
      </c>
      <c r="H2254" s="1" t="s">
        <v>10</v>
      </c>
    </row>
    <row r="2255" spans="1:8" x14ac:dyDescent="0.3">
      <c r="A2255" s="1">
        <v>768</v>
      </c>
      <c r="B2255" s="1" t="s">
        <v>2057</v>
      </c>
      <c r="C2255" s="1" t="s">
        <v>5967</v>
      </c>
      <c r="D2255" s="1" t="s">
        <v>5968</v>
      </c>
      <c r="E2255" s="1">
        <v>1239.3</v>
      </c>
      <c r="F2255" s="1" t="s">
        <v>8</v>
      </c>
      <c r="G2255" s="1" t="s">
        <v>9</v>
      </c>
      <c r="H2255" s="1" t="s">
        <v>10</v>
      </c>
    </row>
    <row r="2256" spans="1:8" x14ac:dyDescent="0.3">
      <c r="A2256" s="1">
        <v>768</v>
      </c>
      <c r="B2256" s="1" t="s">
        <v>2057</v>
      </c>
      <c r="C2256" s="1" t="s">
        <v>5969</v>
      </c>
      <c r="D2256" s="1" t="s">
        <v>5970</v>
      </c>
      <c r="E2256" s="1">
        <v>458</v>
      </c>
      <c r="F2256" s="1" t="s">
        <v>8</v>
      </c>
      <c r="G2256" s="1" t="s">
        <v>9</v>
      </c>
      <c r="H2256" s="1" t="s">
        <v>10</v>
      </c>
    </row>
    <row r="2257" spans="1:8" x14ac:dyDescent="0.3">
      <c r="A2257" s="1">
        <v>768</v>
      </c>
      <c r="B2257" s="1" t="s">
        <v>2057</v>
      </c>
      <c r="C2257" s="1" t="s">
        <v>5971</v>
      </c>
      <c r="D2257" s="1" t="s">
        <v>5972</v>
      </c>
      <c r="E2257" s="1">
        <v>3677.31</v>
      </c>
      <c r="F2257" s="1" t="s">
        <v>8</v>
      </c>
      <c r="G2257" s="1" t="s">
        <v>9</v>
      </c>
      <c r="H2257" s="1" t="s">
        <v>10</v>
      </c>
    </row>
    <row r="2258" spans="1:8" x14ac:dyDescent="0.3">
      <c r="A2258" s="1">
        <v>768</v>
      </c>
      <c r="B2258" s="1" t="s">
        <v>2057</v>
      </c>
      <c r="C2258" s="1" t="s">
        <v>5973</v>
      </c>
      <c r="D2258" s="1" t="s">
        <v>5974</v>
      </c>
      <c r="E2258" s="1">
        <v>29425.16</v>
      </c>
      <c r="F2258" s="1" t="s">
        <v>8</v>
      </c>
      <c r="G2258" s="1" t="s">
        <v>9</v>
      </c>
      <c r="H2258" s="1" t="s">
        <v>10</v>
      </c>
    </row>
    <row r="2259" spans="1:8" x14ac:dyDescent="0.3">
      <c r="A2259" s="1">
        <v>768</v>
      </c>
      <c r="B2259" s="1" t="s">
        <v>2057</v>
      </c>
      <c r="C2259" s="1" t="s">
        <v>5975</v>
      </c>
      <c r="D2259" s="1" t="s">
        <v>5976</v>
      </c>
      <c r="E2259" s="1">
        <v>28538.86</v>
      </c>
      <c r="F2259" s="1" t="s">
        <v>8</v>
      </c>
      <c r="G2259" s="1" t="s">
        <v>9</v>
      </c>
      <c r="H2259" s="1" t="s">
        <v>10</v>
      </c>
    </row>
    <row r="2260" spans="1:8" x14ac:dyDescent="0.3">
      <c r="A2260" s="1">
        <v>768</v>
      </c>
      <c r="B2260" s="1" t="s">
        <v>2057</v>
      </c>
      <c r="C2260" s="1" t="s">
        <v>5977</v>
      </c>
      <c r="D2260" s="1" t="s">
        <v>5978</v>
      </c>
      <c r="E2260" s="1">
        <v>29004.36</v>
      </c>
      <c r="F2260" s="1" t="s">
        <v>8</v>
      </c>
      <c r="G2260" s="1" t="s">
        <v>9</v>
      </c>
      <c r="H2260" s="1" t="s">
        <v>10</v>
      </c>
    </row>
    <row r="2261" spans="1:8" x14ac:dyDescent="0.3">
      <c r="A2261" s="1">
        <v>768</v>
      </c>
      <c r="B2261" s="1" t="s">
        <v>2057</v>
      </c>
      <c r="C2261" s="1" t="s">
        <v>1388</v>
      </c>
      <c r="D2261" s="1" t="s">
        <v>5979</v>
      </c>
      <c r="E2261" s="1">
        <v>543.04999999999995</v>
      </c>
      <c r="F2261" s="1" t="s">
        <v>8</v>
      </c>
      <c r="G2261" s="1" t="s">
        <v>9</v>
      </c>
      <c r="H2261" s="1" t="s">
        <v>10</v>
      </c>
    </row>
    <row r="2262" spans="1:8" x14ac:dyDescent="0.3">
      <c r="A2262" s="1">
        <v>768</v>
      </c>
      <c r="B2262" s="1" t="s">
        <v>2057</v>
      </c>
      <c r="C2262" s="1" t="s">
        <v>5011</v>
      </c>
      <c r="D2262" s="1" t="s">
        <v>5980</v>
      </c>
      <c r="E2262" s="1">
        <v>28673.26</v>
      </c>
      <c r="F2262" s="1" t="s">
        <v>8</v>
      </c>
      <c r="G2262" s="1" t="s">
        <v>9</v>
      </c>
      <c r="H2262" s="1" t="s">
        <v>10</v>
      </c>
    </row>
    <row r="2263" spans="1:8" x14ac:dyDescent="0.3">
      <c r="A2263" s="1">
        <v>768</v>
      </c>
      <c r="B2263" s="1" t="s">
        <v>2057</v>
      </c>
      <c r="C2263" s="1" t="s">
        <v>5981</v>
      </c>
      <c r="D2263" s="1" t="s">
        <v>5982</v>
      </c>
      <c r="E2263" s="1">
        <v>29136.799999999999</v>
      </c>
      <c r="F2263" s="1" t="s">
        <v>8</v>
      </c>
      <c r="G2263" s="1" t="s">
        <v>9</v>
      </c>
      <c r="H2263" s="1" t="s">
        <v>10</v>
      </c>
    </row>
    <row r="2264" spans="1:8" x14ac:dyDescent="0.3">
      <c r="A2264" s="1">
        <v>768</v>
      </c>
      <c r="B2264" s="1" t="s">
        <v>2057</v>
      </c>
      <c r="C2264" s="1" t="s">
        <v>5983</v>
      </c>
      <c r="D2264" s="1" t="s">
        <v>5984</v>
      </c>
      <c r="E2264" s="1">
        <v>27652.560000000001</v>
      </c>
      <c r="F2264" s="1" t="s">
        <v>8</v>
      </c>
      <c r="G2264" s="1" t="s">
        <v>9</v>
      </c>
      <c r="H2264" s="1" t="s">
        <v>10</v>
      </c>
    </row>
    <row r="2265" spans="1:8" x14ac:dyDescent="0.3">
      <c r="A2265" s="1">
        <v>768</v>
      </c>
      <c r="B2265" s="1" t="s">
        <v>2057</v>
      </c>
      <c r="C2265" s="1" t="s">
        <v>5985</v>
      </c>
      <c r="D2265" s="1" t="s">
        <v>5986</v>
      </c>
      <c r="E2265" s="1">
        <v>29865.22</v>
      </c>
      <c r="F2265" s="1" t="s">
        <v>8</v>
      </c>
      <c r="G2265" s="1" t="s">
        <v>9</v>
      </c>
      <c r="H2265" s="1" t="s">
        <v>10</v>
      </c>
    </row>
    <row r="2266" spans="1:8" x14ac:dyDescent="0.3">
      <c r="A2266" s="1">
        <v>768</v>
      </c>
      <c r="B2266" s="1" t="s">
        <v>2057</v>
      </c>
      <c r="C2266" s="1" t="s">
        <v>5987</v>
      </c>
      <c r="D2266" s="1" t="s">
        <v>5988</v>
      </c>
      <c r="E2266" s="1">
        <v>28716.12</v>
      </c>
      <c r="F2266" s="1" t="s">
        <v>11</v>
      </c>
      <c r="G2266" s="1" t="s">
        <v>9</v>
      </c>
      <c r="H2266" s="1" t="s">
        <v>10</v>
      </c>
    </row>
    <row r="2267" spans="1:8" x14ac:dyDescent="0.3">
      <c r="A2267" s="1">
        <v>768</v>
      </c>
      <c r="B2267" s="1" t="s">
        <v>2057</v>
      </c>
      <c r="C2267" s="1" t="s">
        <v>5989</v>
      </c>
      <c r="D2267" s="1" t="s">
        <v>5990</v>
      </c>
      <c r="E2267" s="1">
        <v>26766.26</v>
      </c>
      <c r="F2267" s="1" t="s">
        <v>8</v>
      </c>
      <c r="G2267" s="1" t="s">
        <v>9</v>
      </c>
      <c r="H2267" s="1" t="s">
        <v>10</v>
      </c>
    </row>
    <row r="2268" spans="1:8" x14ac:dyDescent="0.3">
      <c r="A2268" s="1">
        <v>768</v>
      </c>
      <c r="B2268" s="1" t="s">
        <v>2057</v>
      </c>
      <c r="C2268" s="1" t="s">
        <v>5991</v>
      </c>
      <c r="D2268" s="1" t="s">
        <v>5992</v>
      </c>
      <c r="E2268" s="1">
        <v>29401.68</v>
      </c>
      <c r="F2268" s="1" t="s">
        <v>8</v>
      </c>
      <c r="G2268" s="1" t="s">
        <v>9</v>
      </c>
      <c r="H2268" s="1" t="s">
        <v>10</v>
      </c>
    </row>
    <row r="2269" spans="1:8" x14ac:dyDescent="0.3">
      <c r="A2269" s="1">
        <v>768</v>
      </c>
      <c r="B2269" s="1" t="s">
        <v>2057</v>
      </c>
      <c r="C2269" s="1" t="s">
        <v>5993</v>
      </c>
      <c r="D2269" s="1" t="s">
        <v>5994</v>
      </c>
      <c r="E2269" s="1">
        <v>27475.3</v>
      </c>
      <c r="F2269" s="1" t="s">
        <v>8</v>
      </c>
      <c r="G2269" s="1" t="s">
        <v>9</v>
      </c>
      <c r="H2269" s="1" t="s">
        <v>10</v>
      </c>
    </row>
    <row r="2270" spans="1:8" x14ac:dyDescent="0.3">
      <c r="A2270" s="1">
        <v>768</v>
      </c>
      <c r="B2270" s="1" t="s">
        <v>2057</v>
      </c>
      <c r="C2270" s="1" t="s">
        <v>5995</v>
      </c>
      <c r="D2270" s="1" t="s">
        <v>5996</v>
      </c>
      <c r="E2270" s="1">
        <v>29247.9</v>
      </c>
      <c r="F2270" s="1" t="s">
        <v>8</v>
      </c>
      <c r="G2270" s="1" t="s">
        <v>9</v>
      </c>
      <c r="H2270" s="1" t="s">
        <v>10</v>
      </c>
    </row>
    <row r="2271" spans="1:8" x14ac:dyDescent="0.3">
      <c r="A2271" s="1">
        <v>768</v>
      </c>
      <c r="B2271" s="1" t="s">
        <v>2057</v>
      </c>
      <c r="C2271" s="1" t="s">
        <v>5997</v>
      </c>
      <c r="D2271" s="1" t="s">
        <v>5998</v>
      </c>
      <c r="E2271" s="1">
        <v>29269.24</v>
      </c>
      <c r="F2271" s="1" t="s">
        <v>11</v>
      </c>
      <c r="G2271" s="1" t="s">
        <v>9</v>
      </c>
      <c r="H2271" s="1" t="s">
        <v>10</v>
      </c>
    </row>
    <row r="2272" spans="1:8" x14ac:dyDescent="0.3">
      <c r="A2272" s="1">
        <v>768</v>
      </c>
      <c r="B2272" s="1" t="s">
        <v>2057</v>
      </c>
      <c r="C2272" s="1" t="s">
        <v>5999</v>
      </c>
      <c r="D2272" s="1" t="s">
        <v>6000</v>
      </c>
      <c r="E2272" s="1">
        <v>29467.9</v>
      </c>
      <c r="F2272" s="1" t="s">
        <v>8</v>
      </c>
      <c r="G2272" s="1" t="s">
        <v>9</v>
      </c>
      <c r="H2272" s="1" t="s">
        <v>10</v>
      </c>
    </row>
    <row r="2273" spans="1:8" x14ac:dyDescent="0.3">
      <c r="A2273" s="1">
        <v>768</v>
      </c>
      <c r="B2273" s="1" t="s">
        <v>2057</v>
      </c>
      <c r="C2273" s="1" t="s">
        <v>6001</v>
      </c>
      <c r="D2273" s="1" t="s">
        <v>6002</v>
      </c>
      <c r="E2273" s="1">
        <v>29779.68</v>
      </c>
      <c r="F2273" s="1" t="s">
        <v>8</v>
      </c>
      <c r="G2273" s="1" t="s">
        <v>9</v>
      </c>
      <c r="H2273" s="1" t="s">
        <v>10</v>
      </c>
    </row>
    <row r="2274" spans="1:8" x14ac:dyDescent="0.3">
      <c r="A2274" s="1">
        <v>768</v>
      </c>
      <c r="B2274" s="1" t="s">
        <v>2057</v>
      </c>
      <c r="C2274" s="1" t="s">
        <v>6003</v>
      </c>
      <c r="D2274" s="1" t="s">
        <v>6004</v>
      </c>
      <c r="E2274" s="1">
        <v>29666.560000000001</v>
      </c>
      <c r="F2274" s="1" t="s">
        <v>8</v>
      </c>
      <c r="G2274" s="1" t="s">
        <v>9</v>
      </c>
      <c r="H2274" s="1" t="s">
        <v>10</v>
      </c>
    </row>
    <row r="2275" spans="1:8" x14ac:dyDescent="0.3">
      <c r="A2275" s="1">
        <v>768</v>
      </c>
      <c r="B2275" s="1" t="s">
        <v>2057</v>
      </c>
      <c r="C2275" s="1" t="s">
        <v>6005</v>
      </c>
      <c r="D2275" s="1" t="s">
        <v>6006</v>
      </c>
      <c r="E2275" s="1">
        <v>29070.639999999999</v>
      </c>
      <c r="F2275" s="1" t="s">
        <v>8</v>
      </c>
      <c r="G2275" s="1" t="s">
        <v>9</v>
      </c>
      <c r="H2275" s="1" t="s">
        <v>10</v>
      </c>
    </row>
    <row r="2276" spans="1:8" x14ac:dyDescent="0.3">
      <c r="A2276" s="1">
        <v>768</v>
      </c>
      <c r="B2276" s="1" t="s">
        <v>2057</v>
      </c>
      <c r="C2276" s="1" t="s">
        <v>1393</v>
      </c>
      <c r="D2276" s="1" t="s">
        <v>6007</v>
      </c>
      <c r="E2276" s="1">
        <v>26234.48</v>
      </c>
      <c r="F2276" s="1" t="s">
        <v>8</v>
      </c>
      <c r="G2276" s="1" t="s">
        <v>9</v>
      </c>
      <c r="H2276" s="1" t="s">
        <v>10</v>
      </c>
    </row>
    <row r="2277" spans="1:8" x14ac:dyDescent="0.3">
      <c r="A2277" s="1">
        <v>768</v>
      </c>
      <c r="B2277" s="1" t="s">
        <v>2057</v>
      </c>
      <c r="C2277" s="1" t="s">
        <v>6008</v>
      </c>
      <c r="D2277" s="1" t="s">
        <v>6009</v>
      </c>
      <c r="E2277" s="1">
        <v>28805.7</v>
      </c>
      <c r="F2277" s="1" t="s">
        <v>8</v>
      </c>
      <c r="G2277" s="1" t="s">
        <v>9</v>
      </c>
      <c r="H2277" s="1" t="s">
        <v>10</v>
      </c>
    </row>
    <row r="2278" spans="1:8" x14ac:dyDescent="0.3">
      <c r="A2278" s="1">
        <v>768</v>
      </c>
      <c r="B2278" s="1" t="s">
        <v>2057</v>
      </c>
      <c r="C2278" s="1" t="s">
        <v>6010</v>
      </c>
      <c r="D2278" s="1" t="s">
        <v>6011</v>
      </c>
      <c r="E2278" s="1">
        <v>29269.24</v>
      </c>
      <c r="F2278" s="1" t="s">
        <v>8</v>
      </c>
      <c r="G2278" s="1" t="s">
        <v>9</v>
      </c>
      <c r="H2278" s="1" t="s">
        <v>10</v>
      </c>
    </row>
    <row r="2279" spans="1:8" x14ac:dyDescent="0.3">
      <c r="A2279" s="1">
        <v>768</v>
      </c>
      <c r="B2279" s="1" t="s">
        <v>2057</v>
      </c>
      <c r="C2279" s="1" t="s">
        <v>1390</v>
      </c>
      <c r="D2279" s="1" t="s">
        <v>6012</v>
      </c>
      <c r="E2279" s="1">
        <v>28716.12</v>
      </c>
      <c r="F2279" s="1" t="s">
        <v>8</v>
      </c>
      <c r="G2279" s="1" t="s">
        <v>9</v>
      </c>
      <c r="H2279" s="1" t="s">
        <v>10</v>
      </c>
    </row>
    <row r="2280" spans="1:8" x14ac:dyDescent="0.3">
      <c r="A2280" s="1">
        <v>768</v>
      </c>
      <c r="B2280" s="1" t="s">
        <v>2057</v>
      </c>
      <c r="C2280" s="1" t="s">
        <v>6013</v>
      </c>
      <c r="D2280" s="1" t="s">
        <v>6014</v>
      </c>
      <c r="E2280" s="1">
        <v>29203.02</v>
      </c>
      <c r="F2280" s="1" t="s">
        <v>8</v>
      </c>
      <c r="G2280" s="1" t="s">
        <v>9</v>
      </c>
      <c r="H2280" s="1" t="s">
        <v>10</v>
      </c>
    </row>
    <row r="2281" spans="1:8" x14ac:dyDescent="0.3">
      <c r="A2281" s="1">
        <v>768</v>
      </c>
      <c r="B2281" s="1" t="s">
        <v>2057</v>
      </c>
      <c r="C2281" s="1" t="s">
        <v>6015</v>
      </c>
      <c r="D2281" s="1" t="s">
        <v>6016</v>
      </c>
      <c r="E2281" s="1">
        <v>29732.78</v>
      </c>
      <c r="F2281" s="1" t="s">
        <v>8</v>
      </c>
      <c r="G2281" s="1" t="s">
        <v>9</v>
      </c>
      <c r="H2281" s="1" t="s">
        <v>10</v>
      </c>
    </row>
    <row r="2282" spans="1:8" x14ac:dyDescent="0.3">
      <c r="A2282" s="1">
        <v>768</v>
      </c>
      <c r="B2282" s="1" t="s">
        <v>2057</v>
      </c>
      <c r="C2282" s="1" t="s">
        <v>6017</v>
      </c>
      <c r="D2282" s="1" t="s">
        <v>6018</v>
      </c>
      <c r="E2282" s="1">
        <v>28893.38</v>
      </c>
      <c r="F2282" s="1" t="s">
        <v>8</v>
      </c>
      <c r="G2282" s="1" t="s">
        <v>9</v>
      </c>
      <c r="H2282" s="1" t="s">
        <v>10</v>
      </c>
    </row>
    <row r="2283" spans="1:8" x14ac:dyDescent="0.3">
      <c r="A2283" s="1">
        <v>768</v>
      </c>
      <c r="B2283" s="1" t="s">
        <v>2057</v>
      </c>
      <c r="C2283" s="1" t="s">
        <v>6019</v>
      </c>
      <c r="D2283" s="1" t="s">
        <v>6020</v>
      </c>
      <c r="E2283" s="1">
        <v>28007.08</v>
      </c>
      <c r="F2283" s="1" t="s">
        <v>8</v>
      </c>
      <c r="G2283" s="1" t="s">
        <v>9</v>
      </c>
      <c r="H2283" s="1" t="s">
        <v>10</v>
      </c>
    </row>
    <row r="2284" spans="1:8" x14ac:dyDescent="0.3">
      <c r="A2284" s="1">
        <v>768</v>
      </c>
      <c r="B2284" s="1" t="s">
        <v>2057</v>
      </c>
      <c r="C2284" s="1" t="s">
        <v>6021</v>
      </c>
      <c r="D2284" s="1" t="s">
        <v>6022</v>
      </c>
      <c r="E2284" s="1">
        <v>29070.58</v>
      </c>
      <c r="F2284" s="1" t="s">
        <v>8</v>
      </c>
      <c r="G2284" s="1" t="s">
        <v>9</v>
      </c>
      <c r="H2284" s="1" t="s">
        <v>10</v>
      </c>
    </row>
    <row r="2285" spans="1:8" x14ac:dyDescent="0.3">
      <c r="A2285" s="1">
        <v>768</v>
      </c>
      <c r="B2285" s="1" t="s">
        <v>2057</v>
      </c>
      <c r="C2285" s="1" t="s">
        <v>6023</v>
      </c>
      <c r="D2285" s="1" t="s">
        <v>6024</v>
      </c>
      <c r="E2285" s="1">
        <v>27829.82</v>
      </c>
      <c r="F2285" s="1" t="s">
        <v>8</v>
      </c>
      <c r="G2285" s="1" t="s">
        <v>9</v>
      </c>
      <c r="H2285" s="1" t="s">
        <v>10</v>
      </c>
    </row>
    <row r="2286" spans="1:8" x14ac:dyDescent="0.3">
      <c r="A2286" s="1">
        <v>768</v>
      </c>
      <c r="B2286" s="1" t="s">
        <v>2057</v>
      </c>
      <c r="C2286" s="1" t="s">
        <v>6025</v>
      </c>
      <c r="D2286" s="1" t="s">
        <v>6026</v>
      </c>
      <c r="E2286" s="1">
        <v>26589</v>
      </c>
      <c r="F2286" s="1" t="s">
        <v>8</v>
      </c>
      <c r="G2286" s="1" t="s">
        <v>9</v>
      </c>
      <c r="H2286" s="1" t="s">
        <v>10</v>
      </c>
    </row>
    <row r="2287" spans="1:8" x14ac:dyDescent="0.3">
      <c r="A2287" s="1">
        <v>768</v>
      </c>
      <c r="B2287" s="1" t="s">
        <v>2057</v>
      </c>
      <c r="C2287" s="1" t="s">
        <v>6027</v>
      </c>
      <c r="D2287" s="1" t="s">
        <v>6028</v>
      </c>
      <c r="E2287" s="1">
        <v>26943.52</v>
      </c>
      <c r="F2287" s="1" t="s">
        <v>8</v>
      </c>
      <c r="G2287" s="1" t="s">
        <v>9</v>
      </c>
      <c r="H2287" s="1" t="s">
        <v>10</v>
      </c>
    </row>
    <row r="2288" spans="1:8" x14ac:dyDescent="0.3">
      <c r="A2288" s="1">
        <v>768</v>
      </c>
      <c r="B2288" s="1" t="s">
        <v>2057</v>
      </c>
      <c r="C2288" s="1" t="s">
        <v>6029</v>
      </c>
      <c r="D2288" s="1" t="s">
        <v>6030</v>
      </c>
      <c r="E2288" s="1">
        <v>25879.96</v>
      </c>
      <c r="F2288" s="1" t="s">
        <v>8</v>
      </c>
      <c r="G2288" s="1" t="s">
        <v>9</v>
      </c>
      <c r="H2288" s="1" t="s">
        <v>10</v>
      </c>
    </row>
    <row r="2289" spans="1:8" x14ac:dyDescent="0.3">
      <c r="A2289" s="1">
        <v>768</v>
      </c>
      <c r="B2289" s="1" t="s">
        <v>2057</v>
      </c>
      <c r="C2289" s="1" t="s">
        <v>6031</v>
      </c>
      <c r="D2289" s="1" t="s">
        <v>6032</v>
      </c>
      <c r="E2289" s="1">
        <v>28361.599999999999</v>
      </c>
      <c r="F2289" s="1" t="s">
        <v>8</v>
      </c>
      <c r="G2289" s="1" t="s">
        <v>9</v>
      </c>
      <c r="H2289" s="1" t="s">
        <v>10</v>
      </c>
    </row>
    <row r="2290" spans="1:8" x14ac:dyDescent="0.3">
      <c r="A2290" s="1">
        <v>768</v>
      </c>
      <c r="B2290" s="1" t="s">
        <v>2057</v>
      </c>
      <c r="C2290" s="1" t="s">
        <v>6033</v>
      </c>
      <c r="D2290" s="1" t="s">
        <v>6034</v>
      </c>
      <c r="E2290" s="1">
        <v>28871.919999999998</v>
      </c>
      <c r="F2290" s="1" t="s">
        <v>8</v>
      </c>
      <c r="G2290" s="1" t="s">
        <v>9</v>
      </c>
      <c r="H2290" s="1" t="s">
        <v>10</v>
      </c>
    </row>
    <row r="2291" spans="1:8" x14ac:dyDescent="0.3">
      <c r="A2291" s="1">
        <v>768</v>
      </c>
      <c r="B2291" s="1" t="s">
        <v>2057</v>
      </c>
      <c r="C2291" s="1" t="s">
        <v>6035</v>
      </c>
      <c r="D2291" s="1" t="s">
        <v>6036</v>
      </c>
      <c r="E2291" s="1">
        <v>28938.14</v>
      </c>
      <c r="F2291" s="1" t="s">
        <v>8</v>
      </c>
      <c r="G2291" s="1" t="s">
        <v>9</v>
      </c>
      <c r="H2291" s="1" t="s">
        <v>10</v>
      </c>
    </row>
    <row r="2292" spans="1:8" x14ac:dyDescent="0.3">
      <c r="A2292" s="1">
        <v>768</v>
      </c>
      <c r="B2292" s="1" t="s">
        <v>2057</v>
      </c>
      <c r="C2292" s="1" t="s">
        <v>1389</v>
      </c>
      <c r="D2292" s="1" t="s">
        <v>6037</v>
      </c>
      <c r="E2292" s="1">
        <v>9545.51</v>
      </c>
      <c r="F2292" s="1" t="s">
        <v>8</v>
      </c>
      <c r="G2292" s="1" t="s">
        <v>9</v>
      </c>
      <c r="H2292" s="1" t="s">
        <v>10</v>
      </c>
    </row>
    <row r="2293" spans="1:8" x14ac:dyDescent="0.3">
      <c r="A2293" s="1">
        <v>768</v>
      </c>
      <c r="B2293" s="1" t="s">
        <v>2057</v>
      </c>
      <c r="C2293" s="1" t="s">
        <v>6038</v>
      </c>
      <c r="D2293" s="1" t="s">
        <v>6039</v>
      </c>
      <c r="E2293" s="1">
        <v>29602.42</v>
      </c>
      <c r="F2293" s="1" t="s">
        <v>8</v>
      </c>
      <c r="G2293" s="1" t="s">
        <v>9</v>
      </c>
      <c r="H2293" s="1" t="s">
        <v>10</v>
      </c>
    </row>
    <row r="2294" spans="1:8" x14ac:dyDescent="0.3">
      <c r="A2294" s="1">
        <v>768</v>
      </c>
      <c r="B2294" s="1" t="s">
        <v>2057</v>
      </c>
      <c r="C2294" s="1" t="s">
        <v>6040</v>
      </c>
      <c r="D2294" s="1" t="s">
        <v>6041</v>
      </c>
      <c r="E2294" s="1">
        <v>29956.94</v>
      </c>
      <c r="F2294" s="1" t="s">
        <v>8</v>
      </c>
      <c r="G2294" s="1" t="s">
        <v>9</v>
      </c>
      <c r="H2294" s="1" t="s">
        <v>10</v>
      </c>
    </row>
    <row r="2295" spans="1:8" x14ac:dyDescent="0.3">
      <c r="A2295" s="1">
        <v>768</v>
      </c>
      <c r="B2295" s="1" t="s">
        <v>2057</v>
      </c>
      <c r="C2295" s="1" t="s">
        <v>1788</v>
      </c>
      <c r="D2295" s="1" t="s">
        <v>6042</v>
      </c>
      <c r="E2295" s="1">
        <v>29799</v>
      </c>
      <c r="F2295" s="1" t="s">
        <v>8</v>
      </c>
      <c r="G2295" s="1" t="s">
        <v>9</v>
      </c>
      <c r="H2295" s="1" t="s">
        <v>10</v>
      </c>
    </row>
    <row r="2296" spans="1:8" x14ac:dyDescent="0.3">
      <c r="A2296" s="1">
        <v>768</v>
      </c>
      <c r="B2296" s="1" t="s">
        <v>2057</v>
      </c>
      <c r="C2296" s="1" t="s">
        <v>3831</v>
      </c>
      <c r="D2296" s="1" t="s">
        <v>6043</v>
      </c>
      <c r="E2296" s="1">
        <v>26057.22</v>
      </c>
      <c r="F2296" s="1" t="s">
        <v>8</v>
      </c>
      <c r="G2296" s="1" t="s">
        <v>9</v>
      </c>
      <c r="H2296" s="1" t="s">
        <v>10</v>
      </c>
    </row>
    <row r="2297" spans="1:8" x14ac:dyDescent="0.3">
      <c r="A2297" s="1">
        <v>768</v>
      </c>
      <c r="B2297" s="1" t="s">
        <v>2057</v>
      </c>
      <c r="C2297" s="1" t="s">
        <v>1392</v>
      </c>
      <c r="D2297" s="1" t="s">
        <v>6044</v>
      </c>
      <c r="E2297" s="1">
        <v>26411.74</v>
      </c>
      <c r="F2297" s="1" t="s">
        <v>8</v>
      </c>
      <c r="G2297" s="1" t="s">
        <v>9</v>
      </c>
      <c r="H2297" s="1" t="s">
        <v>10</v>
      </c>
    </row>
    <row r="2298" spans="1:8" x14ac:dyDescent="0.3">
      <c r="A2298" s="1">
        <v>768</v>
      </c>
      <c r="B2298" s="1" t="s">
        <v>2057</v>
      </c>
      <c r="C2298" s="1" t="s">
        <v>6045</v>
      </c>
      <c r="D2298" s="1" t="s">
        <v>6046</v>
      </c>
      <c r="E2298" s="1">
        <v>28184.34</v>
      </c>
      <c r="F2298" s="1" t="s">
        <v>8</v>
      </c>
      <c r="G2298" s="1" t="s">
        <v>9</v>
      </c>
      <c r="H2298" s="1" t="s">
        <v>10</v>
      </c>
    </row>
    <row r="2299" spans="1:8" x14ac:dyDescent="0.3">
      <c r="A2299" s="1">
        <v>768</v>
      </c>
      <c r="B2299" s="1" t="s">
        <v>2057</v>
      </c>
      <c r="C2299" s="1" t="s">
        <v>6047</v>
      </c>
      <c r="D2299" s="1" t="s">
        <v>6048</v>
      </c>
      <c r="E2299" s="1">
        <v>27298.04</v>
      </c>
      <c r="F2299" s="1" t="s">
        <v>8</v>
      </c>
      <c r="G2299" s="1" t="s">
        <v>9</v>
      </c>
      <c r="H2299" s="1" t="s">
        <v>10</v>
      </c>
    </row>
    <row r="2300" spans="1:8" x14ac:dyDescent="0.3">
      <c r="A2300" s="1">
        <v>768</v>
      </c>
      <c r="B2300" s="1" t="s">
        <v>2057</v>
      </c>
      <c r="C2300" s="1" t="s">
        <v>6049</v>
      </c>
      <c r="D2300" s="1" t="s">
        <v>6050</v>
      </c>
      <c r="E2300" s="1">
        <v>29335.46</v>
      </c>
      <c r="F2300" s="1" t="s">
        <v>8</v>
      </c>
      <c r="G2300" s="1" t="s">
        <v>9</v>
      </c>
      <c r="H2300" s="1" t="s">
        <v>10</v>
      </c>
    </row>
    <row r="2301" spans="1:8" x14ac:dyDescent="0.3">
      <c r="A2301" s="1">
        <v>768</v>
      </c>
      <c r="B2301" s="1" t="s">
        <v>2057</v>
      </c>
      <c r="C2301" s="1" t="s">
        <v>6051</v>
      </c>
      <c r="D2301" s="1" t="s">
        <v>6052</v>
      </c>
      <c r="E2301" s="1">
        <v>27120.78</v>
      </c>
      <c r="F2301" s="1" t="s">
        <v>8</v>
      </c>
      <c r="G2301" s="1" t="s">
        <v>9</v>
      </c>
      <c r="H2301" s="1" t="s">
        <v>10</v>
      </c>
    </row>
    <row r="2302" spans="1:8" x14ac:dyDescent="0.3">
      <c r="A2302" s="1">
        <v>768</v>
      </c>
      <c r="B2302" s="1" t="s">
        <v>2057</v>
      </c>
      <c r="C2302" s="1" t="s">
        <v>6053</v>
      </c>
      <c r="D2302" s="1" t="s">
        <v>6054</v>
      </c>
      <c r="E2302" s="1">
        <v>29534.12</v>
      </c>
      <c r="F2302" s="1" t="s">
        <v>8</v>
      </c>
      <c r="G2302" s="1" t="s">
        <v>9</v>
      </c>
      <c r="H2302" s="1" t="s">
        <v>10</v>
      </c>
    </row>
    <row r="2303" spans="1:8" x14ac:dyDescent="0.3">
      <c r="A2303" s="1">
        <v>768</v>
      </c>
      <c r="B2303" s="1" t="s">
        <v>2057</v>
      </c>
      <c r="C2303" s="1" t="s">
        <v>6055</v>
      </c>
      <c r="D2303" s="1" t="s">
        <v>6056</v>
      </c>
      <c r="E2303" s="1">
        <v>28739.48</v>
      </c>
      <c r="F2303" s="1" t="s">
        <v>8</v>
      </c>
      <c r="G2303" s="1" t="s">
        <v>9</v>
      </c>
      <c r="H2303" s="1" t="s">
        <v>10</v>
      </c>
    </row>
    <row r="2304" spans="1:8" x14ac:dyDescent="0.3">
      <c r="A2304" s="1">
        <v>768</v>
      </c>
      <c r="B2304" s="1" t="s">
        <v>2057</v>
      </c>
      <c r="C2304" s="1" t="s">
        <v>6057</v>
      </c>
      <c r="D2304" s="1" t="s">
        <v>6058</v>
      </c>
      <c r="E2304" s="1">
        <v>67048.289999999994</v>
      </c>
      <c r="F2304" s="1" t="s">
        <v>8</v>
      </c>
      <c r="G2304" s="1" t="s">
        <v>9</v>
      </c>
      <c r="H2304" s="1" t="s">
        <v>10</v>
      </c>
    </row>
    <row r="2305" spans="1:8" x14ac:dyDescent="0.3">
      <c r="A2305" s="1">
        <v>768</v>
      </c>
      <c r="B2305" s="1" t="s">
        <v>2057</v>
      </c>
      <c r="C2305" s="1" t="s">
        <v>6059</v>
      </c>
      <c r="D2305" s="1" t="s">
        <v>6060</v>
      </c>
      <c r="E2305" s="1">
        <v>4853.5200000000004</v>
      </c>
      <c r="F2305" s="1" t="s">
        <v>8</v>
      </c>
      <c r="G2305" s="1" t="s">
        <v>9</v>
      </c>
      <c r="H2305" s="1" t="s">
        <v>10</v>
      </c>
    </row>
    <row r="2306" spans="1:8" x14ac:dyDescent="0.3">
      <c r="A2306" s="1">
        <v>768</v>
      </c>
      <c r="B2306" s="1" t="s">
        <v>2057</v>
      </c>
      <c r="C2306" s="1" t="s">
        <v>6061</v>
      </c>
      <c r="D2306" s="1" t="s">
        <v>6062</v>
      </c>
      <c r="E2306" s="1">
        <v>1045.94</v>
      </c>
      <c r="F2306" s="1" t="s">
        <v>8</v>
      </c>
      <c r="G2306" s="1" t="s">
        <v>9</v>
      </c>
      <c r="H2306" s="1" t="s">
        <v>10</v>
      </c>
    </row>
    <row r="2307" spans="1:8" x14ac:dyDescent="0.3">
      <c r="A2307" s="1">
        <v>768</v>
      </c>
      <c r="B2307" s="1" t="s">
        <v>2057</v>
      </c>
      <c r="C2307" s="1" t="s">
        <v>6063</v>
      </c>
      <c r="D2307" s="1" t="s">
        <v>6064</v>
      </c>
      <c r="E2307" s="1">
        <v>24</v>
      </c>
      <c r="F2307" s="1" t="s">
        <v>8</v>
      </c>
      <c r="G2307" s="1" t="s">
        <v>9</v>
      </c>
      <c r="H2307" s="1" t="s">
        <v>10</v>
      </c>
    </row>
    <row r="2308" spans="1:8" x14ac:dyDescent="0.3">
      <c r="A2308" s="1">
        <v>768</v>
      </c>
      <c r="B2308" s="1" t="s">
        <v>2057</v>
      </c>
      <c r="C2308" s="1" t="s">
        <v>6065</v>
      </c>
      <c r="D2308" s="1" t="s">
        <v>6066</v>
      </c>
      <c r="E2308" s="1">
        <v>1294.2</v>
      </c>
      <c r="F2308" s="1" t="s">
        <v>8</v>
      </c>
      <c r="G2308" s="1" t="s">
        <v>9</v>
      </c>
      <c r="H2308" s="1" t="s">
        <v>10</v>
      </c>
    </row>
    <row r="2309" spans="1:8" x14ac:dyDescent="0.3">
      <c r="A2309" s="1">
        <v>768</v>
      </c>
      <c r="B2309" s="1" t="s">
        <v>2057</v>
      </c>
      <c r="C2309" s="1" t="s">
        <v>6067</v>
      </c>
      <c r="D2309" s="1" t="s">
        <v>6068</v>
      </c>
      <c r="E2309" s="1">
        <v>500</v>
      </c>
      <c r="F2309" s="1" t="s">
        <v>8</v>
      </c>
      <c r="G2309" s="1" t="s">
        <v>13</v>
      </c>
      <c r="H2309" s="1" t="s">
        <v>10</v>
      </c>
    </row>
    <row r="2310" spans="1:8" x14ac:dyDescent="0.3">
      <c r="A2310" s="1">
        <v>768</v>
      </c>
      <c r="B2310" s="1" t="s">
        <v>2057</v>
      </c>
      <c r="C2310" s="1" t="s">
        <v>6069</v>
      </c>
      <c r="D2310" s="1" t="s">
        <v>6070</v>
      </c>
      <c r="E2310" s="1">
        <v>12665.88</v>
      </c>
      <c r="F2310" s="1" t="s">
        <v>8</v>
      </c>
      <c r="G2310" s="1" t="s">
        <v>9</v>
      </c>
      <c r="H2310" s="1" t="s">
        <v>10</v>
      </c>
    </row>
    <row r="2311" spans="1:8" x14ac:dyDescent="0.3">
      <c r="A2311" s="1">
        <v>768</v>
      </c>
      <c r="B2311" s="1" t="s">
        <v>2057</v>
      </c>
      <c r="C2311" s="1" t="s">
        <v>6071</v>
      </c>
      <c r="D2311" s="1" t="s">
        <v>6072</v>
      </c>
      <c r="E2311" s="1">
        <v>19315.2</v>
      </c>
      <c r="F2311" s="1" t="s">
        <v>8</v>
      </c>
      <c r="G2311" s="1" t="s">
        <v>9</v>
      </c>
      <c r="H2311" s="1" t="s">
        <v>10</v>
      </c>
    </row>
    <row r="2312" spans="1:8" x14ac:dyDescent="0.3">
      <c r="A2312" s="1">
        <v>768</v>
      </c>
      <c r="B2312" s="1" t="s">
        <v>2057</v>
      </c>
      <c r="C2312" s="1" t="s">
        <v>6073</v>
      </c>
      <c r="D2312" s="1" t="s">
        <v>6074</v>
      </c>
      <c r="E2312" s="1">
        <v>439.56</v>
      </c>
      <c r="F2312" s="1" t="s">
        <v>8</v>
      </c>
      <c r="G2312" s="1" t="s">
        <v>9</v>
      </c>
      <c r="H2312" s="1" t="s">
        <v>10</v>
      </c>
    </row>
    <row r="2313" spans="1:8" x14ac:dyDescent="0.3">
      <c r="A2313" s="1">
        <v>768</v>
      </c>
      <c r="B2313" s="1" t="s">
        <v>2057</v>
      </c>
      <c r="C2313" s="1" t="s">
        <v>6075</v>
      </c>
      <c r="D2313" s="1" t="s">
        <v>6076</v>
      </c>
      <c r="E2313" s="1">
        <v>201.6</v>
      </c>
      <c r="F2313" s="1" t="s">
        <v>8</v>
      </c>
      <c r="G2313" s="1" t="s">
        <v>9</v>
      </c>
      <c r="H2313" s="1" t="s">
        <v>10</v>
      </c>
    </row>
    <row r="2314" spans="1:8" x14ac:dyDescent="0.3">
      <c r="A2314" s="1">
        <v>768</v>
      </c>
      <c r="B2314" s="1" t="s">
        <v>2057</v>
      </c>
      <c r="C2314" s="1" t="s">
        <v>6077</v>
      </c>
      <c r="D2314" s="1" t="s">
        <v>6078</v>
      </c>
      <c r="E2314" s="1">
        <v>7992</v>
      </c>
      <c r="F2314" s="1" t="s">
        <v>8</v>
      </c>
      <c r="G2314" s="1" t="s">
        <v>9</v>
      </c>
      <c r="H2314" s="1" t="s">
        <v>10</v>
      </c>
    </row>
    <row r="2315" spans="1:8" x14ac:dyDescent="0.3">
      <c r="A2315" s="1">
        <v>768</v>
      </c>
      <c r="B2315" s="1" t="s">
        <v>2057</v>
      </c>
      <c r="C2315" s="1" t="s">
        <v>6079</v>
      </c>
      <c r="D2315" s="1" t="s">
        <v>6080</v>
      </c>
      <c r="E2315" s="1">
        <v>187.2</v>
      </c>
      <c r="F2315" s="1" t="s">
        <v>8</v>
      </c>
      <c r="G2315" s="1" t="s">
        <v>9</v>
      </c>
      <c r="H2315" s="1" t="s">
        <v>10</v>
      </c>
    </row>
    <row r="2316" spans="1:8" x14ac:dyDescent="0.3">
      <c r="A2316" s="1">
        <v>768</v>
      </c>
      <c r="B2316" s="1" t="s">
        <v>2057</v>
      </c>
      <c r="C2316" s="1" t="s">
        <v>6081</v>
      </c>
      <c r="D2316" s="1" t="s">
        <v>6082</v>
      </c>
      <c r="E2316" s="1">
        <v>1652</v>
      </c>
      <c r="F2316" s="1" t="s">
        <v>8</v>
      </c>
      <c r="G2316" s="1" t="s">
        <v>9</v>
      </c>
      <c r="H2316" s="1" t="s">
        <v>10</v>
      </c>
    </row>
    <row r="2317" spans="1:8" x14ac:dyDescent="0.3">
      <c r="A2317" s="1">
        <v>768</v>
      </c>
      <c r="B2317" s="1" t="s">
        <v>2057</v>
      </c>
      <c r="C2317" s="1" t="s">
        <v>6083</v>
      </c>
      <c r="D2317" s="1" t="s">
        <v>6084</v>
      </c>
      <c r="E2317" s="1">
        <v>10248.48</v>
      </c>
      <c r="F2317" s="1" t="s">
        <v>8</v>
      </c>
      <c r="G2317" s="1" t="s">
        <v>9</v>
      </c>
      <c r="H2317" s="1" t="s">
        <v>10</v>
      </c>
    </row>
    <row r="2318" spans="1:8" x14ac:dyDescent="0.3">
      <c r="A2318" s="1">
        <v>768</v>
      </c>
      <c r="B2318" s="1" t="s">
        <v>2057</v>
      </c>
      <c r="C2318" s="1" t="s">
        <v>6085</v>
      </c>
      <c r="D2318" s="1" t="s">
        <v>6086</v>
      </c>
      <c r="E2318" s="1">
        <v>1437.36</v>
      </c>
      <c r="F2318" s="1" t="s">
        <v>8</v>
      </c>
      <c r="G2318" s="1" t="s">
        <v>9</v>
      </c>
      <c r="H2318" s="1" t="s">
        <v>10</v>
      </c>
    </row>
    <row r="2319" spans="1:8" x14ac:dyDescent="0.3">
      <c r="A2319" s="1">
        <v>768</v>
      </c>
      <c r="B2319" s="1" t="s">
        <v>2057</v>
      </c>
      <c r="C2319" s="1" t="s">
        <v>6087</v>
      </c>
      <c r="D2319" s="1" t="s">
        <v>6088</v>
      </c>
      <c r="E2319" s="1">
        <v>1416.28</v>
      </c>
      <c r="F2319" s="1" t="s">
        <v>8</v>
      </c>
      <c r="G2319" s="1" t="s">
        <v>9</v>
      </c>
      <c r="H2319" s="1" t="s">
        <v>10</v>
      </c>
    </row>
    <row r="2320" spans="1:8" x14ac:dyDescent="0.3">
      <c r="A2320" s="1">
        <v>768</v>
      </c>
      <c r="B2320" s="1" t="s">
        <v>2057</v>
      </c>
      <c r="C2320" s="1" t="s">
        <v>6089</v>
      </c>
      <c r="D2320" s="1" t="s">
        <v>6090</v>
      </c>
      <c r="E2320" s="1">
        <v>1860.29</v>
      </c>
      <c r="F2320" s="1" t="s">
        <v>8</v>
      </c>
      <c r="G2320" s="1" t="s">
        <v>9</v>
      </c>
      <c r="H2320" s="1" t="s">
        <v>10</v>
      </c>
    </row>
    <row r="2321" spans="1:8" x14ac:dyDescent="0.3">
      <c r="A2321" s="1">
        <v>768</v>
      </c>
      <c r="B2321" s="1" t="s">
        <v>2057</v>
      </c>
      <c r="C2321" s="1" t="s">
        <v>6091</v>
      </c>
      <c r="D2321" s="1" t="s">
        <v>6092</v>
      </c>
      <c r="E2321" s="1">
        <v>13915</v>
      </c>
      <c r="F2321" s="1" t="s">
        <v>8</v>
      </c>
      <c r="G2321" s="1" t="s">
        <v>9</v>
      </c>
      <c r="H2321" s="1" t="s">
        <v>10</v>
      </c>
    </row>
    <row r="2322" spans="1:8" x14ac:dyDescent="0.3">
      <c r="A2322" s="1">
        <v>768</v>
      </c>
      <c r="B2322" s="1" t="s">
        <v>2057</v>
      </c>
      <c r="C2322" s="1" t="s">
        <v>6093</v>
      </c>
      <c r="D2322" s="1" t="s">
        <v>6094</v>
      </c>
      <c r="E2322" s="1">
        <v>1337.07</v>
      </c>
      <c r="F2322" s="1" t="s">
        <v>8</v>
      </c>
      <c r="G2322" s="1" t="s">
        <v>9</v>
      </c>
      <c r="H2322" s="1" t="s">
        <v>10</v>
      </c>
    </row>
    <row r="2323" spans="1:8" x14ac:dyDescent="0.3">
      <c r="A2323" s="1">
        <v>768</v>
      </c>
      <c r="B2323" s="1" t="s">
        <v>2057</v>
      </c>
      <c r="C2323" s="1" t="s">
        <v>6095</v>
      </c>
      <c r="D2323" s="1" t="s">
        <v>6096</v>
      </c>
      <c r="E2323" s="1">
        <v>39.119999999999997</v>
      </c>
      <c r="F2323" s="1" t="s">
        <v>8</v>
      </c>
      <c r="G2323" s="1" t="s">
        <v>9</v>
      </c>
      <c r="H2323" s="1" t="s">
        <v>10</v>
      </c>
    </row>
    <row r="2324" spans="1:8" x14ac:dyDescent="0.3">
      <c r="A2324" s="1">
        <v>768</v>
      </c>
      <c r="B2324" s="1" t="s">
        <v>2057</v>
      </c>
      <c r="C2324" s="1" t="s">
        <v>6097</v>
      </c>
      <c r="D2324" s="1" t="s">
        <v>6098</v>
      </c>
      <c r="E2324" s="1">
        <v>10539.6</v>
      </c>
      <c r="F2324" s="1" t="s">
        <v>8</v>
      </c>
      <c r="G2324" s="1" t="s">
        <v>9</v>
      </c>
      <c r="H2324" s="1" t="s">
        <v>10</v>
      </c>
    </row>
    <row r="2325" spans="1:8" x14ac:dyDescent="0.3">
      <c r="A2325" s="1">
        <v>768</v>
      </c>
      <c r="B2325" s="1" t="s">
        <v>2057</v>
      </c>
      <c r="C2325" s="1" t="s">
        <v>6099</v>
      </c>
      <c r="D2325" s="1" t="s">
        <v>6100</v>
      </c>
      <c r="E2325" s="1">
        <v>1620</v>
      </c>
      <c r="F2325" s="1" t="s">
        <v>8</v>
      </c>
      <c r="G2325" s="1" t="s">
        <v>9</v>
      </c>
      <c r="H2325" s="1" t="s">
        <v>10</v>
      </c>
    </row>
    <row r="2326" spans="1:8" x14ac:dyDescent="0.3">
      <c r="A2326" s="1">
        <v>768</v>
      </c>
      <c r="B2326" s="1" t="s">
        <v>2057</v>
      </c>
      <c r="C2326" s="1" t="s">
        <v>6101</v>
      </c>
      <c r="D2326" s="1" t="s">
        <v>6102</v>
      </c>
      <c r="E2326" s="1">
        <v>4712.3999999999996</v>
      </c>
      <c r="F2326" s="1" t="s">
        <v>8</v>
      </c>
      <c r="G2326" s="1" t="s">
        <v>9</v>
      </c>
      <c r="H2326" s="1" t="s">
        <v>10</v>
      </c>
    </row>
    <row r="2327" spans="1:8" x14ac:dyDescent="0.3">
      <c r="A2327" s="1">
        <v>768</v>
      </c>
      <c r="B2327" s="1" t="s">
        <v>2057</v>
      </c>
      <c r="C2327" s="1" t="s">
        <v>6103</v>
      </c>
      <c r="D2327" s="1" t="s">
        <v>6104</v>
      </c>
      <c r="E2327" s="1">
        <v>867</v>
      </c>
      <c r="F2327" s="1" t="s">
        <v>8</v>
      </c>
      <c r="G2327" s="1" t="s">
        <v>9</v>
      </c>
      <c r="H2327" s="1" t="s">
        <v>10</v>
      </c>
    </row>
    <row r="2328" spans="1:8" x14ac:dyDescent="0.3">
      <c r="A2328" s="1">
        <v>768</v>
      </c>
      <c r="B2328" s="1" t="s">
        <v>2057</v>
      </c>
      <c r="C2328" s="1" t="s">
        <v>6105</v>
      </c>
      <c r="D2328" s="1" t="s">
        <v>6106</v>
      </c>
      <c r="E2328" s="1">
        <v>23889.8</v>
      </c>
      <c r="F2328" s="1" t="s">
        <v>8</v>
      </c>
      <c r="G2328" s="1" t="s">
        <v>9</v>
      </c>
      <c r="H2328" s="1" t="s">
        <v>10</v>
      </c>
    </row>
    <row r="2329" spans="1:8" x14ac:dyDescent="0.3">
      <c r="A2329" s="1">
        <v>768</v>
      </c>
      <c r="B2329" s="1" t="s">
        <v>2057</v>
      </c>
      <c r="C2329" s="1" t="s">
        <v>6107</v>
      </c>
      <c r="D2329" s="1" t="s">
        <v>6108</v>
      </c>
      <c r="E2329" s="1">
        <v>1721</v>
      </c>
      <c r="F2329" s="1" t="s">
        <v>8</v>
      </c>
      <c r="G2329" s="1" t="s">
        <v>9</v>
      </c>
      <c r="H2329" s="1" t="s">
        <v>10</v>
      </c>
    </row>
    <row r="2330" spans="1:8" x14ac:dyDescent="0.3">
      <c r="A2330" s="1">
        <v>768</v>
      </c>
      <c r="B2330" s="1" t="s">
        <v>2057</v>
      </c>
      <c r="C2330" s="1" t="s">
        <v>6109</v>
      </c>
      <c r="D2330" s="1" t="s">
        <v>6110</v>
      </c>
      <c r="E2330" s="1">
        <v>1215</v>
      </c>
      <c r="F2330" s="1" t="s">
        <v>8</v>
      </c>
      <c r="G2330" s="1" t="s">
        <v>9</v>
      </c>
      <c r="H2330" s="1" t="s">
        <v>10</v>
      </c>
    </row>
    <row r="2331" spans="1:8" x14ac:dyDescent="0.3">
      <c r="A2331" s="1">
        <v>768</v>
      </c>
      <c r="B2331" s="1" t="s">
        <v>2057</v>
      </c>
      <c r="C2331" s="1" t="s">
        <v>6111</v>
      </c>
      <c r="D2331" s="1" t="s">
        <v>6112</v>
      </c>
      <c r="E2331" s="1">
        <v>762.03</v>
      </c>
      <c r="F2331" s="1" t="s">
        <v>8</v>
      </c>
      <c r="G2331" s="1" t="s">
        <v>9</v>
      </c>
      <c r="H2331" s="1" t="s">
        <v>10</v>
      </c>
    </row>
    <row r="2332" spans="1:8" x14ac:dyDescent="0.3">
      <c r="A2332" s="1">
        <v>768</v>
      </c>
      <c r="B2332" s="1" t="s">
        <v>2057</v>
      </c>
      <c r="C2332" s="1" t="s">
        <v>6113</v>
      </c>
      <c r="D2332" s="1" t="s">
        <v>6114</v>
      </c>
      <c r="E2332" s="1">
        <v>974.1</v>
      </c>
      <c r="F2332" s="1" t="s">
        <v>8</v>
      </c>
      <c r="G2332" s="1" t="s">
        <v>9</v>
      </c>
      <c r="H2332" s="1" t="s">
        <v>10</v>
      </c>
    </row>
    <row r="2333" spans="1:8" x14ac:dyDescent="0.3">
      <c r="A2333" s="1">
        <v>768</v>
      </c>
      <c r="B2333" s="1" t="s">
        <v>2057</v>
      </c>
      <c r="C2333" s="1" t="s">
        <v>6115</v>
      </c>
      <c r="D2333" s="1" t="s">
        <v>6116</v>
      </c>
      <c r="E2333" s="1">
        <v>18003.189999999999</v>
      </c>
      <c r="F2333" s="1" t="s">
        <v>8</v>
      </c>
      <c r="G2333" s="1" t="s">
        <v>9</v>
      </c>
      <c r="H2333" s="1" t="s">
        <v>10</v>
      </c>
    </row>
    <row r="2334" spans="1:8" x14ac:dyDescent="0.3">
      <c r="A2334" s="1">
        <v>768</v>
      </c>
      <c r="B2334" s="1" t="s">
        <v>2057</v>
      </c>
      <c r="C2334" s="1" t="s">
        <v>6117</v>
      </c>
      <c r="D2334" s="1" t="s">
        <v>6118</v>
      </c>
      <c r="E2334" s="1">
        <v>136.72999999999999</v>
      </c>
      <c r="F2334" s="1" t="s">
        <v>8</v>
      </c>
      <c r="G2334" s="1" t="s">
        <v>9</v>
      </c>
      <c r="H2334" s="1" t="s">
        <v>10</v>
      </c>
    </row>
    <row r="2335" spans="1:8" x14ac:dyDescent="0.3">
      <c r="A2335" s="1">
        <v>768</v>
      </c>
      <c r="B2335" s="1" t="s">
        <v>2057</v>
      </c>
      <c r="C2335" s="1" t="s">
        <v>6119</v>
      </c>
      <c r="D2335" s="1" t="s">
        <v>6120</v>
      </c>
      <c r="E2335" s="1">
        <v>1919.7</v>
      </c>
      <c r="F2335" s="1" t="s">
        <v>8</v>
      </c>
      <c r="G2335" s="1" t="s">
        <v>9</v>
      </c>
      <c r="H2335" s="1" t="s">
        <v>10</v>
      </c>
    </row>
    <row r="2336" spans="1:8" x14ac:dyDescent="0.3">
      <c r="A2336" s="1">
        <v>768</v>
      </c>
      <c r="B2336" s="1" t="s">
        <v>2057</v>
      </c>
      <c r="C2336" s="1" t="s">
        <v>6121</v>
      </c>
      <c r="D2336" s="1" t="s">
        <v>6122</v>
      </c>
      <c r="E2336" s="1">
        <v>1346.35</v>
      </c>
      <c r="F2336" s="1" t="s">
        <v>8</v>
      </c>
      <c r="G2336" s="1" t="s">
        <v>9</v>
      </c>
      <c r="H2336" s="1" t="s">
        <v>10</v>
      </c>
    </row>
    <row r="2337" spans="1:8" x14ac:dyDescent="0.3">
      <c r="A2337" s="1">
        <v>768</v>
      </c>
      <c r="B2337" s="1" t="s">
        <v>2057</v>
      </c>
      <c r="C2337" s="1" t="s">
        <v>6123</v>
      </c>
      <c r="D2337" s="1" t="s">
        <v>6124</v>
      </c>
      <c r="E2337" s="1">
        <v>3759.04</v>
      </c>
      <c r="F2337" s="1" t="s">
        <v>8</v>
      </c>
      <c r="G2337" s="1" t="s">
        <v>9</v>
      </c>
      <c r="H2337" s="1" t="s">
        <v>10</v>
      </c>
    </row>
    <row r="2338" spans="1:8" x14ac:dyDescent="0.3">
      <c r="A2338" s="1">
        <v>768</v>
      </c>
      <c r="B2338" s="1" t="s">
        <v>2057</v>
      </c>
      <c r="C2338" s="1" t="s">
        <v>6125</v>
      </c>
      <c r="D2338" s="1" t="s">
        <v>6126</v>
      </c>
      <c r="E2338" s="1">
        <v>3472.65</v>
      </c>
      <c r="F2338" s="1" t="s">
        <v>8</v>
      </c>
      <c r="G2338" s="1" t="s">
        <v>9</v>
      </c>
      <c r="H2338" s="1" t="s">
        <v>10</v>
      </c>
    </row>
    <row r="2339" spans="1:8" x14ac:dyDescent="0.3">
      <c r="A2339" s="1">
        <v>768</v>
      </c>
      <c r="B2339" s="1" t="s">
        <v>2057</v>
      </c>
      <c r="C2339" s="1" t="s">
        <v>6127</v>
      </c>
      <c r="D2339" s="1" t="s">
        <v>6128</v>
      </c>
      <c r="E2339" s="1">
        <v>3600</v>
      </c>
      <c r="F2339" s="1" t="s">
        <v>8</v>
      </c>
      <c r="G2339" s="1" t="s">
        <v>9</v>
      </c>
      <c r="H2339" s="1" t="s">
        <v>10</v>
      </c>
    </row>
    <row r="2340" spans="1:8" x14ac:dyDescent="0.3">
      <c r="A2340" s="1">
        <v>768</v>
      </c>
      <c r="B2340" s="1" t="s">
        <v>2057</v>
      </c>
      <c r="C2340" s="1" t="s">
        <v>6129</v>
      </c>
      <c r="D2340" s="1" t="s">
        <v>6130</v>
      </c>
      <c r="E2340" s="1">
        <v>29600.34</v>
      </c>
      <c r="F2340" s="1" t="s">
        <v>8</v>
      </c>
      <c r="G2340" s="1" t="s">
        <v>9</v>
      </c>
      <c r="H2340" s="1" t="s">
        <v>10</v>
      </c>
    </row>
    <row r="2341" spans="1:8" x14ac:dyDescent="0.3">
      <c r="A2341" s="1">
        <v>768</v>
      </c>
      <c r="B2341" s="1" t="s">
        <v>2057</v>
      </c>
      <c r="C2341" s="1" t="s">
        <v>6131</v>
      </c>
      <c r="D2341" s="1" t="s">
        <v>6132</v>
      </c>
      <c r="E2341" s="1">
        <v>330</v>
      </c>
      <c r="F2341" s="1" t="s">
        <v>8</v>
      </c>
      <c r="G2341" s="1" t="s">
        <v>9</v>
      </c>
      <c r="H2341" s="1" t="s">
        <v>10</v>
      </c>
    </row>
    <row r="2342" spans="1:8" x14ac:dyDescent="0.3">
      <c r="A2342" s="1">
        <v>768</v>
      </c>
      <c r="B2342" s="1" t="s">
        <v>2057</v>
      </c>
      <c r="C2342" s="1" t="s">
        <v>6133</v>
      </c>
      <c r="D2342" s="1" t="s">
        <v>6134</v>
      </c>
      <c r="E2342" s="1">
        <v>912</v>
      </c>
      <c r="F2342" s="1" t="s">
        <v>8</v>
      </c>
      <c r="G2342" s="1" t="s">
        <v>9</v>
      </c>
      <c r="H2342" s="1" t="s">
        <v>10</v>
      </c>
    </row>
    <row r="2343" spans="1:8" x14ac:dyDescent="0.3">
      <c r="A2343" s="1">
        <v>768</v>
      </c>
      <c r="B2343" s="1" t="s">
        <v>2057</v>
      </c>
      <c r="C2343" s="1" t="s">
        <v>6135</v>
      </c>
      <c r="D2343" s="1" t="s">
        <v>6136</v>
      </c>
      <c r="E2343" s="1">
        <v>3126.6</v>
      </c>
      <c r="F2343" s="1" t="s">
        <v>8</v>
      </c>
      <c r="G2343" s="1" t="s">
        <v>9</v>
      </c>
      <c r="H2343" s="1" t="s">
        <v>10</v>
      </c>
    </row>
    <row r="2344" spans="1:8" x14ac:dyDescent="0.3">
      <c r="A2344" s="1">
        <v>768</v>
      </c>
      <c r="B2344" s="1" t="s">
        <v>2057</v>
      </c>
      <c r="C2344" s="1" t="s">
        <v>6137</v>
      </c>
      <c r="D2344" s="1" t="s">
        <v>6138</v>
      </c>
      <c r="E2344" s="1">
        <v>7267.78</v>
      </c>
      <c r="F2344" s="1" t="s">
        <v>8</v>
      </c>
      <c r="G2344" s="1" t="s">
        <v>9</v>
      </c>
      <c r="H2344" s="1" t="s">
        <v>10</v>
      </c>
    </row>
    <row r="2345" spans="1:8" x14ac:dyDescent="0.3">
      <c r="A2345" s="1">
        <v>768</v>
      </c>
      <c r="B2345" s="1" t="s">
        <v>2057</v>
      </c>
      <c r="C2345" s="1" t="s">
        <v>6139</v>
      </c>
      <c r="D2345" s="1" t="s">
        <v>6140</v>
      </c>
      <c r="E2345" s="1">
        <v>6495</v>
      </c>
      <c r="F2345" s="1" t="s">
        <v>8</v>
      </c>
      <c r="G2345" s="1" t="s">
        <v>9</v>
      </c>
      <c r="H2345" s="1" t="s">
        <v>10</v>
      </c>
    </row>
    <row r="2346" spans="1:8" x14ac:dyDescent="0.3">
      <c r="A2346" s="1">
        <v>768</v>
      </c>
      <c r="B2346" s="1" t="s">
        <v>2057</v>
      </c>
      <c r="C2346" s="1" t="s">
        <v>6141</v>
      </c>
      <c r="D2346" s="1" t="s">
        <v>6142</v>
      </c>
      <c r="E2346" s="1">
        <v>720</v>
      </c>
      <c r="F2346" s="1" t="s">
        <v>8</v>
      </c>
      <c r="G2346" s="1" t="s">
        <v>9</v>
      </c>
      <c r="H2346" s="1" t="s">
        <v>10</v>
      </c>
    </row>
    <row r="2347" spans="1:8" x14ac:dyDescent="0.3">
      <c r="A2347" s="1">
        <v>768</v>
      </c>
      <c r="B2347" s="1" t="s">
        <v>2057</v>
      </c>
      <c r="C2347" s="1" t="s">
        <v>6143</v>
      </c>
      <c r="D2347" s="1" t="s">
        <v>6144</v>
      </c>
      <c r="E2347" s="1">
        <v>2862</v>
      </c>
      <c r="F2347" s="1" t="s">
        <v>8</v>
      </c>
      <c r="G2347" s="1" t="s">
        <v>9</v>
      </c>
      <c r="H2347" s="1" t="s">
        <v>10</v>
      </c>
    </row>
    <row r="2348" spans="1:8" x14ac:dyDescent="0.3">
      <c r="A2348" s="1">
        <v>768</v>
      </c>
      <c r="B2348" s="1" t="s">
        <v>2057</v>
      </c>
      <c r="C2348" s="1" t="s">
        <v>6145</v>
      </c>
      <c r="D2348" s="1" t="s">
        <v>6146</v>
      </c>
      <c r="E2348" s="1">
        <v>2640.05</v>
      </c>
      <c r="F2348" s="1" t="s">
        <v>8</v>
      </c>
      <c r="G2348" s="1" t="s">
        <v>9</v>
      </c>
      <c r="H2348" s="1" t="s">
        <v>10</v>
      </c>
    </row>
    <row r="2349" spans="1:8" x14ac:dyDescent="0.3">
      <c r="A2349" s="1">
        <v>768</v>
      </c>
      <c r="B2349" s="1" t="s">
        <v>2057</v>
      </c>
      <c r="C2349" s="1" t="s">
        <v>6147</v>
      </c>
      <c r="D2349" s="1" t="s">
        <v>6148</v>
      </c>
      <c r="E2349" s="1">
        <v>4448</v>
      </c>
      <c r="F2349" s="1" t="s">
        <v>8</v>
      </c>
      <c r="G2349" s="1" t="s">
        <v>9</v>
      </c>
      <c r="H2349" s="1" t="s">
        <v>10</v>
      </c>
    </row>
    <row r="2350" spans="1:8" x14ac:dyDescent="0.3">
      <c r="A2350" s="1">
        <v>768</v>
      </c>
      <c r="B2350" s="1" t="s">
        <v>2057</v>
      </c>
      <c r="C2350" s="1" t="s">
        <v>6149</v>
      </c>
      <c r="D2350" s="1" t="s">
        <v>6150</v>
      </c>
      <c r="E2350" s="1">
        <v>4980</v>
      </c>
      <c r="F2350" s="1" t="s">
        <v>8</v>
      </c>
      <c r="G2350" s="1" t="s">
        <v>9</v>
      </c>
      <c r="H2350" s="1" t="s">
        <v>10</v>
      </c>
    </row>
    <row r="2351" spans="1:8" x14ac:dyDescent="0.3">
      <c r="A2351" s="1">
        <v>768</v>
      </c>
      <c r="B2351" s="1" t="s">
        <v>2057</v>
      </c>
      <c r="C2351" s="1" t="s">
        <v>6151</v>
      </c>
      <c r="D2351" s="1" t="s">
        <v>6152</v>
      </c>
      <c r="E2351" s="1">
        <v>956</v>
      </c>
      <c r="F2351" s="1" t="s">
        <v>8</v>
      </c>
      <c r="G2351" s="1" t="s">
        <v>9</v>
      </c>
      <c r="H2351" s="1" t="s">
        <v>10</v>
      </c>
    </row>
    <row r="2352" spans="1:8" x14ac:dyDescent="0.3">
      <c r="A2352" s="1">
        <v>768</v>
      </c>
      <c r="B2352" s="1" t="s">
        <v>2057</v>
      </c>
      <c r="C2352" s="1" t="s">
        <v>6153</v>
      </c>
      <c r="D2352" s="1" t="s">
        <v>6154</v>
      </c>
      <c r="E2352" s="1">
        <v>14080</v>
      </c>
      <c r="F2352" s="1" t="s">
        <v>8</v>
      </c>
      <c r="G2352" s="1" t="s">
        <v>9</v>
      </c>
      <c r="H2352" s="1" t="s">
        <v>10</v>
      </c>
    </row>
    <row r="2353" spans="1:8" x14ac:dyDescent="0.3">
      <c r="A2353" s="1">
        <v>768</v>
      </c>
      <c r="B2353" s="1" t="s">
        <v>2057</v>
      </c>
      <c r="C2353" s="1" t="s">
        <v>6155</v>
      </c>
      <c r="D2353" s="1" t="s">
        <v>6156</v>
      </c>
      <c r="E2353" s="1">
        <v>165</v>
      </c>
      <c r="F2353" s="1" t="s">
        <v>8</v>
      </c>
      <c r="G2353" s="1" t="s">
        <v>9</v>
      </c>
      <c r="H2353" s="1" t="s">
        <v>10</v>
      </c>
    </row>
    <row r="2354" spans="1:8" x14ac:dyDescent="0.3">
      <c r="A2354" s="1">
        <v>768</v>
      </c>
      <c r="B2354" s="1" t="s">
        <v>2057</v>
      </c>
      <c r="C2354" s="1" t="s">
        <v>6157</v>
      </c>
      <c r="D2354" s="1" t="s">
        <v>6158</v>
      </c>
      <c r="E2354" s="1">
        <v>6016.77</v>
      </c>
      <c r="F2354" s="1" t="s">
        <v>8</v>
      </c>
      <c r="G2354" s="1" t="s">
        <v>9</v>
      </c>
      <c r="H2354" s="1" t="s">
        <v>10</v>
      </c>
    </row>
    <row r="2355" spans="1:8" x14ac:dyDescent="0.3">
      <c r="A2355" s="1">
        <v>768</v>
      </c>
      <c r="B2355" s="1" t="s">
        <v>2057</v>
      </c>
      <c r="C2355" s="1" t="s">
        <v>6159</v>
      </c>
      <c r="D2355" s="1" t="s">
        <v>6160</v>
      </c>
      <c r="E2355" s="1">
        <v>3645.56</v>
      </c>
      <c r="F2355" s="1" t="s">
        <v>8</v>
      </c>
      <c r="G2355" s="1" t="s">
        <v>9</v>
      </c>
      <c r="H2355" s="1" t="s">
        <v>10</v>
      </c>
    </row>
    <row r="2356" spans="1:8" x14ac:dyDescent="0.3">
      <c r="A2356" s="1">
        <v>768</v>
      </c>
      <c r="B2356" s="1" t="s">
        <v>2057</v>
      </c>
      <c r="C2356" s="1" t="s">
        <v>6157</v>
      </c>
      <c r="D2356" s="1" t="s">
        <v>6158</v>
      </c>
      <c r="E2356" s="1">
        <v>6016.77</v>
      </c>
      <c r="F2356" s="1" t="s">
        <v>8</v>
      </c>
      <c r="G2356" s="1" t="s">
        <v>9</v>
      </c>
      <c r="H2356" s="1" t="s">
        <v>10</v>
      </c>
    </row>
    <row r="2357" spans="1:8" x14ac:dyDescent="0.3">
      <c r="A2357" s="1">
        <v>768</v>
      </c>
      <c r="B2357" s="1" t="s">
        <v>2057</v>
      </c>
      <c r="C2357" s="1" t="s">
        <v>6161</v>
      </c>
      <c r="D2357" s="1" t="s">
        <v>6162</v>
      </c>
      <c r="E2357" s="1">
        <v>1123.53</v>
      </c>
      <c r="F2357" s="1" t="s">
        <v>8</v>
      </c>
      <c r="G2357" s="1" t="s">
        <v>9</v>
      </c>
      <c r="H2357" s="1" t="s">
        <v>10</v>
      </c>
    </row>
    <row r="2358" spans="1:8" x14ac:dyDescent="0.3">
      <c r="A2358" s="1">
        <v>768</v>
      </c>
      <c r="B2358" s="1" t="s">
        <v>2057</v>
      </c>
      <c r="C2358" s="1" t="s">
        <v>6163</v>
      </c>
      <c r="D2358" s="1" t="s">
        <v>6164</v>
      </c>
      <c r="E2358" s="1">
        <v>1035.52</v>
      </c>
      <c r="F2358" s="1" t="s">
        <v>8</v>
      </c>
      <c r="G2358" s="1" t="s">
        <v>9</v>
      </c>
      <c r="H2358" s="1" t="s">
        <v>10</v>
      </c>
    </row>
    <row r="2359" spans="1:8" x14ac:dyDescent="0.3">
      <c r="A2359" s="1">
        <v>768</v>
      </c>
      <c r="B2359" s="1" t="s">
        <v>2057</v>
      </c>
      <c r="C2359" s="1" t="s">
        <v>6165</v>
      </c>
      <c r="D2359" s="1" t="s">
        <v>6166</v>
      </c>
      <c r="E2359" s="1">
        <v>56814</v>
      </c>
      <c r="F2359" s="1" t="s">
        <v>8</v>
      </c>
      <c r="G2359" s="1" t="s">
        <v>9</v>
      </c>
      <c r="H2359" s="1" t="s">
        <v>10</v>
      </c>
    </row>
    <row r="2360" spans="1:8" x14ac:dyDescent="0.3">
      <c r="A2360" s="1">
        <v>768</v>
      </c>
      <c r="B2360" s="1" t="s">
        <v>2057</v>
      </c>
      <c r="C2360" s="1" t="s">
        <v>6167</v>
      </c>
      <c r="D2360" s="1" t="s">
        <v>6168</v>
      </c>
      <c r="E2360" s="1">
        <v>27900</v>
      </c>
      <c r="F2360" s="1" t="s">
        <v>8</v>
      </c>
      <c r="G2360" s="1" t="s">
        <v>9</v>
      </c>
      <c r="H2360" s="1" t="s">
        <v>10</v>
      </c>
    </row>
    <row r="2361" spans="1:8" x14ac:dyDescent="0.3">
      <c r="A2361" s="1">
        <v>768</v>
      </c>
      <c r="B2361" s="1" t="s">
        <v>2057</v>
      </c>
      <c r="C2361" s="1" t="s">
        <v>6169</v>
      </c>
      <c r="D2361" s="1" t="s">
        <v>6170</v>
      </c>
      <c r="E2361" s="1">
        <v>470.81</v>
      </c>
      <c r="F2361" s="1" t="s">
        <v>8</v>
      </c>
      <c r="G2361" s="1" t="s">
        <v>9</v>
      </c>
      <c r="H2361" s="1" t="s">
        <v>10</v>
      </c>
    </row>
    <row r="2362" spans="1:8" x14ac:dyDescent="0.3">
      <c r="A2362" s="1">
        <v>768</v>
      </c>
      <c r="B2362" s="1" t="s">
        <v>2057</v>
      </c>
      <c r="C2362" s="1" t="s">
        <v>6171</v>
      </c>
      <c r="D2362" s="1" t="s">
        <v>6172</v>
      </c>
      <c r="E2362" s="1">
        <v>86864.4</v>
      </c>
      <c r="F2362" s="1" t="s">
        <v>8</v>
      </c>
      <c r="G2362" s="1" t="s">
        <v>9</v>
      </c>
      <c r="H2362" s="1" t="s">
        <v>10</v>
      </c>
    </row>
    <row r="2363" spans="1:8" x14ac:dyDescent="0.3">
      <c r="A2363" s="1">
        <v>768</v>
      </c>
      <c r="B2363" s="1" t="s">
        <v>2057</v>
      </c>
      <c r="C2363" s="1" t="s">
        <v>6173</v>
      </c>
      <c r="D2363" s="1" t="s">
        <v>6174</v>
      </c>
      <c r="E2363" s="1">
        <v>85485.6</v>
      </c>
      <c r="F2363" s="1" t="s">
        <v>8</v>
      </c>
      <c r="G2363" s="1" t="s">
        <v>9</v>
      </c>
      <c r="H2363" s="1" t="s">
        <v>10</v>
      </c>
    </row>
    <row r="2364" spans="1:8" x14ac:dyDescent="0.3">
      <c r="A2364" s="1">
        <v>768</v>
      </c>
      <c r="B2364" s="1" t="s">
        <v>2057</v>
      </c>
      <c r="C2364" s="1" t="s">
        <v>6175</v>
      </c>
      <c r="D2364" s="1" t="s">
        <v>6176</v>
      </c>
      <c r="E2364" s="1">
        <v>321.68</v>
      </c>
      <c r="F2364" s="1" t="s">
        <v>8</v>
      </c>
      <c r="G2364" s="1" t="s">
        <v>9</v>
      </c>
      <c r="H2364" s="1" t="s">
        <v>10</v>
      </c>
    </row>
    <row r="2365" spans="1:8" x14ac:dyDescent="0.3">
      <c r="A2365" s="1">
        <v>768</v>
      </c>
      <c r="B2365" s="1" t="s">
        <v>2057</v>
      </c>
      <c r="C2365" s="1" t="s">
        <v>6177</v>
      </c>
      <c r="D2365" s="1" t="s">
        <v>6178</v>
      </c>
      <c r="E2365" s="1">
        <v>16426</v>
      </c>
      <c r="F2365" s="1" t="s">
        <v>8</v>
      </c>
      <c r="G2365" s="1" t="s">
        <v>9</v>
      </c>
      <c r="H2365" s="1" t="s">
        <v>10</v>
      </c>
    </row>
    <row r="2366" spans="1:8" x14ac:dyDescent="0.3">
      <c r="A2366" s="1">
        <v>768</v>
      </c>
      <c r="B2366" s="1" t="s">
        <v>2057</v>
      </c>
      <c r="C2366" s="1" t="s">
        <v>6179</v>
      </c>
      <c r="D2366" s="1" t="s">
        <v>6180</v>
      </c>
      <c r="E2366" s="1">
        <v>32903</v>
      </c>
      <c r="F2366" s="1" t="s">
        <v>8</v>
      </c>
      <c r="G2366" s="1" t="s">
        <v>9</v>
      </c>
      <c r="H2366" s="1" t="s">
        <v>10</v>
      </c>
    </row>
    <row r="2367" spans="1:8" x14ac:dyDescent="0.3">
      <c r="A2367" s="1">
        <v>768</v>
      </c>
      <c r="B2367" s="1" t="s">
        <v>2057</v>
      </c>
      <c r="C2367" s="1" t="s">
        <v>6181</v>
      </c>
      <c r="D2367" s="1" t="s">
        <v>6182</v>
      </c>
      <c r="E2367" s="1">
        <v>9386.34</v>
      </c>
      <c r="F2367" s="1" t="s">
        <v>8</v>
      </c>
      <c r="G2367" s="1" t="s">
        <v>9</v>
      </c>
      <c r="H2367" s="1" t="s">
        <v>10</v>
      </c>
    </row>
    <row r="2368" spans="1:8" x14ac:dyDescent="0.3">
      <c r="A2368" s="1">
        <v>768</v>
      </c>
      <c r="B2368" s="1" t="s">
        <v>2057</v>
      </c>
      <c r="C2368" s="1" t="s">
        <v>6183</v>
      </c>
      <c r="D2368" s="1" t="s">
        <v>6184</v>
      </c>
      <c r="E2368" s="1">
        <v>3561.9</v>
      </c>
      <c r="F2368" s="1" t="s">
        <v>8</v>
      </c>
      <c r="G2368" s="1" t="s">
        <v>9</v>
      </c>
      <c r="H2368" s="1" t="s">
        <v>10</v>
      </c>
    </row>
    <row r="2369" spans="1:8" x14ac:dyDescent="0.3">
      <c r="A2369" s="1">
        <v>768</v>
      </c>
      <c r="B2369" s="1" t="s">
        <v>2057</v>
      </c>
      <c r="C2369" s="1" t="s">
        <v>6185</v>
      </c>
      <c r="D2369" s="1" t="s">
        <v>6186</v>
      </c>
      <c r="E2369" s="1">
        <v>3561.9</v>
      </c>
      <c r="F2369" s="1" t="s">
        <v>8</v>
      </c>
      <c r="G2369" s="1" t="s">
        <v>9</v>
      </c>
      <c r="H2369" s="1" t="s">
        <v>10</v>
      </c>
    </row>
    <row r="2370" spans="1:8" x14ac:dyDescent="0.3">
      <c r="A2370" s="1">
        <v>768</v>
      </c>
      <c r="B2370" s="1" t="s">
        <v>2057</v>
      </c>
      <c r="C2370" s="1" t="s">
        <v>6187</v>
      </c>
      <c r="D2370" s="1" t="s">
        <v>6188</v>
      </c>
      <c r="E2370" s="1">
        <v>3561.9</v>
      </c>
      <c r="F2370" s="1" t="s">
        <v>8</v>
      </c>
      <c r="G2370" s="1" t="s">
        <v>9</v>
      </c>
      <c r="H2370" s="1" t="s">
        <v>10</v>
      </c>
    </row>
    <row r="2371" spans="1:8" x14ac:dyDescent="0.3">
      <c r="A2371" s="1">
        <v>768</v>
      </c>
      <c r="B2371" s="1" t="s">
        <v>2057</v>
      </c>
      <c r="C2371" s="1" t="s">
        <v>6189</v>
      </c>
      <c r="D2371" s="1" t="s">
        <v>6190</v>
      </c>
      <c r="E2371" s="1">
        <v>3561.9</v>
      </c>
      <c r="F2371" s="1" t="s">
        <v>8</v>
      </c>
      <c r="G2371" s="1" t="s">
        <v>9</v>
      </c>
      <c r="H2371" s="1" t="s">
        <v>10</v>
      </c>
    </row>
    <row r="2372" spans="1:8" x14ac:dyDescent="0.3">
      <c r="A2372" s="1">
        <v>768</v>
      </c>
      <c r="B2372" s="1" t="s">
        <v>2057</v>
      </c>
      <c r="C2372" s="1" t="s">
        <v>6191</v>
      </c>
      <c r="D2372" s="1" t="s">
        <v>6192</v>
      </c>
      <c r="E2372" s="1">
        <v>6434.4</v>
      </c>
      <c r="F2372" s="1" t="s">
        <v>8</v>
      </c>
      <c r="G2372" s="1" t="s">
        <v>9</v>
      </c>
      <c r="H2372" s="1" t="s">
        <v>10</v>
      </c>
    </row>
    <row r="2373" spans="1:8" x14ac:dyDescent="0.3">
      <c r="A2373" s="1">
        <v>768</v>
      </c>
      <c r="B2373" s="1" t="s">
        <v>2057</v>
      </c>
      <c r="C2373" s="1" t="s">
        <v>6193</v>
      </c>
      <c r="D2373" s="1" t="s">
        <v>6194</v>
      </c>
      <c r="E2373" s="1">
        <v>85485.6</v>
      </c>
      <c r="F2373" s="1" t="s">
        <v>8</v>
      </c>
      <c r="G2373" s="1" t="s">
        <v>9</v>
      </c>
      <c r="H2373" s="1" t="s">
        <v>10</v>
      </c>
    </row>
    <row r="2374" spans="1:8" x14ac:dyDescent="0.3">
      <c r="A2374" s="1">
        <v>768</v>
      </c>
      <c r="B2374" s="1" t="s">
        <v>2057</v>
      </c>
      <c r="C2374" s="1" t="s">
        <v>6195</v>
      </c>
      <c r="D2374" s="1" t="s">
        <v>6196</v>
      </c>
      <c r="E2374" s="1">
        <v>80098.2</v>
      </c>
      <c r="F2374" s="1" t="s">
        <v>11</v>
      </c>
      <c r="G2374" s="1" t="s">
        <v>9</v>
      </c>
      <c r="H2374" s="1" t="s">
        <v>10</v>
      </c>
    </row>
    <row r="2375" spans="1:8" x14ac:dyDescent="0.3">
      <c r="A2375" s="1">
        <v>768</v>
      </c>
      <c r="B2375" s="1" t="s">
        <v>2057</v>
      </c>
      <c r="C2375" s="1" t="s">
        <v>6197</v>
      </c>
      <c r="D2375" s="1" t="s">
        <v>6198</v>
      </c>
      <c r="E2375" s="1">
        <v>6434.4</v>
      </c>
      <c r="F2375" s="1" t="s">
        <v>8</v>
      </c>
      <c r="G2375" s="1" t="s">
        <v>9</v>
      </c>
      <c r="H2375" s="1" t="s">
        <v>10</v>
      </c>
    </row>
    <row r="2376" spans="1:8" x14ac:dyDescent="0.3">
      <c r="A2376" s="1">
        <v>768</v>
      </c>
      <c r="B2376" s="1" t="s">
        <v>2057</v>
      </c>
      <c r="C2376" s="1" t="s">
        <v>6199</v>
      </c>
      <c r="D2376" s="1" t="s">
        <v>6200</v>
      </c>
      <c r="E2376" s="1">
        <v>6434.4</v>
      </c>
      <c r="F2376" s="1" t="s">
        <v>8</v>
      </c>
      <c r="G2376" s="1" t="s">
        <v>9</v>
      </c>
      <c r="H2376" s="1" t="s">
        <v>10</v>
      </c>
    </row>
    <row r="2377" spans="1:8" x14ac:dyDescent="0.3">
      <c r="A2377" s="1">
        <v>768</v>
      </c>
      <c r="B2377" s="1" t="s">
        <v>2057</v>
      </c>
      <c r="C2377" s="1" t="s">
        <v>6201</v>
      </c>
      <c r="D2377" s="1" t="s">
        <v>6202</v>
      </c>
      <c r="E2377" s="1">
        <v>3561.9</v>
      </c>
      <c r="F2377" s="1" t="s">
        <v>8</v>
      </c>
      <c r="G2377" s="1" t="s">
        <v>9</v>
      </c>
      <c r="H2377" s="1" t="s">
        <v>10</v>
      </c>
    </row>
    <row r="2378" spans="1:8" x14ac:dyDescent="0.3">
      <c r="A2378" s="1">
        <v>768</v>
      </c>
      <c r="B2378" s="1" t="s">
        <v>2057</v>
      </c>
      <c r="C2378" s="1" t="s">
        <v>6203</v>
      </c>
      <c r="D2378" s="1" t="s">
        <v>6204</v>
      </c>
      <c r="E2378" s="1">
        <v>6204.6</v>
      </c>
      <c r="F2378" s="1" t="s">
        <v>8</v>
      </c>
      <c r="G2378" s="1" t="s">
        <v>9</v>
      </c>
      <c r="H2378" s="1" t="s">
        <v>10</v>
      </c>
    </row>
    <row r="2379" spans="1:8" x14ac:dyDescent="0.3">
      <c r="A2379" s="1">
        <v>768</v>
      </c>
      <c r="B2379" s="1" t="s">
        <v>2057</v>
      </c>
      <c r="C2379" s="1" t="s">
        <v>6205</v>
      </c>
      <c r="D2379" s="1" t="s">
        <v>6206</v>
      </c>
      <c r="E2379" s="1">
        <v>86864.4</v>
      </c>
      <c r="F2379" s="1" t="s">
        <v>8</v>
      </c>
      <c r="G2379" s="1" t="s">
        <v>9</v>
      </c>
      <c r="H2379" s="1" t="s">
        <v>10</v>
      </c>
    </row>
    <row r="2380" spans="1:8" x14ac:dyDescent="0.3">
      <c r="A2380" s="1">
        <v>768</v>
      </c>
      <c r="B2380" s="1" t="s">
        <v>2057</v>
      </c>
      <c r="C2380" s="1" t="s">
        <v>12</v>
      </c>
      <c r="D2380" s="1" t="s">
        <v>6207</v>
      </c>
      <c r="E2380" s="1">
        <v>24900</v>
      </c>
      <c r="F2380" s="1" t="s">
        <v>8</v>
      </c>
      <c r="G2380" s="1" t="s">
        <v>9</v>
      </c>
      <c r="H2380" s="1" t="s">
        <v>10</v>
      </c>
    </row>
    <row r="2381" spans="1:8" x14ac:dyDescent="0.3">
      <c r="A2381" s="1">
        <v>768</v>
      </c>
      <c r="B2381" s="1" t="s">
        <v>2057</v>
      </c>
      <c r="C2381" s="1" t="s">
        <v>6208</v>
      </c>
      <c r="D2381" s="1" t="s">
        <v>6209</v>
      </c>
      <c r="E2381" s="1">
        <v>833.2</v>
      </c>
      <c r="F2381" s="1" t="s">
        <v>8</v>
      </c>
      <c r="G2381" s="1" t="s">
        <v>9</v>
      </c>
      <c r="H2381" s="1" t="s">
        <v>10</v>
      </c>
    </row>
    <row r="2382" spans="1:8" x14ac:dyDescent="0.3">
      <c r="A2382" s="1">
        <v>768</v>
      </c>
      <c r="B2382" s="1" t="s">
        <v>2057</v>
      </c>
      <c r="C2382" s="1" t="s">
        <v>6210</v>
      </c>
      <c r="D2382" s="1" t="s">
        <v>6211</v>
      </c>
      <c r="E2382" s="1">
        <v>2581.56</v>
      </c>
      <c r="F2382" s="1" t="s">
        <v>8</v>
      </c>
      <c r="G2382" s="1" t="s">
        <v>9</v>
      </c>
      <c r="H2382" s="1" t="s">
        <v>10</v>
      </c>
    </row>
    <row r="2383" spans="1:8" x14ac:dyDescent="0.3">
      <c r="A2383" s="1">
        <v>768</v>
      </c>
      <c r="B2383" s="1" t="s">
        <v>2057</v>
      </c>
      <c r="C2383" s="1" t="s">
        <v>6212</v>
      </c>
      <c r="D2383" s="1" t="s">
        <v>6213</v>
      </c>
      <c r="E2383" s="1">
        <v>2035.6</v>
      </c>
      <c r="F2383" s="1" t="s">
        <v>8</v>
      </c>
      <c r="G2383" s="1" t="s">
        <v>9</v>
      </c>
      <c r="H2383" s="1" t="s">
        <v>10</v>
      </c>
    </row>
    <row r="2384" spans="1:8" x14ac:dyDescent="0.3">
      <c r="A2384" s="1">
        <v>768</v>
      </c>
      <c r="B2384" s="1" t="s">
        <v>2057</v>
      </c>
      <c r="C2384" s="1" t="s">
        <v>6214</v>
      </c>
      <c r="D2384" s="1" t="s">
        <v>6215</v>
      </c>
      <c r="E2384" s="1">
        <v>6441.88</v>
      </c>
      <c r="F2384" s="1" t="s">
        <v>8</v>
      </c>
      <c r="G2384" s="1" t="s">
        <v>9</v>
      </c>
      <c r="H2384" s="1" t="s">
        <v>10</v>
      </c>
    </row>
    <row r="2385" spans="1:8" x14ac:dyDescent="0.3">
      <c r="A2385" s="1">
        <v>768</v>
      </c>
      <c r="B2385" s="1" t="s">
        <v>2057</v>
      </c>
      <c r="C2385" s="1" t="s">
        <v>6216</v>
      </c>
      <c r="D2385" s="1" t="s">
        <v>6217</v>
      </c>
      <c r="E2385" s="1">
        <v>4804.28</v>
      </c>
      <c r="F2385" s="1" t="s">
        <v>8</v>
      </c>
      <c r="G2385" s="1" t="s">
        <v>9</v>
      </c>
      <c r="H2385" s="1" t="s">
        <v>10</v>
      </c>
    </row>
    <row r="2386" spans="1:8" x14ac:dyDescent="0.3">
      <c r="A2386" s="1">
        <v>768</v>
      </c>
      <c r="B2386" s="1" t="s">
        <v>2057</v>
      </c>
      <c r="C2386" s="1" t="s">
        <v>6218</v>
      </c>
      <c r="D2386" s="1" t="s">
        <v>6219</v>
      </c>
      <c r="E2386" s="1">
        <v>2690.36</v>
      </c>
      <c r="F2386" s="1" t="s">
        <v>8</v>
      </c>
      <c r="G2386" s="1" t="s">
        <v>9</v>
      </c>
      <c r="H2386" s="1" t="s">
        <v>10</v>
      </c>
    </row>
    <row r="2387" spans="1:8" x14ac:dyDescent="0.3">
      <c r="A2387" s="1">
        <v>768</v>
      </c>
      <c r="B2387" s="1" t="s">
        <v>2057</v>
      </c>
      <c r="C2387" s="1" t="s">
        <v>6220</v>
      </c>
      <c r="D2387" s="1" t="s">
        <v>6221</v>
      </c>
      <c r="E2387" s="1">
        <v>11486.86</v>
      </c>
      <c r="F2387" s="1" t="s">
        <v>8</v>
      </c>
      <c r="G2387" s="1" t="s">
        <v>9</v>
      </c>
      <c r="H2387" s="1" t="s">
        <v>10</v>
      </c>
    </row>
    <row r="2388" spans="1:8" x14ac:dyDescent="0.3">
      <c r="A2388" s="1">
        <v>768</v>
      </c>
      <c r="B2388" s="1" t="s">
        <v>2057</v>
      </c>
      <c r="C2388" s="1" t="s">
        <v>6222</v>
      </c>
      <c r="D2388" s="1" t="s">
        <v>6223</v>
      </c>
      <c r="E2388" s="1">
        <v>3938.76</v>
      </c>
      <c r="F2388" s="1" t="s">
        <v>8</v>
      </c>
      <c r="G2388" s="1" t="s">
        <v>9</v>
      </c>
      <c r="H2388" s="1" t="s">
        <v>10</v>
      </c>
    </row>
    <row r="2389" spans="1:8" x14ac:dyDescent="0.3">
      <c r="A2389" s="1">
        <v>768</v>
      </c>
      <c r="B2389" s="1" t="s">
        <v>2057</v>
      </c>
      <c r="C2389" s="1" t="s">
        <v>6224</v>
      </c>
      <c r="D2389" s="1" t="s">
        <v>6225</v>
      </c>
      <c r="E2389" s="1">
        <v>1312.07</v>
      </c>
      <c r="F2389" s="1" t="s">
        <v>8</v>
      </c>
      <c r="G2389" s="1" t="s">
        <v>9</v>
      </c>
      <c r="H2389" s="1" t="s">
        <v>10</v>
      </c>
    </row>
    <row r="2390" spans="1:8" x14ac:dyDescent="0.3">
      <c r="A2390" s="1">
        <v>768</v>
      </c>
      <c r="B2390" s="1" t="s">
        <v>2057</v>
      </c>
      <c r="C2390" s="1" t="s">
        <v>6224</v>
      </c>
      <c r="D2390" s="1" t="s">
        <v>6225</v>
      </c>
      <c r="E2390" s="1">
        <v>1312.07</v>
      </c>
      <c r="F2390" s="1" t="s">
        <v>8</v>
      </c>
      <c r="G2390" s="1" t="s">
        <v>9</v>
      </c>
      <c r="H2390" s="1" t="s">
        <v>10</v>
      </c>
    </row>
    <row r="2391" spans="1:8" x14ac:dyDescent="0.3">
      <c r="A2391" s="1">
        <v>768</v>
      </c>
      <c r="B2391" s="1" t="s">
        <v>2057</v>
      </c>
      <c r="C2391" s="1" t="s">
        <v>6226</v>
      </c>
      <c r="D2391" s="1" t="s">
        <v>6227</v>
      </c>
      <c r="E2391" s="1">
        <v>1568.31</v>
      </c>
      <c r="F2391" s="1" t="s">
        <v>8</v>
      </c>
      <c r="G2391" s="1" t="s">
        <v>9</v>
      </c>
      <c r="H2391" s="1" t="s">
        <v>10</v>
      </c>
    </row>
    <row r="2392" spans="1:8" x14ac:dyDescent="0.3">
      <c r="A2392" s="1">
        <v>768</v>
      </c>
      <c r="B2392" s="1" t="s">
        <v>2057</v>
      </c>
      <c r="C2392" s="1" t="s">
        <v>6226</v>
      </c>
      <c r="D2392" s="1" t="s">
        <v>6227</v>
      </c>
      <c r="E2392" s="1">
        <v>1568.31</v>
      </c>
      <c r="F2392" s="1" t="s">
        <v>8</v>
      </c>
      <c r="G2392" s="1" t="s">
        <v>9</v>
      </c>
      <c r="H2392" s="1" t="s">
        <v>10</v>
      </c>
    </row>
    <row r="2393" spans="1:8" x14ac:dyDescent="0.3">
      <c r="A2393" s="1">
        <v>768</v>
      </c>
      <c r="B2393" s="1" t="s">
        <v>2057</v>
      </c>
      <c r="C2393" s="1" t="s">
        <v>6228</v>
      </c>
      <c r="D2393" s="1" t="s">
        <v>6229</v>
      </c>
      <c r="E2393" s="1">
        <v>29743.200000000001</v>
      </c>
      <c r="F2393" s="1" t="s">
        <v>8</v>
      </c>
      <c r="G2393" s="1" t="s">
        <v>9</v>
      </c>
      <c r="H2393" s="1" t="s">
        <v>10</v>
      </c>
    </row>
    <row r="2394" spans="1:8" x14ac:dyDescent="0.3">
      <c r="A2394" s="1">
        <v>768</v>
      </c>
      <c r="B2394" s="1" t="s">
        <v>2057</v>
      </c>
      <c r="C2394" s="1" t="s">
        <v>6230</v>
      </c>
      <c r="D2394" s="1" t="s">
        <v>6231</v>
      </c>
      <c r="E2394" s="1">
        <v>29761.07</v>
      </c>
      <c r="F2394" s="1" t="s">
        <v>8</v>
      </c>
      <c r="G2394" s="1" t="s">
        <v>9</v>
      </c>
      <c r="H2394" s="1" t="s">
        <v>10</v>
      </c>
    </row>
    <row r="2395" spans="1:8" x14ac:dyDescent="0.3">
      <c r="A2395" s="1">
        <v>768</v>
      </c>
      <c r="B2395" s="1" t="s">
        <v>2057</v>
      </c>
      <c r="C2395" s="1" t="s">
        <v>6232</v>
      </c>
      <c r="D2395" s="1" t="s">
        <v>6233</v>
      </c>
      <c r="E2395" s="1">
        <v>27984</v>
      </c>
      <c r="F2395" s="1" t="s">
        <v>8</v>
      </c>
      <c r="G2395" s="1" t="s">
        <v>9</v>
      </c>
      <c r="H2395" s="1" t="s">
        <v>10</v>
      </c>
    </row>
    <row r="2396" spans="1:8" x14ac:dyDescent="0.3">
      <c r="A2396" s="1">
        <v>768</v>
      </c>
      <c r="B2396" s="1" t="s">
        <v>2057</v>
      </c>
      <c r="C2396" s="1" t="s">
        <v>6234</v>
      </c>
      <c r="D2396" s="1" t="s">
        <v>6235</v>
      </c>
      <c r="E2396" s="1">
        <v>29807.46</v>
      </c>
      <c r="F2396" s="1" t="s">
        <v>8</v>
      </c>
      <c r="G2396" s="1" t="s">
        <v>9</v>
      </c>
      <c r="H2396" s="1" t="s">
        <v>10</v>
      </c>
    </row>
    <row r="2397" spans="1:8" x14ac:dyDescent="0.3">
      <c r="A2397" s="1">
        <v>768</v>
      </c>
      <c r="B2397" s="1" t="s">
        <v>2057</v>
      </c>
      <c r="C2397" s="1" t="s">
        <v>6236</v>
      </c>
      <c r="D2397" s="1" t="s">
        <v>6237</v>
      </c>
      <c r="E2397" s="1">
        <v>29688.12</v>
      </c>
      <c r="F2397" s="1" t="s">
        <v>8</v>
      </c>
      <c r="G2397" s="1" t="s">
        <v>9</v>
      </c>
      <c r="H2397" s="1" t="s">
        <v>10</v>
      </c>
    </row>
    <row r="2398" spans="1:8" x14ac:dyDescent="0.3">
      <c r="A2398" s="1">
        <v>768</v>
      </c>
      <c r="B2398" s="1" t="s">
        <v>2057</v>
      </c>
      <c r="C2398" s="1" t="s">
        <v>6238</v>
      </c>
      <c r="D2398" s="1" t="s">
        <v>6239</v>
      </c>
      <c r="E2398" s="1">
        <v>28365.599999999999</v>
      </c>
      <c r="F2398" s="1" t="s">
        <v>8</v>
      </c>
      <c r="G2398" s="1" t="s">
        <v>9</v>
      </c>
      <c r="H2398" s="1" t="s">
        <v>10</v>
      </c>
    </row>
    <row r="2399" spans="1:8" x14ac:dyDescent="0.3">
      <c r="A2399" s="1">
        <v>768</v>
      </c>
      <c r="B2399" s="1" t="s">
        <v>2057</v>
      </c>
      <c r="C2399" s="1" t="s">
        <v>6240</v>
      </c>
      <c r="D2399" s="1" t="s">
        <v>6241</v>
      </c>
      <c r="E2399" s="1">
        <v>27220.799999999999</v>
      </c>
      <c r="F2399" s="1" t="s">
        <v>8</v>
      </c>
      <c r="G2399" s="1" t="s">
        <v>9</v>
      </c>
      <c r="H2399" s="1" t="s">
        <v>10</v>
      </c>
    </row>
    <row r="2400" spans="1:8" x14ac:dyDescent="0.3">
      <c r="A2400" s="1">
        <v>768</v>
      </c>
      <c r="B2400" s="1" t="s">
        <v>2057</v>
      </c>
      <c r="C2400" s="1" t="s">
        <v>6242</v>
      </c>
      <c r="D2400" s="1" t="s">
        <v>6243</v>
      </c>
      <c r="E2400" s="1">
        <v>27729.599999999999</v>
      </c>
      <c r="F2400" s="1" t="s">
        <v>8</v>
      </c>
      <c r="G2400" s="1" t="s">
        <v>9</v>
      </c>
      <c r="H2400" s="1" t="s">
        <v>10</v>
      </c>
    </row>
    <row r="2401" spans="1:8" x14ac:dyDescent="0.3">
      <c r="A2401" s="1">
        <v>768</v>
      </c>
      <c r="B2401" s="1" t="s">
        <v>2057</v>
      </c>
      <c r="C2401" s="1" t="s">
        <v>6244</v>
      </c>
      <c r="D2401" s="1" t="s">
        <v>6245</v>
      </c>
      <c r="E2401" s="1">
        <v>29001.599999999999</v>
      </c>
      <c r="F2401" s="1" t="s">
        <v>8</v>
      </c>
      <c r="G2401" s="1" t="s">
        <v>9</v>
      </c>
      <c r="H2401" s="1" t="s">
        <v>10</v>
      </c>
    </row>
    <row r="2402" spans="1:8" x14ac:dyDescent="0.3">
      <c r="A2402" s="1">
        <v>768</v>
      </c>
      <c r="B2402" s="1" t="s">
        <v>2057</v>
      </c>
      <c r="C2402" s="1" t="s">
        <v>6246</v>
      </c>
      <c r="D2402" s="1" t="s">
        <v>6247</v>
      </c>
      <c r="E2402" s="1">
        <v>27093.599999999999</v>
      </c>
      <c r="F2402" s="1" t="s">
        <v>8</v>
      </c>
      <c r="G2402" s="1" t="s">
        <v>9</v>
      </c>
      <c r="H2402" s="1" t="s">
        <v>10</v>
      </c>
    </row>
    <row r="2403" spans="1:8" x14ac:dyDescent="0.3">
      <c r="A2403" s="1">
        <v>768</v>
      </c>
      <c r="B2403" s="1" t="s">
        <v>2057</v>
      </c>
      <c r="C2403" s="1" t="s">
        <v>6248</v>
      </c>
      <c r="D2403" s="1" t="s">
        <v>6249</v>
      </c>
      <c r="E2403" s="1">
        <v>29761.56</v>
      </c>
      <c r="F2403" s="1" t="s">
        <v>8</v>
      </c>
      <c r="G2403" s="1" t="s">
        <v>9</v>
      </c>
      <c r="H2403" s="1" t="s">
        <v>10</v>
      </c>
    </row>
    <row r="2404" spans="1:8" x14ac:dyDescent="0.3">
      <c r="A2404" s="1">
        <v>768</v>
      </c>
      <c r="B2404" s="1" t="s">
        <v>2057</v>
      </c>
      <c r="C2404" s="1" t="s">
        <v>5437</v>
      </c>
      <c r="D2404" s="1" t="s">
        <v>6250</v>
      </c>
      <c r="E2404" s="1">
        <v>27856.799999999999</v>
      </c>
      <c r="F2404" s="1" t="s">
        <v>8</v>
      </c>
      <c r="G2404" s="1" t="s">
        <v>9</v>
      </c>
      <c r="H2404" s="1" t="s">
        <v>10</v>
      </c>
    </row>
    <row r="2405" spans="1:8" x14ac:dyDescent="0.3">
      <c r="A2405" s="1">
        <v>768</v>
      </c>
      <c r="B2405" s="1" t="s">
        <v>2057</v>
      </c>
      <c r="C2405" s="1" t="s">
        <v>6251</v>
      </c>
      <c r="D2405" s="1" t="s">
        <v>6252</v>
      </c>
      <c r="E2405" s="1">
        <v>29939.279999999999</v>
      </c>
      <c r="F2405" s="1" t="s">
        <v>8</v>
      </c>
      <c r="G2405" s="1" t="s">
        <v>9</v>
      </c>
      <c r="H2405" s="1" t="s">
        <v>10</v>
      </c>
    </row>
    <row r="2406" spans="1:8" x14ac:dyDescent="0.3">
      <c r="A2406" s="1">
        <v>768</v>
      </c>
      <c r="B2406" s="1" t="s">
        <v>2057</v>
      </c>
      <c r="C2406" s="1" t="s">
        <v>6253</v>
      </c>
      <c r="D2406" s="1" t="s">
        <v>6254</v>
      </c>
      <c r="E2406" s="1">
        <v>27475.200000000001</v>
      </c>
      <c r="F2406" s="1" t="s">
        <v>8</v>
      </c>
      <c r="G2406" s="1" t="s">
        <v>9</v>
      </c>
      <c r="H2406" s="1" t="s">
        <v>10</v>
      </c>
    </row>
    <row r="2407" spans="1:8" x14ac:dyDescent="0.3">
      <c r="A2407" s="1">
        <v>768</v>
      </c>
      <c r="B2407" s="1" t="s">
        <v>2057</v>
      </c>
      <c r="C2407" s="1" t="s">
        <v>6255</v>
      </c>
      <c r="D2407" s="1" t="s">
        <v>6256</v>
      </c>
      <c r="E2407" s="1">
        <v>29789.1</v>
      </c>
      <c r="F2407" s="1" t="s">
        <v>8</v>
      </c>
      <c r="G2407" s="1" t="s">
        <v>9</v>
      </c>
      <c r="H2407" s="1" t="s">
        <v>10</v>
      </c>
    </row>
    <row r="2408" spans="1:8" x14ac:dyDescent="0.3">
      <c r="A2408" s="1">
        <v>768</v>
      </c>
      <c r="B2408" s="1" t="s">
        <v>2057</v>
      </c>
      <c r="C2408" s="1" t="s">
        <v>5610</v>
      </c>
      <c r="D2408" s="1" t="s">
        <v>6257</v>
      </c>
      <c r="E2408" s="1">
        <v>29048.23</v>
      </c>
      <c r="F2408" s="1" t="s">
        <v>8</v>
      </c>
      <c r="G2408" s="1" t="s">
        <v>9</v>
      </c>
      <c r="H2408" s="1" t="s">
        <v>10</v>
      </c>
    </row>
    <row r="2409" spans="1:8" x14ac:dyDescent="0.3">
      <c r="A2409" s="1">
        <v>768</v>
      </c>
      <c r="B2409" s="1" t="s">
        <v>2057</v>
      </c>
      <c r="C2409" s="1" t="s">
        <v>6258</v>
      </c>
      <c r="D2409" s="1" t="s">
        <v>6259</v>
      </c>
      <c r="E2409" s="1">
        <v>28620</v>
      </c>
      <c r="F2409" s="1" t="s">
        <v>8</v>
      </c>
      <c r="G2409" s="1" t="s">
        <v>9</v>
      </c>
      <c r="H2409" s="1" t="s">
        <v>10</v>
      </c>
    </row>
    <row r="2410" spans="1:8" x14ac:dyDescent="0.3">
      <c r="A2410" s="1">
        <v>768</v>
      </c>
      <c r="B2410" s="1" t="s">
        <v>2057</v>
      </c>
      <c r="C2410" s="1" t="s">
        <v>6260</v>
      </c>
      <c r="D2410" s="1" t="s">
        <v>6261</v>
      </c>
      <c r="E2410" s="1">
        <v>29582.86</v>
      </c>
      <c r="F2410" s="1" t="s">
        <v>8</v>
      </c>
      <c r="G2410" s="1" t="s">
        <v>9</v>
      </c>
      <c r="H2410" s="1" t="s">
        <v>10</v>
      </c>
    </row>
    <row r="2411" spans="1:8" x14ac:dyDescent="0.3">
      <c r="A2411" s="1">
        <v>768</v>
      </c>
      <c r="B2411" s="1" t="s">
        <v>2057</v>
      </c>
      <c r="C2411" s="1" t="s">
        <v>6262</v>
      </c>
      <c r="D2411" s="1" t="s">
        <v>6263</v>
      </c>
      <c r="E2411" s="1">
        <v>29404.65</v>
      </c>
      <c r="F2411" s="1" t="s">
        <v>8</v>
      </c>
      <c r="G2411" s="1" t="s">
        <v>9</v>
      </c>
      <c r="H2411" s="1" t="s">
        <v>10</v>
      </c>
    </row>
    <row r="2412" spans="1:8" x14ac:dyDescent="0.3">
      <c r="A2412" s="1">
        <v>768</v>
      </c>
      <c r="B2412" s="1" t="s">
        <v>2057</v>
      </c>
      <c r="C2412" s="1" t="s">
        <v>6264</v>
      </c>
      <c r="D2412" s="1" t="s">
        <v>6265</v>
      </c>
      <c r="E2412" s="1">
        <v>29779.919999999998</v>
      </c>
      <c r="F2412" s="1" t="s">
        <v>8</v>
      </c>
      <c r="G2412" s="1" t="s">
        <v>9</v>
      </c>
      <c r="H2412" s="1" t="s">
        <v>10</v>
      </c>
    </row>
    <row r="2413" spans="1:8" x14ac:dyDescent="0.3">
      <c r="A2413" s="1">
        <v>768</v>
      </c>
      <c r="B2413" s="1" t="s">
        <v>2057</v>
      </c>
      <c r="C2413" s="1" t="s">
        <v>6266</v>
      </c>
      <c r="D2413" s="1" t="s">
        <v>6267</v>
      </c>
      <c r="E2413" s="1">
        <v>29770.74</v>
      </c>
      <c r="F2413" s="1" t="s">
        <v>8</v>
      </c>
      <c r="G2413" s="1" t="s">
        <v>9</v>
      </c>
      <c r="H2413" s="1" t="s">
        <v>10</v>
      </c>
    </row>
    <row r="2414" spans="1:8" x14ac:dyDescent="0.3">
      <c r="A2414" s="1">
        <v>768</v>
      </c>
      <c r="B2414" s="1" t="s">
        <v>2057</v>
      </c>
      <c r="C2414" s="1" t="s">
        <v>6268</v>
      </c>
      <c r="D2414" s="1" t="s">
        <v>6269</v>
      </c>
      <c r="E2414" s="1">
        <v>29825.82</v>
      </c>
      <c r="F2414" s="1" t="s">
        <v>8</v>
      </c>
      <c r="G2414" s="1" t="s">
        <v>9</v>
      </c>
      <c r="H2414" s="1" t="s">
        <v>10</v>
      </c>
    </row>
    <row r="2415" spans="1:8" x14ac:dyDescent="0.3">
      <c r="A2415" s="1">
        <v>768</v>
      </c>
      <c r="B2415" s="1" t="s">
        <v>2057</v>
      </c>
      <c r="C2415" s="1" t="s">
        <v>6270</v>
      </c>
      <c r="D2415" s="1" t="s">
        <v>6271</v>
      </c>
      <c r="E2415" s="1">
        <v>28157.18</v>
      </c>
      <c r="F2415" s="1" t="s">
        <v>8</v>
      </c>
      <c r="G2415" s="1" t="s">
        <v>9</v>
      </c>
      <c r="H2415" s="1" t="s">
        <v>10</v>
      </c>
    </row>
    <row r="2416" spans="1:8" x14ac:dyDescent="0.3">
      <c r="A2416" s="1">
        <v>768</v>
      </c>
      <c r="B2416" s="1" t="s">
        <v>2057</v>
      </c>
      <c r="C2416" s="1" t="s">
        <v>6272</v>
      </c>
      <c r="D2416" s="1" t="s">
        <v>6273</v>
      </c>
      <c r="E2416" s="1">
        <v>29724.84</v>
      </c>
      <c r="F2416" s="1" t="s">
        <v>8</v>
      </c>
      <c r="G2416" s="1" t="s">
        <v>9</v>
      </c>
      <c r="H2416" s="1" t="s">
        <v>10</v>
      </c>
    </row>
    <row r="2417" spans="1:8" x14ac:dyDescent="0.3">
      <c r="A2417" s="1">
        <v>768</v>
      </c>
      <c r="B2417" s="1" t="s">
        <v>2057</v>
      </c>
      <c r="C2417" s="1" t="s">
        <v>6274</v>
      </c>
      <c r="D2417" s="1" t="s">
        <v>6275</v>
      </c>
      <c r="E2417" s="1">
        <v>28747.200000000001</v>
      </c>
      <c r="F2417" s="1" t="s">
        <v>8</v>
      </c>
      <c r="G2417" s="1" t="s">
        <v>9</v>
      </c>
      <c r="H2417" s="1" t="s">
        <v>10</v>
      </c>
    </row>
    <row r="2418" spans="1:8" x14ac:dyDescent="0.3">
      <c r="A2418" s="1">
        <v>768</v>
      </c>
      <c r="B2418" s="1" t="s">
        <v>2057</v>
      </c>
      <c r="C2418" s="1" t="s">
        <v>6276</v>
      </c>
      <c r="D2418" s="1" t="s">
        <v>6277</v>
      </c>
      <c r="E2418" s="1">
        <v>29697.3</v>
      </c>
      <c r="F2418" s="1" t="s">
        <v>8</v>
      </c>
      <c r="G2418" s="1" t="s">
        <v>9</v>
      </c>
      <c r="H2418" s="1" t="s">
        <v>10</v>
      </c>
    </row>
    <row r="2419" spans="1:8" x14ac:dyDescent="0.3">
      <c r="A2419" s="1">
        <v>768</v>
      </c>
      <c r="B2419" s="1" t="s">
        <v>2057</v>
      </c>
      <c r="C2419" s="1" t="s">
        <v>6278</v>
      </c>
      <c r="D2419" s="1" t="s">
        <v>6279</v>
      </c>
      <c r="E2419" s="1">
        <v>29835</v>
      </c>
      <c r="F2419" s="1" t="s">
        <v>8</v>
      </c>
      <c r="G2419" s="1" t="s">
        <v>9</v>
      </c>
      <c r="H2419" s="1" t="s">
        <v>10</v>
      </c>
    </row>
    <row r="2420" spans="1:8" x14ac:dyDescent="0.3">
      <c r="A2420" s="1">
        <v>768</v>
      </c>
      <c r="B2420" s="1" t="s">
        <v>2057</v>
      </c>
      <c r="C2420" s="1" t="s">
        <v>6280</v>
      </c>
      <c r="D2420" s="1" t="s">
        <v>6281</v>
      </c>
      <c r="E2420" s="1">
        <v>28238.400000000001</v>
      </c>
      <c r="F2420" s="1" t="s">
        <v>8</v>
      </c>
      <c r="G2420" s="1" t="s">
        <v>9</v>
      </c>
      <c r="H2420" s="1" t="s">
        <v>10</v>
      </c>
    </row>
    <row r="2421" spans="1:8" x14ac:dyDescent="0.3">
      <c r="A2421" s="1">
        <v>768</v>
      </c>
      <c r="B2421" s="1" t="s">
        <v>2057</v>
      </c>
      <c r="C2421" s="1" t="s">
        <v>6282</v>
      </c>
      <c r="D2421" s="1" t="s">
        <v>6283</v>
      </c>
      <c r="E2421" s="1">
        <v>29734.02</v>
      </c>
      <c r="F2421" s="1" t="s">
        <v>8</v>
      </c>
      <c r="G2421" s="1" t="s">
        <v>9</v>
      </c>
      <c r="H2421" s="1" t="s">
        <v>10</v>
      </c>
    </row>
    <row r="2422" spans="1:8" x14ac:dyDescent="0.3">
      <c r="A2422" s="1">
        <v>768</v>
      </c>
      <c r="B2422" s="1" t="s">
        <v>2057</v>
      </c>
      <c r="C2422" s="1" t="s">
        <v>6284</v>
      </c>
      <c r="D2422" s="1" t="s">
        <v>6285</v>
      </c>
      <c r="E2422" s="1">
        <v>27348</v>
      </c>
      <c r="F2422" s="1" t="s">
        <v>8</v>
      </c>
      <c r="G2422" s="1" t="s">
        <v>9</v>
      </c>
      <c r="H2422" s="1" t="s">
        <v>10</v>
      </c>
    </row>
    <row r="2423" spans="1:8" x14ac:dyDescent="0.3">
      <c r="A2423" s="1">
        <v>768</v>
      </c>
      <c r="B2423" s="1" t="s">
        <v>2057</v>
      </c>
      <c r="C2423" s="1" t="s">
        <v>6286</v>
      </c>
      <c r="D2423" s="1" t="s">
        <v>6287</v>
      </c>
      <c r="E2423" s="1">
        <v>29706.48</v>
      </c>
      <c r="F2423" s="1" t="s">
        <v>8</v>
      </c>
      <c r="G2423" s="1" t="s">
        <v>9</v>
      </c>
      <c r="H2423" s="1" t="s">
        <v>10</v>
      </c>
    </row>
    <row r="2424" spans="1:8" x14ac:dyDescent="0.3">
      <c r="A2424" s="1">
        <v>768</v>
      </c>
      <c r="B2424" s="1" t="s">
        <v>2057</v>
      </c>
      <c r="C2424" s="1" t="s">
        <v>4546</v>
      </c>
      <c r="D2424" s="1" t="s">
        <v>6288</v>
      </c>
      <c r="E2424" s="1">
        <v>27800.76</v>
      </c>
      <c r="F2424" s="1" t="s">
        <v>8</v>
      </c>
      <c r="G2424" s="1" t="s">
        <v>9</v>
      </c>
      <c r="H2424" s="1" t="s">
        <v>10</v>
      </c>
    </row>
    <row r="2425" spans="1:8" x14ac:dyDescent="0.3">
      <c r="A2425" s="1">
        <v>768</v>
      </c>
      <c r="B2425" s="1" t="s">
        <v>2057</v>
      </c>
      <c r="C2425" s="1" t="s">
        <v>6289</v>
      </c>
      <c r="D2425" s="1" t="s">
        <v>6290</v>
      </c>
      <c r="E2425" s="1">
        <v>29743.200000000001</v>
      </c>
      <c r="F2425" s="1" t="s">
        <v>8</v>
      </c>
      <c r="G2425" s="1" t="s">
        <v>9</v>
      </c>
      <c r="H2425" s="1" t="s">
        <v>10</v>
      </c>
    </row>
    <row r="2426" spans="1:8" x14ac:dyDescent="0.3">
      <c r="A2426" s="1">
        <v>768</v>
      </c>
      <c r="B2426" s="1" t="s">
        <v>2057</v>
      </c>
      <c r="C2426" s="1" t="s">
        <v>6291</v>
      </c>
      <c r="D2426" s="1" t="s">
        <v>6292</v>
      </c>
      <c r="E2426" s="1">
        <v>29715.66</v>
      </c>
      <c r="F2426" s="1" t="s">
        <v>8</v>
      </c>
      <c r="G2426" s="1" t="s">
        <v>9</v>
      </c>
      <c r="H2426" s="1" t="s">
        <v>10</v>
      </c>
    </row>
    <row r="2427" spans="1:8" x14ac:dyDescent="0.3">
      <c r="A2427" s="1">
        <v>768</v>
      </c>
      <c r="B2427" s="1" t="s">
        <v>2057</v>
      </c>
      <c r="C2427" s="1" t="s">
        <v>6293</v>
      </c>
      <c r="D2427" s="1" t="s">
        <v>6294</v>
      </c>
      <c r="E2427" s="1">
        <v>29226.44</v>
      </c>
      <c r="F2427" s="1" t="s">
        <v>8</v>
      </c>
      <c r="G2427" s="1" t="s">
        <v>9</v>
      </c>
      <c r="H2427" s="1" t="s">
        <v>10</v>
      </c>
    </row>
    <row r="2428" spans="1:8" x14ac:dyDescent="0.3">
      <c r="A2428" s="1">
        <v>768</v>
      </c>
      <c r="B2428" s="1" t="s">
        <v>2057</v>
      </c>
      <c r="C2428" s="1" t="s">
        <v>6295</v>
      </c>
      <c r="D2428" s="1" t="s">
        <v>6296</v>
      </c>
      <c r="E2428" s="1">
        <v>27978.97</v>
      </c>
      <c r="F2428" s="1" t="s">
        <v>8</v>
      </c>
      <c r="G2428" s="1" t="s">
        <v>9</v>
      </c>
      <c r="H2428" s="1" t="s">
        <v>10</v>
      </c>
    </row>
    <row r="2429" spans="1:8" x14ac:dyDescent="0.3">
      <c r="A2429" s="1">
        <v>768</v>
      </c>
      <c r="B2429" s="1" t="s">
        <v>2057</v>
      </c>
      <c r="C2429" s="1" t="s">
        <v>6297</v>
      </c>
      <c r="D2429" s="1" t="s">
        <v>6298</v>
      </c>
      <c r="E2429" s="1">
        <v>28335.39</v>
      </c>
      <c r="F2429" s="1" t="s">
        <v>8</v>
      </c>
      <c r="G2429" s="1" t="s">
        <v>9</v>
      </c>
      <c r="H2429" s="1" t="s">
        <v>10</v>
      </c>
    </row>
    <row r="2430" spans="1:8" x14ac:dyDescent="0.3">
      <c r="A2430" s="1">
        <v>768</v>
      </c>
      <c r="B2430" s="1" t="s">
        <v>2057</v>
      </c>
      <c r="C2430" s="1" t="s">
        <v>6299</v>
      </c>
      <c r="D2430" s="1" t="s">
        <v>6300</v>
      </c>
      <c r="E2430" s="1">
        <v>312</v>
      </c>
      <c r="F2430" s="1" t="s">
        <v>8</v>
      </c>
      <c r="G2430" s="1" t="s">
        <v>9</v>
      </c>
      <c r="H2430" s="1" t="s">
        <v>10</v>
      </c>
    </row>
    <row r="2431" spans="1:8" x14ac:dyDescent="0.3">
      <c r="A2431" s="1">
        <v>768</v>
      </c>
      <c r="B2431" s="1" t="s">
        <v>2057</v>
      </c>
      <c r="C2431" s="1" t="s">
        <v>6301</v>
      </c>
      <c r="D2431" s="1" t="s">
        <v>6302</v>
      </c>
      <c r="E2431" s="1">
        <v>28111.200000000001</v>
      </c>
      <c r="F2431" s="1" t="s">
        <v>8</v>
      </c>
      <c r="G2431" s="1" t="s">
        <v>9</v>
      </c>
      <c r="H2431" s="1" t="s">
        <v>10</v>
      </c>
    </row>
    <row r="2432" spans="1:8" x14ac:dyDescent="0.3">
      <c r="A2432" s="1">
        <v>768</v>
      </c>
      <c r="B2432" s="1" t="s">
        <v>2057</v>
      </c>
      <c r="C2432" s="1" t="s">
        <v>5095</v>
      </c>
      <c r="D2432" s="1" t="s">
        <v>6303</v>
      </c>
      <c r="E2432" s="1">
        <v>28492.799999999999</v>
      </c>
      <c r="F2432" s="1" t="s">
        <v>8</v>
      </c>
      <c r="G2432" s="1" t="s">
        <v>9</v>
      </c>
      <c r="H2432" s="1" t="s">
        <v>10</v>
      </c>
    </row>
    <row r="2433" spans="1:8" x14ac:dyDescent="0.3">
      <c r="A2433" s="1">
        <v>768</v>
      </c>
      <c r="B2433" s="1" t="s">
        <v>2057</v>
      </c>
      <c r="C2433" s="1" t="s">
        <v>6304</v>
      </c>
      <c r="D2433" s="1" t="s">
        <v>6305</v>
      </c>
      <c r="E2433" s="1">
        <v>27602.400000000001</v>
      </c>
      <c r="F2433" s="1" t="s">
        <v>8</v>
      </c>
      <c r="G2433" s="1" t="s">
        <v>9</v>
      </c>
      <c r="H2433" s="1" t="s">
        <v>10</v>
      </c>
    </row>
    <row r="2434" spans="1:8" x14ac:dyDescent="0.3">
      <c r="A2434" s="1">
        <v>768</v>
      </c>
      <c r="B2434" s="1" t="s">
        <v>2057</v>
      </c>
      <c r="C2434" s="1" t="s">
        <v>6306</v>
      </c>
      <c r="D2434" s="1" t="s">
        <v>6307</v>
      </c>
      <c r="E2434" s="1">
        <v>29816.639999999999</v>
      </c>
      <c r="F2434" s="1" t="s">
        <v>8</v>
      </c>
      <c r="G2434" s="1" t="s">
        <v>9</v>
      </c>
      <c r="H2434" s="1" t="s">
        <v>10</v>
      </c>
    </row>
    <row r="2435" spans="1:8" x14ac:dyDescent="0.3">
      <c r="A2435" s="1">
        <v>768</v>
      </c>
      <c r="B2435" s="1" t="s">
        <v>2057</v>
      </c>
      <c r="C2435" s="1" t="s">
        <v>6308</v>
      </c>
      <c r="D2435" s="1" t="s">
        <v>6309</v>
      </c>
      <c r="E2435" s="1">
        <v>29798.28</v>
      </c>
      <c r="F2435" s="1" t="s">
        <v>8</v>
      </c>
      <c r="G2435" s="1" t="s">
        <v>9</v>
      </c>
      <c r="H2435" s="1" t="s">
        <v>10</v>
      </c>
    </row>
    <row r="2436" spans="1:8" x14ac:dyDescent="0.3">
      <c r="A2436" s="1">
        <v>768</v>
      </c>
      <c r="B2436" s="1" t="s">
        <v>2057</v>
      </c>
      <c r="C2436" s="1" t="s">
        <v>6310</v>
      </c>
      <c r="D2436" s="1" t="s">
        <v>6311</v>
      </c>
      <c r="E2436" s="1">
        <v>188030.55</v>
      </c>
      <c r="F2436" s="1" t="s">
        <v>8</v>
      </c>
      <c r="G2436" s="1" t="s">
        <v>9</v>
      </c>
      <c r="H2436" s="1" t="s">
        <v>10</v>
      </c>
    </row>
    <row r="2437" spans="1:8" x14ac:dyDescent="0.3">
      <c r="A2437" s="1">
        <v>768</v>
      </c>
      <c r="B2437" s="1" t="s">
        <v>2057</v>
      </c>
      <c r="C2437" s="1" t="s">
        <v>6312</v>
      </c>
      <c r="D2437" s="1" t="s">
        <v>6313</v>
      </c>
      <c r="E2437" s="1">
        <v>29752.38</v>
      </c>
      <c r="F2437" s="1" t="s">
        <v>8</v>
      </c>
      <c r="G2437" s="1" t="s">
        <v>9</v>
      </c>
      <c r="H2437" s="1" t="s">
        <v>10</v>
      </c>
    </row>
    <row r="2438" spans="1:8" x14ac:dyDescent="0.3">
      <c r="A2438" s="1">
        <v>768</v>
      </c>
      <c r="B2438" s="1" t="s">
        <v>2057</v>
      </c>
      <c r="C2438" s="1" t="s">
        <v>6314</v>
      </c>
      <c r="D2438" s="1" t="s">
        <v>6315</v>
      </c>
      <c r="E2438" s="1">
        <v>28874.400000000001</v>
      </c>
      <c r="F2438" s="1" t="s">
        <v>8</v>
      </c>
      <c r="G2438" s="1" t="s">
        <v>9</v>
      </c>
      <c r="H2438" s="1" t="s">
        <v>10</v>
      </c>
    </row>
    <row r="2439" spans="1:8" x14ac:dyDescent="0.3">
      <c r="A2439" s="1">
        <v>768</v>
      </c>
      <c r="B2439" s="1" t="s">
        <v>2057</v>
      </c>
      <c r="C2439" s="1" t="s">
        <v>6316</v>
      </c>
      <c r="D2439" s="1" t="s">
        <v>6317</v>
      </c>
      <c r="E2439" s="1">
        <v>28870.02</v>
      </c>
      <c r="F2439" s="1" t="s">
        <v>8</v>
      </c>
      <c r="G2439" s="1" t="s">
        <v>9</v>
      </c>
      <c r="H2439" s="1" t="s">
        <v>10</v>
      </c>
    </row>
    <row r="2440" spans="1:8" x14ac:dyDescent="0.3">
      <c r="A2440" s="1">
        <v>768</v>
      </c>
      <c r="B2440" s="1" t="s">
        <v>2057</v>
      </c>
      <c r="C2440" s="1" t="s">
        <v>6318</v>
      </c>
      <c r="D2440" s="1" t="s">
        <v>6319</v>
      </c>
      <c r="E2440" s="1">
        <v>28691.81</v>
      </c>
      <c r="F2440" s="1" t="s">
        <v>8</v>
      </c>
      <c r="G2440" s="1" t="s">
        <v>9</v>
      </c>
      <c r="H2440" s="1" t="s">
        <v>10</v>
      </c>
    </row>
    <row r="2441" spans="1:8" x14ac:dyDescent="0.3">
      <c r="A2441" s="1">
        <v>768</v>
      </c>
      <c r="B2441" s="1" t="s">
        <v>2057</v>
      </c>
      <c r="C2441" s="1" t="s">
        <v>6320</v>
      </c>
      <c r="D2441" s="1" t="s">
        <v>6321</v>
      </c>
      <c r="E2441" s="1">
        <v>29256</v>
      </c>
      <c r="F2441" s="1" t="s">
        <v>8</v>
      </c>
      <c r="G2441" s="1" t="s">
        <v>9</v>
      </c>
      <c r="H2441" s="1" t="s">
        <v>10</v>
      </c>
    </row>
    <row r="2442" spans="1:8" x14ac:dyDescent="0.3">
      <c r="A2442" s="1">
        <v>768</v>
      </c>
      <c r="B2442" s="1" t="s">
        <v>2057</v>
      </c>
      <c r="C2442" s="1" t="s">
        <v>6322</v>
      </c>
      <c r="D2442" s="1" t="s">
        <v>6323</v>
      </c>
      <c r="E2442" s="1">
        <v>29678.94</v>
      </c>
      <c r="F2442" s="1" t="s">
        <v>8</v>
      </c>
      <c r="G2442" s="1" t="s">
        <v>9</v>
      </c>
      <c r="H2442" s="1" t="s">
        <v>10</v>
      </c>
    </row>
    <row r="2443" spans="1:8" x14ac:dyDescent="0.3">
      <c r="A2443" s="1">
        <v>768</v>
      </c>
      <c r="B2443" s="1" t="s">
        <v>2057</v>
      </c>
      <c r="C2443" s="1" t="s">
        <v>6324</v>
      </c>
      <c r="D2443" s="1" t="s">
        <v>6325</v>
      </c>
      <c r="E2443" s="1">
        <v>29128.799999999999</v>
      </c>
      <c r="F2443" s="1" t="s">
        <v>8</v>
      </c>
      <c r="G2443" s="1" t="s">
        <v>9</v>
      </c>
      <c r="H2443" s="1" t="s">
        <v>10</v>
      </c>
    </row>
    <row r="2444" spans="1:8" x14ac:dyDescent="0.3">
      <c r="A2444" s="1">
        <v>768</v>
      </c>
      <c r="B2444" s="1" t="s">
        <v>2057</v>
      </c>
      <c r="C2444" s="1" t="s">
        <v>6326</v>
      </c>
      <c r="D2444" s="1" t="s">
        <v>6327</v>
      </c>
      <c r="E2444" s="1">
        <v>28513.599999999999</v>
      </c>
      <c r="F2444" s="1" t="s">
        <v>8</v>
      </c>
      <c r="G2444" s="1" t="s">
        <v>9</v>
      </c>
      <c r="H2444" s="1" t="s">
        <v>10</v>
      </c>
    </row>
    <row r="2445" spans="1:8" x14ac:dyDescent="0.3">
      <c r="A2445" s="1">
        <v>768</v>
      </c>
      <c r="B2445" s="1" t="s">
        <v>2057</v>
      </c>
      <c r="C2445" s="1" t="s">
        <v>6328</v>
      </c>
      <c r="D2445" s="1" t="s">
        <v>6329</v>
      </c>
      <c r="E2445" s="1">
        <v>3344.4</v>
      </c>
      <c r="F2445" s="1" t="s">
        <v>8</v>
      </c>
      <c r="G2445" s="1" t="s">
        <v>9</v>
      </c>
      <c r="H2445" s="1" t="s">
        <v>10</v>
      </c>
    </row>
    <row r="2446" spans="1:8" x14ac:dyDescent="0.3">
      <c r="A2446" s="1">
        <v>768</v>
      </c>
      <c r="B2446" s="1" t="s">
        <v>2057</v>
      </c>
      <c r="C2446" s="1" t="s">
        <v>6330</v>
      </c>
      <c r="D2446" s="1" t="s">
        <v>6331</v>
      </c>
      <c r="E2446" s="1">
        <v>1290.9000000000001</v>
      </c>
      <c r="F2446" s="1" t="s">
        <v>8</v>
      </c>
      <c r="G2446" s="1" t="s">
        <v>9</v>
      </c>
      <c r="H2446" s="1" t="s">
        <v>10</v>
      </c>
    </row>
    <row r="2447" spans="1:8" x14ac:dyDescent="0.3">
      <c r="A2447" s="1">
        <v>768</v>
      </c>
      <c r="B2447" s="1" t="s">
        <v>2057</v>
      </c>
      <c r="C2447" s="1" t="s">
        <v>6332</v>
      </c>
      <c r="D2447" s="1" t="s">
        <v>6333</v>
      </c>
      <c r="E2447" s="1">
        <v>81.52</v>
      </c>
      <c r="F2447" s="1" t="s">
        <v>8</v>
      </c>
      <c r="G2447" s="1" t="s">
        <v>9</v>
      </c>
      <c r="H2447" s="1" t="s">
        <v>10</v>
      </c>
    </row>
    <row r="2448" spans="1:8" x14ac:dyDescent="0.3">
      <c r="A2448" s="1">
        <v>768</v>
      </c>
      <c r="B2448" s="1" t="s">
        <v>2057</v>
      </c>
      <c r="C2448" s="1" t="s">
        <v>6334</v>
      </c>
      <c r="D2448" s="1" t="s">
        <v>6335</v>
      </c>
      <c r="E2448" s="1">
        <v>2280.08</v>
      </c>
      <c r="F2448" s="1" t="s">
        <v>8</v>
      </c>
      <c r="G2448" s="1" t="s">
        <v>9</v>
      </c>
      <c r="H2448" s="1" t="s">
        <v>10</v>
      </c>
    </row>
    <row r="2449" spans="1:8" x14ac:dyDescent="0.3">
      <c r="A2449" s="1">
        <v>768</v>
      </c>
      <c r="B2449" s="1" t="s">
        <v>2057</v>
      </c>
      <c r="C2449" s="1" t="s">
        <v>6336</v>
      </c>
      <c r="D2449" s="1" t="s">
        <v>6337</v>
      </c>
      <c r="E2449" s="1">
        <v>4180.1499999999996</v>
      </c>
      <c r="F2449" s="1" t="s">
        <v>8</v>
      </c>
      <c r="G2449" s="1" t="s">
        <v>9</v>
      </c>
      <c r="H2449" s="1" t="s">
        <v>10</v>
      </c>
    </row>
    <row r="2450" spans="1:8" x14ac:dyDescent="0.3">
      <c r="A2450" s="1">
        <v>768</v>
      </c>
      <c r="B2450" s="1" t="s">
        <v>2057</v>
      </c>
      <c r="C2450" s="1" t="s">
        <v>6338</v>
      </c>
      <c r="D2450" s="1" t="s">
        <v>6339</v>
      </c>
      <c r="E2450" s="1">
        <v>706.63</v>
      </c>
      <c r="F2450" s="1" t="s">
        <v>8</v>
      </c>
      <c r="G2450" s="1" t="s">
        <v>9</v>
      </c>
      <c r="H2450" s="1" t="s">
        <v>10</v>
      </c>
    </row>
    <row r="2451" spans="1:8" x14ac:dyDescent="0.3">
      <c r="A2451" s="1">
        <v>768</v>
      </c>
      <c r="B2451" s="1" t="s">
        <v>2057</v>
      </c>
      <c r="C2451" s="1" t="s">
        <v>6340</v>
      </c>
      <c r="D2451" s="1" t="s">
        <v>6341</v>
      </c>
      <c r="E2451" s="1">
        <v>1995.19</v>
      </c>
      <c r="F2451" s="1" t="s">
        <v>8</v>
      </c>
      <c r="G2451" s="1" t="s">
        <v>9</v>
      </c>
      <c r="H2451" s="1" t="s">
        <v>10</v>
      </c>
    </row>
    <row r="2452" spans="1:8" x14ac:dyDescent="0.3">
      <c r="A2452" s="1">
        <v>768</v>
      </c>
      <c r="B2452" s="1" t="s">
        <v>2057</v>
      </c>
      <c r="C2452" s="1" t="s">
        <v>6342</v>
      </c>
      <c r="D2452" s="1" t="s">
        <v>6343</v>
      </c>
      <c r="E2452" s="1">
        <v>4194.9799999999996</v>
      </c>
      <c r="F2452" s="1" t="s">
        <v>8</v>
      </c>
      <c r="G2452" s="1" t="s">
        <v>9</v>
      </c>
      <c r="H2452" s="1" t="s">
        <v>10</v>
      </c>
    </row>
    <row r="2453" spans="1:8" x14ac:dyDescent="0.3">
      <c r="A2453" s="1">
        <v>768</v>
      </c>
      <c r="B2453" s="1" t="s">
        <v>2057</v>
      </c>
      <c r="C2453" s="1" t="s">
        <v>6344</v>
      </c>
      <c r="D2453" s="1" t="s">
        <v>6345</v>
      </c>
      <c r="E2453" s="1">
        <v>1792.61</v>
      </c>
      <c r="F2453" s="1" t="s">
        <v>8</v>
      </c>
      <c r="G2453" s="1" t="s">
        <v>9</v>
      </c>
      <c r="H2453" s="1" t="s">
        <v>10</v>
      </c>
    </row>
    <row r="2454" spans="1:8" x14ac:dyDescent="0.3">
      <c r="A2454" s="1">
        <v>768</v>
      </c>
      <c r="B2454" s="1" t="s">
        <v>2057</v>
      </c>
      <c r="C2454" s="1" t="s">
        <v>6346</v>
      </c>
      <c r="D2454" s="1" t="s">
        <v>6347</v>
      </c>
      <c r="E2454" s="1">
        <v>309.36</v>
      </c>
      <c r="F2454" s="1" t="s">
        <v>8</v>
      </c>
      <c r="G2454" s="1" t="s">
        <v>9</v>
      </c>
      <c r="H2454" s="1" t="s">
        <v>10</v>
      </c>
    </row>
    <row r="2455" spans="1:8" x14ac:dyDescent="0.3">
      <c r="A2455" s="1">
        <v>768</v>
      </c>
      <c r="B2455" s="1" t="s">
        <v>2057</v>
      </c>
      <c r="C2455" s="1" t="s">
        <v>6348</v>
      </c>
      <c r="D2455" s="1" t="s">
        <v>6349</v>
      </c>
      <c r="E2455" s="1">
        <v>5152.9399999999996</v>
      </c>
      <c r="F2455" s="1" t="s">
        <v>8</v>
      </c>
      <c r="G2455" s="1" t="s">
        <v>9</v>
      </c>
      <c r="H2455" s="1" t="s">
        <v>10</v>
      </c>
    </row>
    <row r="2456" spans="1:8" x14ac:dyDescent="0.3">
      <c r="A2456" s="1">
        <v>768</v>
      </c>
      <c r="B2456" s="1" t="s">
        <v>2057</v>
      </c>
      <c r="C2456" s="1" t="s">
        <v>6350</v>
      </c>
      <c r="D2456" s="1" t="s">
        <v>6351</v>
      </c>
      <c r="E2456" s="1">
        <v>5026.33</v>
      </c>
      <c r="F2456" s="1" t="s">
        <v>8</v>
      </c>
      <c r="G2456" s="1" t="s">
        <v>9</v>
      </c>
      <c r="H2456" s="1" t="s">
        <v>10</v>
      </c>
    </row>
    <row r="2457" spans="1:8" x14ac:dyDescent="0.3">
      <c r="A2457" s="1">
        <v>768</v>
      </c>
      <c r="B2457" s="1" t="s">
        <v>2057</v>
      </c>
      <c r="C2457" s="1" t="s">
        <v>6350</v>
      </c>
      <c r="D2457" s="1" t="s">
        <v>6351</v>
      </c>
      <c r="E2457" s="1">
        <v>5026.33</v>
      </c>
      <c r="F2457" s="1" t="s">
        <v>8</v>
      </c>
      <c r="G2457" s="1" t="s">
        <v>9</v>
      </c>
      <c r="H2457" s="1" t="s">
        <v>10</v>
      </c>
    </row>
    <row r="2458" spans="1:8" x14ac:dyDescent="0.3">
      <c r="A2458" s="1">
        <v>768</v>
      </c>
      <c r="B2458" s="1" t="s">
        <v>2057</v>
      </c>
      <c r="C2458" s="1" t="s">
        <v>6352</v>
      </c>
      <c r="D2458" s="1" t="s">
        <v>6353</v>
      </c>
      <c r="E2458" s="1">
        <v>33000</v>
      </c>
      <c r="F2458" s="1" t="s">
        <v>8</v>
      </c>
      <c r="G2458" s="1" t="s">
        <v>9</v>
      </c>
      <c r="H2458" s="1" t="s">
        <v>10</v>
      </c>
    </row>
    <row r="2459" spans="1:8" x14ac:dyDescent="0.3">
      <c r="A2459" s="1">
        <v>768</v>
      </c>
      <c r="B2459" s="1" t="s">
        <v>2057</v>
      </c>
      <c r="C2459" s="1" t="s">
        <v>6354</v>
      </c>
      <c r="D2459" s="1" t="s">
        <v>6355</v>
      </c>
      <c r="E2459" s="1">
        <v>2279.64</v>
      </c>
      <c r="F2459" s="1" t="s">
        <v>8</v>
      </c>
      <c r="G2459" s="1" t="s">
        <v>9</v>
      </c>
      <c r="H2459" s="1" t="s">
        <v>10</v>
      </c>
    </row>
    <row r="2460" spans="1:8" x14ac:dyDescent="0.3">
      <c r="A2460" s="1">
        <v>768</v>
      </c>
      <c r="B2460" s="1" t="s">
        <v>2057</v>
      </c>
      <c r="C2460" s="1" t="s">
        <v>6356</v>
      </c>
      <c r="D2460" s="1" t="s">
        <v>6357</v>
      </c>
      <c r="E2460" s="1">
        <v>1601.3</v>
      </c>
      <c r="F2460" s="1" t="s">
        <v>8</v>
      </c>
      <c r="G2460" s="1" t="s">
        <v>9</v>
      </c>
      <c r="H2460" s="1" t="s">
        <v>10</v>
      </c>
    </row>
    <row r="2461" spans="1:8" x14ac:dyDescent="0.3">
      <c r="A2461" s="1">
        <v>768</v>
      </c>
      <c r="B2461" s="1" t="s">
        <v>2057</v>
      </c>
      <c r="C2461" s="1" t="s">
        <v>6358</v>
      </c>
      <c r="D2461" s="1" t="s">
        <v>6359</v>
      </c>
      <c r="E2461" s="1">
        <v>55</v>
      </c>
      <c r="F2461" s="1" t="s">
        <v>8</v>
      </c>
      <c r="G2461" s="1" t="s">
        <v>9</v>
      </c>
      <c r="H2461" s="1" t="s">
        <v>10</v>
      </c>
    </row>
    <row r="2462" spans="1:8" x14ac:dyDescent="0.3">
      <c r="A2462" s="1">
        <v>768</v>
      </c>
      <c r="B2462" s="1" t="s">
        <v>2057</v>
      </c>
      <c r="C2462" s="1" t="s">
        <v>6360</v>
      </c>
      <c r="D2462" s="1" t="s">
        <v>6361</v>
      </c>
      <c r="E2462" s="1">
        <v>3200.62</v>
      </c>
      <c r="F2462" s="1" t="s">
        <v>8</v>
      </c>
      <c r="G2462" s="1" t="s">
        <v>9</v>
      </c>
      <c r="H2462" s="1" t="s">
        <v>10</v>
      </c>
    </row>
    <row r="2463" spans="1:8" x14ac:dyDescent="0.3">
      <c r="A2463" s="1">
        <v>768</v>
      </c>
      <c r="B2463" s="1" t="s">
        <v>2057</v>
      </c>
      <c r="C2463" s="1" t="s">
        <v>6362</v>
      </c>
      <c r="D2463" s="1" t="s">
        <v>6363</v>
      </c>
      <c r="E2463" s="1">
        <v>4909.5</v>
      </c>
      <c r="F2463" s="1" t="s">
        <v>8</v>
      </c>
      <c r="G2463" s="1" t="s">
        <v>9</v>
      </c>
      <c r="H2463" s="1" t="s">
        <v>10</v>
      </c>
    </row>
    <row r="2464" spans="1:8" x14ac:dyDescent="0.3">
      <c r="A2464" s="1">
        <v>768</v>
      </c>
      <c r="B2464" s="1" t="s">
        <v>2057</v>
      </c>
      <c r="C2464" s="1" t="s">
        <v>6364</v>
      </c>
      <c r="D2464" s="1" t="s">
        <v>6365</v>
      </c>
      <c r="E2464" s="1">
        <v>2100</v>
      </c>
      <c r="F2464" s="1" t="s">
        <v>8</v>
      </c>
      <c r="G2464" s="1" t="s">
        <v>9</v>
      </c>
      <c r="H2464" s="1" t="s">
        <v>10</v>
      </c>
    </row>
    <row r="2465" spans="1:8" x14ac:dyDescent="0.3">
      <c r="A2465" s="1">
        <v>768</v>
      </c>
      <c r="B2465" s="1" t="s">
        <v>2057</v>
      </c>
      <c r="C2465" s="1" t="s">
        <v>6366</v>
      </c>
      <c r="D2465" s="1" t="s">
        <v>6367</v>
      </c>
      <c r="E2465" s="1">
        <v>6124.27</v>
      </c>
      <c r="F2465" s="1" t="s">
        <v>8</v>
      </c>
      <c r="G2465" s="1" t="s">
        <v>9</v>
      </c>
      <c r="H2465" s="1" t="s">
        <v>10</v>
      </c>
    </row>
    <row r="2466" spans="1:8" x14ac:dyDescent="0.3">
      <c r="A2466" s="1">
        <v>768</v>
      </c>
      <c r="B2466" s="1" t="s">
        <v>2057</v>
      </c>
      <c r="C2466" s="1" t="s">
        <v>6368</v>
      </c>
      <c r="D2466" s="1" t="s">
        <v>6369</v>
      </c>
      <c r="E2466" s="1">
        <v>1082.47</v>
      </c>
      <c r="F2466" s="1" t="s">
        <v>8</v>
      </c>
      <c r="G2466" s="1" t="s">
        <v>9</v>
      </c>
      <c r="H2466" s="1" t="s">
        <v>10</v>
      </c>
    </row>
    <row r="2467" spans="1:8" x14ac:dyDescent="0.3">
      <c r="A2467" s="1">
        <v>768</v>
      </c>
      <c r="B2467" s="1" t="s">
        <v>2057</v>
      </c>
      <c r="C2467" s="1" t="s">
        <v>6370</v>
      </c>
      <c r="D2467" s="1" t="s">
        <v>6371</v>
      </c>
      <c r="E2467" s="1">
        <v>4061</v>
      </c>
      <c r="F2467" s="1" t="s">
        <v>8</v>
      </c>
      <c r="G2467" s="1" t="s">
        <v>9</v>
      </c>
      <c r="H2467" s="1" t="s">
        <v>10</v>
      </c>
    </row>
    <row r="2468" spans="1:8" x14ac:dyDescent="0.3">
      <c r="A2468" s="1">
        <v>768</v>
      </c>
      <c r="B2468" s="1" t="s">
        <v>2057</v>
      </c>
      <c r="C2468" s="1" t="s">
        <v>6372</v>
      </c>
      <c r="D2468" s="1" t="s">
        <v>6373</v>
      </c>
      <c r="E2468" s="1">
        <v>5290.2</v>
      </c>
      <c r="F2468" s="1" t="s">
        <v>8</v>
      </c>
      <c r="G2468" s="1" t="s">
        <v>9</v>
      </c>
      <c r="H2468" s="1" t="s">
        <v>10</v>
      </c>
    </row>
    <row r="2469" spans="1:8" x14ac:dyDescent="0.3">
      <c r="A2469" s="1">
        <v>768</v>
      </c>
      <c r="B2469" s="1" t="s">
        <v>2057</v>
      </c>
      <c r="C2469" s="1" t="s">
        <v>6374</v>
      </c>
      <c r="D2469" s="1" t="s">
        <v>6375</v>
      </c>
      <c r="E2469" s="1">
        <v>180</v>
      </c>
      <c r="F2469" s="1" t="s">
        <v>8</v>
      </c>
      <c r="G2469" s="1" t="s">
        <v>9</v>
      </c>
      <c r="H2469" s="1" t="s">
        <v>10</v>
      </c>
    </row>
    <row r="2470" spans="1:8" x14ac:dyDescent="0.3">
      <c r="A2470" s="1">
        <v>768</v>
      </c>
      <c r="B2470" s="1" t="s">
        <v>2057</v>
      </c>
      <c r="C2470" s="1" t="s">
        <v>6376</v>
      </c>
      <c r="D2470" s="1" t="s">
        <v>6377</v>
      </c>
      <c r="E2470" s="1">
        <v>900</v>
      </c>
      <c r="F2470" s="1" t="s">
        <v>8</v>
      </c>
      <c r="G2470" s="1" t="s">
        <v>9</v>
      </c>
      <c r="H2470" s="1" t="s">
        <v>10</v>
      </c>
    </row>
    <row r="2471" spans="1:8" x14ac:dyDescent="0.3">
      <c r="A2471" s="1">
        <v>768</v>
      </c>
      <c r="B2471" s="1" t="s">
        <v>2057</v>
      </c>
      <c r="C2471" s="1" t="s">
        <v>6378</v>
      </c>
      <c r="D2471" s="1" t="s">
        <v>6379</v>
      </c>
      <c r="E2471" s="1">
        <v>5000</v>
      </c>
      <c r="F2471" s="1" t="s">
        <v>8</v>
      </c>
      <c r="G2471" s="1" t="s">
        <v>9</v>
      </c>
      <c r="H2471" s="1" t="s">
        <v>10</v>
      </c>
    </row>
    <row r="2472" spans="1:8" x14ac:dyDescent="0.3">
      <c r="A2472" s="1">
        <v>768</v>
      </c>
      <c r="B2472" s="1" t="s">
        <v>2057</v>
      </c>
      <c r="C2472" s="1" t="s">
        <v>6380</v>
      </c>
      <c r="D2472" s="1" t="s">
        <v>6381</v>
      </c>
      <c r="E2472" s="1">
        <v>656.05</v>
      </c>
      <c r="F2472" s="1" t="s">
        <v>8</v>
      </c>
      <c r="G2472" s="1" t="s">
        <v>9</v>
      </c>
      <c r="H2472" s="1" t="s">
        <v>10</v>
      </c>
    </row>
    <row r="2473" spans="1:8" x14ac:dyDescent="0.3">
      <c r="A2473" s="1">
        <v>768</v>
      </c>
      <c r="B2473" s="1" t="s">
        <v>2057</v>
      </c>
      <c r="C2473" s="1" t="s">
        <v>6382</v>
      </c>
      <c r="D2473" s="1" t="s">
        <v>6383</v>
      </c>
      <c r="E2473" s="1">
        <v>3631.5</v>
      </c>
      <c r="F2473" s="1" t="s">
        <v>8</v>
      </c>
      <c r="G2473" s="1" t="s">
        <v>9</v>
      </c>
      <c r="H2473" s="1" t="s">
        <v>10</v>
      </c>
    </row>
    <row r="2474" spans="1:8" x14ac:dyDescent="0.3">
      <c r="A2474" s="1">
        <v>768</v>
      </c>
      <c r="B2474" s="1" t="s">
        <v>2057</v>
      </c>
      <c r="C2474" s="1" t="s">
        <v>6384</v>
      </c>
      <c r="D2474" s="1" t="s">
        <v>6385</v>
      </c>
      <c r="E2474" s="1">
        <v>2903.48</v>
      </c>
      <c r="F2474" s="1" t="s">
        <v>8</v>
      </c>
      <c r="G2474" s="1" t="s">
        <v>9</v>
      </c>
      <c r="H2474" s="1" t="s">
        <v>10</v>
      </c>
    </row>
    <row r="2475" spans="1:8" x14ac:dyDescent="0.3">
      <c r="A2475" s="1">
        <v>768</v>
      </c>
      <c r="B2475" s="1" t="s">
        <v>2057</v>
      </c>
      <c r="C2475" s="1" t="s">
        <v>6384</v>
      </c>
      <c r="D2475" s="1" t="s">
        <v>6385</v>
      </c>
      <c r="E2475" s="1">
        <v>2903.48</v>
      </c>
      <c r="F2475" s="1" t="s">
        <v>8</v>
      </c>
      <c r="G2475" s="1" t="s">
        <v>9</v>
      </c>
      <c r="H2475" s="1" t="s">
        <v>10</v>
      </c>
    </row>
    <row r="2476" spans="1:8" x14ac:dyDescent="0.3">
      <c r="A2476" s="1">
        <v>768</v>
      </c>
      <c r="B2476" s="1" t="s">
        <v>2057</v>
      </c>
      <c r="C2476" s="1" t="s">
        <v>6386</v>
      </c>
      <c r="D2476" s="1" t="s">
        <v>6387</v>
      </c>
      <c r="E2476" s="1">
        <v>9400</v>
      </c>
      <c r="F2476" s="1" t="s">
        <v>8</v>
      </c>
      <c r="G2476" s="1" t="s">
        <v>9</v>
      </c>
      <c r="H2476" s="1" t="s">
        <v>10</v>
      </c>
    </row>
    <row r="2477" spans="1:8" x14ac:dyDescent="0.3">
      <c r="A2477" s="1">
        <v>768</v>
      </c>
      <c r="B2477" s="1" t="s">
        <v>2057</v>
      </c>
      <c r="C2477" s="1" t="s">
        <v>6388</v>
      </c>
      <c r="D2477" s="1" t="s">
        <v>6389</v>
      </c>
      <c r="E2477" s="1">
        <v>22769.3</v>
      </c>
      <c r="F2477" s="1" t="s">
        <v>8</v>
      </c>
      <c r="G2477" s="1" t="s">
        <v>9</v>
      </c>
      <c r="H2477" s="1" t="s">
        <v>10</v>
      </c>
    </row>
    <row r="2478" spans="1:8" x14ac:dyDescent="0.3">
      <c r="A2478" s="1">
        <v>768</v>
      </c>
      <c r="B2478" s="1" t="s">
        <v>2057</v>
      </c>
      <c r="C2478" s="1" t="s">
        <v>6390</v>
      </c>
      <c r="D2478" s="1" t="s">
        <v>6391</v>
      </c>
      <c r="E2478" s="1">
        <v>389.2</v>
      </c>
      <c r="F2478" s="1" t="s">
        <v>8</v>
      </c>
      <c r="G2478" s="1" t="s">
        <v>9</v>
      </c>
      <c r="H2478" s="1" t="s">
        <v>10</v>
      </c>
    </row>
    <row r="2479" spans="1:8" x14ac:dyDescent="0.3">
      <c r="A2479" s="1">
        <v>768</v>
      </c>
      <c r="B2479" s="1" t="s">
        <v>2057</v>
      </c>
      <c r="C2479" s="1" t="s">
        <v>6392</v>
      </c>
      <c r="D2479" s="1" t="s">
        <v>6393</v>
      </c>
      <c r="E2479" s="1">
        <v>3634.12</v>
      </c>
      <c r="F2479" s="1" t="s">
        <v>8</v>
      </c>
      <c r="G2479" s="1" t="s">
        <v>9</v>
      </c>
      <c r="H2479" s="1" t="s">
        <v>10</v>
      </c>
    </row>
    <row r="2480" spans="1:8" x14ac:dyDescent="0.3">
      <c r="A2480" s="1">
        <v>768</v>
      </c>
      <c r="B2480" s="1" t="s">
        <v>2057</v>
      </c>
      <c r="C2480" s="1" t="s">
        <v>6394</v>
      </c>
      <c r="D2480" s="1" t="s">
        <v>6395</v>
      </c>
      <c r="E2480" s="1">
        <v>41734.49</v>
      </c>
      <c r="F2480" s="1" t="s">
        <v>8</v>
      </c>
      <c r="G2480" s="1" t="s">
        <v>9</v>
      </c>
      <c r="H2480" s="1" t="s">
        <v>10</v>
      </c>
    </row>
    <row r="2481" spans="1:8" x14ac:dyDescent="0.3">
      <c r="A2481" s="1">
        <v>768</v>
      </c>
      <c r="B2481" s="1" t="s">
        <v>2057</v>
      </c>
      <c r="C2481" s="1" t="s">
        <v>6396</v>
      </c>
      <c r="D2481" s="1" t="s">
        <v>6397</v>
      </c>
      <c r="E2481" s="1">
        <v>1542</v>
      </c>
      <c r="F2481" s="1" t="s">
        <v>8</v>
      </c>
      <c r="G2481" s="1" t="s">
        <v>9</v>
      </c>
      <c r="H2481" s="1" t="s">
        <v>10</v>
      </c>
    </row>
    <row r="2482" spans="1:8" x14ac:dyDescent="0.3">
      <c r="A2482" s="1">
        <v>768</v>
      </c>
      <c r="B2482" s="1" t="s">
        <v>2057</v>
      </c>
      <c r="C2482" s="1" t="s">
        <v>6398</v>
      </c>
      <c r="D2482" s="1" t="s">
        <v>6399</v>
      </c>
      <c r="E2482" s="1">
        <v>356.08</v>
      </c>
      <c r="F2482" s="1" t="s">
        <v>8</v>
      </c>
      <c r="G2482" s="1" t="s">
        <v>9</v>
      </c>
      <c r="H2482" s="1" t="s">
        <v>10</v>
      </c>
    </row>
    <row r="2483" spans="1:8" x14ac:dyDescent="0.3">
      <c r="A2483" s="1">
        <v>768</v>
      </c>
      <c r="B2483" s="1" t="s">
        <v>2057</v>
      </c>
      <c r="C2483" s="1" t="s">
        <v>6400</v>
      </c>
      <c r="D2483" s="1" t="s">
        <v>6401</v>
      </c>
      <c r="E2483" s="1">
        <v>319.60000000000002</v>
      </c>
      <c r="F2483" s="1" t="s">
        <v>8</v>
      </c>
      <c r="G2483" s="1" t="s">
        <v>9</v>
      </c>
      <c r="H2483" s="1" t="s">
        <v>10</v>
      </c>
    </row>
    <row r="2484" spans="1:8" x14ac:dyDescent="0.3">
      <c r="A2484" s="1">
        <v>768</v>
      </c>
      <c r="B2484" s="1" t="s">
        <v>2057</v>
      </c>
      <c r="C2484" s="1" t="s">
        <v>6402</v>
      </c>
      <c r="D2484" s="1" t="s">
        <v>6403</v>
      </c>
      <c r="E2484" s="1">
        <v>2074.1999999999998</v>
      </c>
      <c r="F2484" s="1" t="s">
        <v>8</v>
      </c>
      <c r="G2484" s="1" t="s">
        <v>9</v>
      </c>
      <c r="H2484" s="1" t="s">
        <v>10</v>
      </c>
    </row>
    <row r="2485" spans="1:8" x14ac:dyDescent="0.3">
      <c r="A2485" s="1">
        <v>768</v>
      </c>
      <c r="B2485" s="1" t="s">
        <v>2057</v>
      </c>
      <c r="C2485" s="1" t="s">
        <v>6404</v>
      </c>
      <c r="D2485" s="1" t="s">
        <v>6405</v>
      </c>
      <c r="E2485" s="1">
        <v>441.48</v>
      </c>
      <c r="F2485" s="1" t="s">
        <v>8</v>
      </c>
      <c r="G2485" s="1" t="s">
        <v>9</v>
      </c>
      <c r="H2485" s="1" t="s">
        <v>10</v>
      </c>
    </row>
    <row r="2486" spans="1:8" x14ac:dyDescent="0.3">
      <c r="A2486" s="1">
        <v>768</v>
      </c>
      <c r="B2486" s="1" t="s">
        <v>2057</v>
      </c>
      <c r="C2486" s="1" t="s">
        <v>6404</v>
      </c>
      <c r="D2486" s="1" t="s">
        <v>6405</v>
      </c>
      <c r="E2486" s="1">
        <v>441.48</v>
      </c>
      <c r="F2486" s="1" t="s">
        <v>8</v>
      </c>
      <c r="G2486" s="1" t="s">
        <v>9</v>
      </c>
      <c r="H2486" s="1" t="s">
        <v>10</v>
      </c>
    </row>
    <row r="2487" spans="1:8" x14ac:dyDescent="0.3">
      <c r="A2487" s="1">
        <v>768</v>
      </c>
      <c r="B2487" s="1" t="s">
        <v>2057</v>
      </c>
      <c r="C2487" s="1" t="s">
        <v>6406</v>
      </c>
      <c r="D2487" s="1" t="s">
        <v>6407</v>
      </c>
      <c r="E2487" s="1">
        <v>536.52</v>
      </c>
      <c r="F2487" s="1" t="s">
        <v>8</v>
      </c>
      <c r="G2487" s="1" t="s">
        <v>9</v>
      </c>
      <c r="H2487" s="1" t="s">
        <v>10</v>
      </c>
    </row>
    <row r="2488" spans="1:8" x14ac:dyDescent="0.3">
      <c r="A2488" s="1">
        <v>768</v>
      </c>
      <c r="B2488" s="1" t="s">
        <v>2057</v>
      </c>
      <c r="C2488" s="1" t="s">
        <v>6408</v>
      </c>
      <c r="D2488" s="1" t="s">
        <v>6409</v>
      </c>
      <c r="E2488" s="1">
        <v>1056</v>
      </c>
      <c r="F2488" s="1" t="s">
        <v>8</v>
      </c>
      <c r="G2488" s="1" t="s">
        <v>9</v>
      </c>
      <c r="H2488" s="1" t="s">
        <v>10</v>
      </c>
    </row>
    <row r="2489" spans="1:8" x14ac:dyDescent="0.3">
      <c r="A2489" s="1">
        <v>768</v>
      </c>
      <c r="B2489" s="1" t="s">
        <v>2057</v>
      </c>
      <c r="C2489" s="1" t="s">
        <v>6410</v>
      </c>
      <c r="D2489" s="1" t="s">
        <v>6411</v>
      </c>
      <c r="E2489" s="1">
        <v>3470.24</v>
      </c>
      <c r="F2489" s="1" t="s">
        <v>8</v>
      </c>
      <c r="G2489" s="1" t="s">
        <v>9</v>
      </c>
      <c r="H2489" s="1" t="s">
        <v>10</v>
      </c>
    </row>
    <row r="2490" spans="1:8" x14ac:dyDescent="0.3">
      <c r="A2490" s="1">
        <v>768</v>
      </c>
      <c r="B2490" s="1" t="s">
        <v>2057</v>
      </c>
      <c r="C2490" s="1" t="s">
        <v>6412</v>
      </c>
      <c r="D2490" s="1" t="s">
        <v>6413</v>
      </c>
      <c r="E2490" s="1">
        <v>282.41000000000003</v>
      </c>
      <c r="F2490" s="1" t="s">
        <v>8</v>
      </c>
      <c r="G2490" s="1" t="s">
        <v>9</v>
      </c>
      <c r="H2490" s="1" t="s">
        <v>10</v>
      </c>
    </row>
    <row r="2491" spans="1:8" x14ac:dyDescent="0.3">
      <c r="A2491" s="1">
        <v>768</v>
      </c>
      <c r="B2491" s="1" t="s">
        <v>2057</v>
      </c>
      <c r="C2491" s="1" t="s">
        <v>6414</v>
      </c>
      <c r="D2491" s="1" t="s">
        <v>6415</v>
      </c>
      <c r="E2491" s="1">
        <v>2017.8</v>
      </c>
      <c r="F2491" s="1" t="s">
        <v>8</v>
      </c>
      <c r="G2491" s="1" t="s">
        <v>9</v>
      </c>
      <c r="H2491" s="1" t="s">
        <v>10</v>
      </c>
    </row>
    <row r="2492" spans="1:8" x14ac:dyDescent="0.3">
      <c r="A2492" s="1">
        <v>768</v>
      </c>
      <c r="B2492" s="1" t="s">
        <v>2057</v>
      </c>
      <c r="C2492" s="1" t="s">
        <v>6414</v>
      </c>
      <c r="D2492" s="1" t="s">
        <v>6415</v>
      </c>
      <c r="E2492" s="1">
        <v>2017.8</v>
      </c>
      <c r="F2492" s="1" t="s">
        <v>8</v>
      </c>
      <c r="G2492" s="1" t="s">
        <v>9</v>
      </c>
      <c r="H2492" s="1" t="s">
        <v>10</v>
      </c>
    </row>
    <row r="2493" spans="1:8" x14ac:dyDescent="0.3">
      <c r="A2493" s="1">
        <v>768</v>
      </c>
      <c r="B2493" s="1" t="s">
        <v>2057</v>
      </c>
      <c r="C2493" s="1" t="s">
        <v>6416</v>
      </c>
      <c r="D2493" s="1" t="s">
        <v>6417</v>
      </c>
      <c r="E2493" s="1">
        <v>5590</v>
      </c>
      <c r="F2493" s="1" t="s">
        <v>8</v>
      </c>
      <c r="G2493" s="1" t="s">
        <v>9</v>
      </c>
      <c r="H2493" s="1" t="s">
        <v>10</v>
      </c>
    </row>
    <row r="2494" spans="1:8" x14ac:dyDescent="0.3">
      <c r="A2494" s="1">
        <v>768</v>
      </c>
      <c r="B2494" s="1" t="s">
        <v>2057</v>
      </c>
      <c r="C2494" s="1" t="s">
        <v>6418</v>
      </c>
      <c r="D2494" s="1" t="s">
        <v>6419</v>
      </c>
      <c r="E2494" s="1">
        <v>959.76</v>
      </c>
      <c r="F2494" s="1" t="s">
        <v>8</v>
      </c>
      <c r="G2494" s="1" t="s">
        <v>9</v>
      </c>
      <c r="H2494" s="1" t="s">
        <v>10</v>
      </c>
    </row>
    <row r="2495" spans="1:8" x14ac:dyDescent="0.3">
      <c r="A2495" s="1">
        <v>768</v>
      </c>
      <c r="B2495" s="1" t="s">
        <v>2057</v>
      </c>
      <c r="C2495" s="1" t="s">
        <v>6420</v>
      </c>
      <c r="D2495" s="1" t="s">
        <v>6421</v>
      </c>
      <c r="E2495" s="1">
        <v>52000</v>
      </c>
      <c r="F2495" s="1" t="s">
        <v>8</v>
      </c>
      <c r="G2495" s="1" t="s">
        <v>9</v>
      </c>
      <c r="H2495" s="1" t="s">
        <v>10</v>
      </c>
    </row>
    <row r="2496" spans="1:8" x14ac:dyDescent="0.3">
      <c r="A2496" s="1">
        <v>768</v>
      </c>
      <c r="B2496" s="1" t="s">
        <v>2057</v>
      </c>
      <c r="C2496" s="1" t="s">
        <v>6422</v>
      </c>
      <c r="D2496" s="1" t="s">
        <v>6423</v>
      </c>
      <c r="E2496" s="1">
        <v>14577.13</v>
      </c>
      <c r="F2496" s="1" t="s">
        <v>8</v>
      </c>
      <c r="G2496" s="1" t="s">
        <v>9</v>
      </c>
      <c r="H2496" s="1" t="s">
        <v>10</v>
      </c>
    </row>
    <row r="2497" spans="1:8" x14ac:dyDescent="0.3">
      <c r="A2497" s="1">
        <v>768</v>
      </c>
      <c r="B2497" s="1" t="s">
        <v>2057</v>
      </c>
      <c r="C2497" s="1" t="s">
        <v>6424</v>
      </c>
      <c r="D2497" s="1" t="s">
        <v>6425</v>
      </c>
      <c r="E2497" s="1">
        <v>2636.7</v>
      </c>
      <c r="F2497" s="1" t="s">
        <v>8</v>
      </c>
      <c r="G2497" s="1" t="s">
        <v>9</v>
      </c>
      <c r="H2497" s="1" t="s">
        <v>10</v>
      </c>
    </row>
    <row r="2498" spans="1:8" x14ac:dyDescent="0.3">
      <c r="A2498" s="1">
        <v>768</v>
      </c>
      <c r="B2498" s="1" t="s">
        <v>2057</v>
      </c>
      <c r="C2498" s="1" t="s">
        <v>6426</v>
      </c>
      <c r="D2498" s="1" t="s">
        <v>6427</v>
      </c>
      <c r="E2498" s="1">
        <v>239.22</v>
      </c>
      <c r="F2498" s="1" t="s">
        <v>8</v>
      </c>
      <c r="G2498" s="1" t="s">
        <v>9</v>
      </c>
      <c r="H2498" s="1" t="s">
        <v>10</v>
      </c>
    </row>
    <row r="2499" spans="1:8" x14ac:dyDescent="0.3">
      <c r="A2499" s="1">
        <v>768</v>
      </c>
      <c r="B2499" s="1" t="s">
        <v>2057</v>
      </c>
      <c r="C2499" s="1" t="s">
        <v>6428</v>
      </c>
      <c r="D2499" s="1" t="s">
        <v>6429</v>
      </c>
      <c r="E2499" s="1">
        <v>239.22</v>
      </c>
      <c r="F2499" s="1" t="s">
        <v>8</v>
      </c>
      <c r="G2499" s="1" t="s">
        <v>9</v>
      </c>
      <c r="H2499" s="1" t="s">
        <v>10</v>
      </c>
    </row>
    <row r="2500" spans="1:8" x14ac:dyDescent="0.3">
      <c r="A2500" s="1">
        <v>768</v>
      </c>
      <c r="B2500" s="1" t="s">
        <v>2057</v>
      </c>
      <c r="C2500" s="1" t="s">
        <v>6430</v>
      </c>
      <c r="D2500" s="1" t="s">
        <v>6431</v>
      </c>
      <c r="E2500" s="1">
        <v>5590</v>
      </c>
      <c r="F2500" s="1" t="s">
        <v>8</v>
      </c>
      <c r="G2500" s="1" t="s">
        <v>9</v>
      </c>
      <c r="H2500" s="1" t="s">
        <v>10</v>
      </c>
    </row>
    <row r="2501" spans="1:8" x14ac:dyDescent="0.3">
      <c r="A2501" s="1">
        <v>768</v>
      </c>
      <c r="B2501" s="1" t="s">
        <v>2057</v>
      </c>
      <c r="C2501" s="1" t="s">
        <v>6432</v>
      </c>
      <c r="D2501" s="1" t="s">
        <v>6433</v>
      </c>
      <c r="E2501" s="1">
        <v>1238.74</v>
      </c>
      <c r="F2501" s="1" t="s">
        <v>8</v>
      </c>
      <c r="G2501" s="1" t="s">
        <v>9</v>
      </c>
      <c r="H2501" s="1" t="s">
        <v>10</v>
      </c>
    </row>
    <row r="2502" spans="1:8" x14ac:dyDescent="0.3">
      <c r="A2502" s="1">
        <v>768</v>
      </c>
      <c r="B2502" s="1" t="s">
        <v>2057</v>
      </c>
      <c r="C2502" s="1" t="s">
        <v>6434</v>
      </c>
      <c r="D2502" s="1" t="s">
        <v>6435</v>
      </c>
      <c r="E2502" s="1">
        <v>683.6</v>
      </c>
      <c r="F2502" s="1" t="s">
        <v>8</v>
      </c>
      <c r="G2502" s="1" t="s">
        <v>9</v>
      </c>
      <c r="H2502" s="1" t="s">
        <v>10</v>
      </c>
    </row>
    <row r="2503" spans="1:8" x14ac:dyDescent="0.3">
      <c r="A2503" s="1">
        <v>768</v>
      </c>
      <c r="B2503" s="1" t="s">
        <v>2057</v>
      </c>
      <c r="C2503" s="1" t="s">
        <v>6436</v>
      </c>
      <c r="D2503" s="1" t="s">
        <v>6437</v>
      </c>
      <c r="E2503" s="1">
        <v>5250</v>
      </c>
      <c r="F2503" s="1" t="s">
        <v>8</v>
      </c>
      <c r="G2503" s="1" t="s">
        <v>9</v>
      </c>
      <c r="H2503" s="1" t="s">
        <v>10</v>
      </c>
    </row>
    <row r="2504" spans="1:8" x14ac:dyDescent="0.3">
      <c r="A2504" s="1">
        <v>768</v>
      </c>
      <c r="B2504" s="1" t="s">
        <v>2057</v>
      </c>
      <c r="C2504" s="1" t="s">
        <v>6438</v>
      </c>
      <c r="D2504" s="1" t="s">
        <v>6439</v>
      </c>
      <c r="E2504" s="1">
        <v>1297.5999999999999</v>
      </c>
      <c r="F2504" s="1" t="s">
        <v>8</v>
      </c>
      <c r="G2504" s="1" t="s">
        <v>9</v>
      </c>
      <c r="H2504" s="1" t="s">
        <v>10</v>
      </c>
    </row>
    <row r="2505" spans="1:8" x14ac:dyDescent="0.3">
      <c r="A2505" s="1">
        <v>768</v>
      </c>
      <c r="B2505" s="1" t="s">
        <v>2057</v>
      </c>
      <c r="C2505" s="1" t="s">
        <v>6438</v>
      </c>
      <c r="D2505" s="1" t="s">
        <v>6439</v>
      </c>
      <c r="E2505" s="1">
        <v>1297.5999999999999</v>
      </c>
      <c r="F2505" s="1" t="s">
        <v>8</v>
      </c>
      <c r="G2505" s="1" t="s">
        <v>9</v>
      </c>
      <c r="H2505" s="1" t="s">
        <v>10</v>
      </c>
    </row>
    <row r="2506" spans="1:8" x14ac:dyDescent="0.3">
      <c r="A2506" s="1">
        <v>768</v>
      </c>
      <c r="B2506" s="1" t="s">
        <v>2057</v>
      </c>
      <c r="C2506" s="1" t="s">
        <v>6440</v>
      </c>
      <c r="D2506" s="1" t="s">
        <v>6441</v>
      </c>
      <c r="E2506" s="1">
        <v>18794.55</v>
      </c>
      <c r="F2506" s="1" t="s">
        <v>8</v>
      </c>
      <c r="G2506" s="1" t="s">
        <v>9</v>
      </c>
      <c r="H2506" s="1" t="s">
        <v>10</v>
      </c>
    </row>
    <row r="2507" spans="1:8" x14ac:dyDescent="0.3">
      <c r="A2507" s="1">
        <v>768</v>
      </c>
      <c r="B2507" s="1" t="s">
        <v>2057</v>
      </c>
      <c r="C2507" s="1" t="s">
        <v>6442</v>
      </c>
      <c r="D2507" s="1" t="s">
        <v>6443</v>
      </c>
      <c r="E2507" s="1">
        <v>1530</v>
      </c>
      <c r="F2507" s="1" t="s">
        <v>8</v>
      </c>
      <c r="G2507" s="1" t="s">
        <v>9</v>
      </c>
      <c r="H2507" s="1" t="s">
        <v>10</v>
      </c>
    </row>
    <row r="2508" spans="1:8" x14ac:dyDescent="0.3">
      <c r="A2508" s="1">
        <v>768</v>
      </c>
      <c r="B2508" s="1" t="s">
        <v>2057</v>
      </c>
      <c r="C2508" s="1" t="s">
        <v>6444</v>
      </c>
      <c r="D2508" s="1" t="s">
        <v>6445</v>
      </c>
      <c r="E2508" s="1">
        <v>3315</v>
      </c>
      <c r="F2508" s="1" t="s">
        <v>8</v>
      </c>
      <c r="G2508" s="1" t="s">
        <v>9</v>
      </c>
      <c r="H2508" s="1" t="s">
        <v>10</v>
      </c>
    </row>
    <row r="2509" spans="1:8" x14ac:dyDescent="0.3">
      <c r="A2509" s="1">
        <v>768</v>
      </c>
      <c r="B2509" s="1" t="s">
        <v>2057</v>
      </c>
      <c r="C2509" s="1" t="s">
        <v>6446</v>
      </c>
      <c r="D2509" s="1" t="s">
        <v>6447</v>
      </c>
      <c r="E2509" s="1">
        <v>1545</v>
      </c>
      <c r="F2509" s="1" t="s">
        <v>8</v>
      </c>
      <c r="G2509" s="1" t="s">
        <v>9</v>
      </c>
      <c r="H2509" s="1" t="s">
        <v>10</v>
      </c>
    </row>
    <row r="2510" spans="1:8" x14ac:dyDescent="0.3">
      <c r="A2510" s="1">
        <v>768</v>
      </c>
      <c r="B2510" s="1" t="s">
        <v>2057</v>
      </c>
      <c r="C2510" s="1" t="s">
        <v>6448</v>
      </c>
      <c r="D2510" s="1" t="s">
        <v>6449</v>
      </c>
      <c r="E2510" s="1">
        <v>33000</v>
      </c>
      <c r="F2510" s="1" t="s">
        <v>8</v>
      </c>
      <c r="G2510" s="1" t="s">
        <v>9</v>
      </c>
      <c r="H2510" s="1" t="s">
        <v>10</v>
      </c>
    </row>
    <row r="2511" spans="1:8" x14ac:dyDescent="0.3">
      <c r="A2511" s="1">
        <v>768</v>
      </c>
      <c r="B2511" s="1" t="s">
        <v>2057</v>
      </c>
      <c r="C2511" s="1" t="s">
        <v>6450</v>
      </c>
      <c r="D2511" s="1" t="s">
        <v>6451</v>
      </c>
      <c r="E2511" s="1">
        <v>834.35</v>
      </c>
      <c r="F2511" s="1" t="s">
        <v>8</v>
      </c>
      <c r="G2511" s="1" t="s">
        <v>9</v>
      </c>
      <c r="H2511" s="1" t="s">
        <v>10</v>
      </c>
    </row>
    <row r="2512" spans="1:8" x14ac:dyDescent="0.3">
      <c r="A2512" s="1">
        <v>768</v>
      </c>
      <c r="B2512" s="1" t="s">
        <v>2057</v>
      </c>
      <c r="C2512" s="1" t="s">
        <v>6452</v>
      </c>
      <c r="D2512" s="1" t="s">
        <v>6453</v>
      </c>
      <c r="E2512" s="1">
        <v>49.2</v>
      </c>
      <c r="F2512" s="1" t="s">
        <v>8</v>
      </c>
      <c r="G2512" s="1" t="s">
        <v>9</v>
      </c>
      <c r="H2512" s="1" t="s">
        <v>10</v>
      </c>
    </row>
    <row r="2513" spans="1:8" x14ac:dyDescent="0.3">
      <c r="A2513" s="1">
        <v>768</v>
      </c>
      <c r="B2513" s="1" t="s">
        <v>2057</v>
      </c>
      <c r="C2513" s="1" t="s">
        <v>6454</v>
      </c>
      <c r="D2513" s="1" t="s">
        <v>6455</v>
      </c>
      <c r="E2513" s="1">
        <v>18.89</v>
      </c>
      <c r="F2513" s="1" t="s">
        <v>8</v>
      </c>
      <c r="G2513" s="1" t="s">
        <v>9</v>
      </c>
      <c r="H2513" s="1" t="s">
        <v>10</v>
      </c>
    </row>
    <row r="2514" spans="1:8" x14ac:dyDescent="0.3">
      <c r="A2514" s="1">
        <v>768</v>
      </c>
      <c r="B2514" s="1" t="s">
        <v>2057</v>
      </c>
      <c r="C2514" s="1" t="s">
        <v>6450</v>
      </c>
      <c r="D2514" s="1" t="s">
        <v>6451</v>
      </c>
      <c r="E2514" s="1">
        <v>834.35</v>
      </c>
      <c r="F2514" s="1" t="s">
        <v>8</v>
      </c>
      <c r="G2514" s="1" t="s">
        <v>9</v>
      </c>
      <c r="H2514" s="1" t="s">
        <v>10</v>
      </c>
    </row>
    <row r="2515" spans="1:8" x14ac:dyDescent="0.3">
      <c r="A2515" s="1">
        <v>768</v>
      </c>
      <c r="B2515" s="1" t="s">
        <v>2057</v>
      </c>
      <c r="C2515" s="1" t="s">
        <v>6452</v>
      </c>
      <c r="D2515" s="1" t="s">
        <v>6453</v>
      </c>
      <c r="E2515" s="1">
        <v>49.2</v>
      </c>
      <c r="F2515" s="1" t="s">
        <v>8</v>
      </c>
      <c r="G2515" s="1" t="s">
        <v>9</v>
      </c>
      <c r="H2515" s="1" t="s">
        <v>10</v>
      </c>
    </row>
    <row r="2516" spans="1:8" x14ac:dyDescent="0.3">
      <c r="A2516" s="1">
        <v>768</v>
      </c>
      <c r="B2516" s="1" t="s">
        <v>2057</v>
      </c>
      <c r="C2516" s="1" t="s">
        <v>6454</v>
      </c>
      <c r="D2516" s="1" t="s">
        <v>6455</v>
      </c>
      <c r="E2516" s="1">
        <v>18.89</v>
      </c>
      <c r="F2516" s="1" t="s">
        <v>8</v>
      </c>
      <c r="G2516" s="1" t="s">
        <v>9</v>
      </c>
      <c r="H2516" s="1" t="s">
        <v>10</v>
      </c>
    </row>
    <row r="2517" spans="1:8" x14ac:dyDescent="0.3">
      <c r="A2517" s="1">
        <v>768</v>
      </c>
      <c r="B2517" s="1" t="s">
        <v>2057</v>
      </c>
      <c r="C2517" s="1" t="s">
        <v>6456</v>
      </c>
      <c r="D2517" s="1" t="s">
        <v>6457</v>
      </c>
      <c r="E2517" s="1">
        <v>1131.6500000000001</v>
      </c>
      <c r="F2517" s="1" t="s">
        <v>8</v>
      </c>
      <c r="G2517" s="1" t="s">
        <v>9</v>
      </c>
      <c r="H2517" s="1" t="s">
        <v>10</v>
      </c>
    </row>
    <row r="2518" spans="1:8" x14ac:dyDescent="0.3">
      <c r="A2518" s="1">
        <v>768</v>
      </c>
      <c r="B2518" s="1" t="s">
        <v>2057</v>
      </c>
      <c r="C2518" s="1" t="s">
        <v>6458</v>
      </c>
      <c r="D2518" s="1" t="s">
        <v>6459</v>
      </c>
      <c r="E2518" s="1">
        <v>4694.3999999999996</v>
      </c>
      <c r="F2518" s="1" t="s">
        <v>8</v>
      </c>
      <c r="G2518" s="1" t="s">
        <v>9</v>
      </c>
      <c r="H2518" s="1" t="s">
        <v>10</v>
      </c>
    </row>
    <row r="2519" spans="1:8" x14ac:dyDescent="0.3">
      <c r="A2519" s="1">
        <v>768</v>
      </c>
      <c r="B2519" s="1" t="s">
        <v>2057</v>
      </c>
      <c r="C2519" s="1" t="s">
        <v>6460</v>
      </c>
      <c r="D2519" s="1" t="s">
        <v>6461</v>
      </c>
      <c r="E2519" s="1">
        <v>718.59</v>
      </c>
      <c r="F2519" s="1" t="s">
        <v>8</v>
      </c>
      <c r="G2519" s="1" t="s">
        <v>9</v>
      </c>
      <c r="H2519" s="1" t="s">
        <v>10</v>
      </c>
    </row>
    <row r="2520" spans="1:8" x14ac:dyDescent="0.3">
      <c r="A2520" s="1">
        <v>768</v>
      </c>
      <c r="B2520" s="1" t="s">
        <v>2057</v>
      </c>
      <c r="C2520" s="1" t="s">
        <v>6462</v>
      </c>
      <c r="D2520" s="1" t="s">
        <v>6463</v>
      </c>
      <c r="E2520" s="1">
        <v>11961</v>
      </c>
      <c r="F2520" s="1" t="s">
        <v>8</v>
      </c>
      <c r="G2520" s="1" t="s">
        <v>9</v>
      </c>
      <c r="H2520" s="1" t="s">
        <v>10</v>
      </c>
    </row>
    <row r="2521" spans="1:8" x14ac:dyDescent="0.3">
      <c r="A2521" s="1">
        <v>768</v>
      </c>
      <c r="B2521" s="1" t="s">
        <v>2057</v>
      </c>
      <c r="C2521" s="1" t="s">
        <v>6464</v>
      </c>
      <c r="D2521" s="1" t="s">
        <v>6465</v>
      </c>
      <c r="E2521" s="1">
        <v>10829</v>
      </c>
      <c r="F2521" s="1" t="s">
        <v>8</v>
      </c>
      <c r="G2521" s="1" t="s">
        <v>9</v>
      </c>
      <c r="H2521" s="1" t="s">
        <v>10</v>
      </c>
    </row>
    <row r="2522" spans="1:8" x14ac:dyDescent="0.3">
      <c r="A2522" s="1">
        <v>768</v>
      </c>
      <c r="B2522" s="1" t="s">
        <v>2057</v>
      </c>
      <c r="C2522" s="1" t="s">
        <v>5445</v>
      </c>
      <c r="D2522" s="1" t="s">
        <v>6466</v>
      </c>
      <c r="E2522" s="1">
        <v>2200</v>
      </c>
      <c r="F2522" s="1" t="s">
        <v>8</v>
      </c>
      <c r="G2522" s="1" t="s">
        <v>9</v>
      </c>
      <c r="H2522" s="1" t="s">
        <v>10</v>
      </c>
    </row>
    <row r="2523" spans="1:8" x14ac:dyDescent="0.3">
      <c r="A2523" s="1">
        <v>768</v>
      </c>
      <c r="B2523" s="1" t="s">
        <v>2057</v>
      </c>
      <c r="C2523" s="1" t="s">
        <v>6467</v>
      </c>
      <c r="D2523" s="1" t="s">
        <v>6468</v>
      </c>
      <c r="E2523" s="1">
        <v>1412.02</v>
      </c>
      <c r="F2523" s="1" t="s">
        <v>8</v>
      </c>
      <c r="G2523" s="1" t="s">
        <v>9</v>
      </c>
      <c r="H2523" s="1" t="s">
        <v>10</v>
      </c>
    </row>
    <row r="2524" spans="1:8" x14ac:dyDescent="0.3">
      <c r="A2524" s="1">
        <v>768</v>
      </c>
      <c r="B2524" s="1" t="s">
        <v>2057</v>
      </c>
      <c r="C2524" s="1" t="s">
        <v>6469</v>
      </c>
      <c r="D2524" s="1" t="s">
        <v>6470</v>
      </c>
      <c r="E2524" s="1">
        <v>3532.49</v>
      </c>
      <c r="F2524" s="1" t="s">
        <v>8</v>
      </c>
      <c r="G2524" s="1" t="s">
        <v>9</v>
      </c>
      <c r="H2524" s="1" t="s">
        <v>10</v>
      </c>
    </row>
    <row r="2525" spans="1:8" x14ac:dyDescent="0.3">
      <c r="A2525" s="1">
        <v>768</v>
      </c>
      <c r="B2525" s="1" t="s">
        <v>2057</v>
      </c>
      <c r="C2525" s="1" t="s">
        <v>6471</v>
      </c>
      <c r="D2525" s="1" t="s">
        <v>6472</v>
      </c>
      <c r="E2525" s="1">
        <v>731.32</v>
      </c>
      <c r="F2525" s="1" t="s">
        <v>8</v>
      </c>
      <c r="G2525" s="1" t="s">
        <v>9</v>
      </c>
      <c r="H2525" s="1" t="s">
        <v>10</v>
      </c>
    </row>
    <row r="2526" spans="1:8" x14ac:dyDescent="0.3">
      <c r="A2526" s="1">
        <v>768</v>
      </c>
      <c r="B2526" s="1" t="s">
        <v>2057</v>
      </c>
      <c r="C2526" s="1" t="s">
        <v>6473</v>
      </c>
      <c r="D2526" s="1" t="s">
        <v>6474</v>
      </c>
      <c r="E2526" s="1">
        <v>1099</v>
      </c>
      <c r="F2526" s="1" t="s">
        <v>8</v>
      </c>
      <c r="G2526" s="1" t="s">
        <v>9</v>
      </c>
      <c r="H2526" s="1" t="s">
        <v>10</v>
      </c>
    </row>
    <row r="2527" spans="1:8" x14ac:dyDescent="0.3">
      <c r="A2527" s="1">
        <v>768</v>
      </c>
      <c r="B2527" s="1" t="s">
        <v>2057</v>
      </c>
      <c r="C2527" s="1" t="s">
        <v>6475</v>
      </c>
      <c r="D2527" s="1" t="s">
        <v>6476</v>
      </c>
      <c r="E2527" s="1">
        <v>1761.2</v>
      </c>
      <c r="F2527" s="1" t="s">
        <v>8</v>
      </c>
      <c r="G2527" s="1" t="s">
        <v>9</v>
      </c>
      <c r="H2527" s="1" t="s">
        <v>10</v>
      </c>
    </row>
    <row r="2528" spans="1:8" x14ac:dyDescent="0.3">
      <c r="A2528" s="1">
        <v>768</v>
      </c>
      <c r="B2528" s="1" t="s">
        <v>2057</v>
      </c>
      <c r="C2528" s="1" t="s">
        <v>6477</v>
      </c>
      <c r="D2528" s="1" t="s">
        <v>6478</v>
      </c>
      <c r="E2528" s="1">
        <v>1768.9</v>
      </c>
      <c r="F2528" s="1" t="s">
        <v>8</v>
      </c>
      <c r="G2528" s="1" t="s">
        <v>9</v>
      </c>
      <c r="H2528" s="1" t="s">
        <v>10</v>
      </c>
    </row>
    <row r="2529" spans="1:8" x14ac:dyDescent="0.3">
      <c r="A2529" s="1">
        <v>768</v>
      </c>
      <c r="B2529" s="1" t="s">
        <v>2057</v>
      </c>
      <c r="C2529" s="1" t="s">
        <v>6479</v>
      </c>
      <c r="D2529" s="1" t="s">
        <v>6480</v>
      </c>
      <c r="E2529" s="1">
        <v>685.86</v>
      </c>
      <c r="F2529" s="1" t="s">
        <v>8</v>
      </c>
      <c r="G2529" s="1" t="s">
        <v>9</v>
      </c>
      <c r="H2529" s="1" t="s">
        <v>10</v>
      </c>
    </row>
    <row r="2530" spans="1:8" x14ac:dyDescent="0.3">
      <c r="A2530" s="1">
        <v>768</v>
      </c>
      <c r="B2530" s="1" t="s">
        <v>2057</v>
      </c>
      <c r="C2530" s="1" t="s">
        <v>6481</v>
      </c>
      <c r="D2530" s="1" t="s">
        <v>6482</v>
      </c>
      <c r="E2530" s="1">
        <v>549.45000000000005</v>
      </c>
      <c r="F2530" s="1" t="s">
        <v>8</v>
      </c>
      <c r="G2530" s="1" t="s">
        <v>9</v>
      </c>
      <c r="H2530" s="1" t="s">
        <v>10</v>
      </c>
    </row>
    <row r="2531" spans="1:8" x14ac:dyDescent="0.3">
      <c r="A2531" s="1">
        <v>768</v>
      </c>
      <c r="B2531" s="1" t="s">
        <v>2057</v>
      </c>
      <c r="C2531" s="1" t="s">
        <v>6483</v>
      </c>
      <c r="D2531" s="1" t="s">
        <v>6484</v>
      </c>
      <c r="E2531" s="1">
        <v>8686</v>
      </c>
      <c r="F2531" s="1" t="s">
        <v>8</v>
      </c>
      <c r="G2531" s="1" t="s">
        <v>9</v>
      </c>
      <c r="H2531" s="1" t="s">
        <v>10</v>
      </c>
    </row>
    <row r="2532" spans="1:8" x14ac:dyDescent="0.3">
      <c r="A2532" s="1">
        <v>768</v>
      </c>
      <c r="B2532" s="1" t="s">
        <v>2057</v>
      </c>
      <c r="C2532" s="1" t="s">
        <v>6485</v>
      </c>
      <c r="D2532" s="1" t="s">
        <v>6486</v>
      </c>
      <c r="E2532" s="1">
        <v>909.8</v>
      </c>
      <c r="F2532" s="1" t="s">
        <v>8</v>
      </c>
      <c r="G2532" s="1" t="s">
        <v>9</v>
      </c>
      <c r="H2532" s="1" t="s">
        <v>10</v>
      </c>
    </row>
    <row r="2533" spans="1:8" x14ac:dyDescent="0.3">
      <c r="A2533" s="1">
        <v>768</v>
      </c>
      <c r="B2533" s="1" t="s">
        <v>2057</v>
      </c>
      <c r="C2533" s="1" t="s">
        <v>6487</v>
      </c>
      <c r="D2533" s="1" t="s">
        <v>6488</v>
      </c>
      <c r="E2533" s="1">
        <v>1367.4</v>
      </c>
      <c r="F2533" s="1" t="s">
        <v>8</v>
      </c>
      <c r="G2533" s="1" t="s">
        <v>9</v>
      </c>
      <c r="H2533" s="1" t="s">
        <v>10</v>
      </c>
    </row>
    <row r="2534" spans="1:8" x14ac:dyDescent="0.3">
      <c r="A2534" s="1">
        <v>768</v>
      </c>
      <c r="B2534" s="1" t="s">
        <v>2057</v>
      </c>
      <c r="C2534" s="1" t="s">
        <v>6489</v>
      </c>
      <c r="D2534" s="1" t="s">
        <v>6490</v>
      </c>
      <c r="E2534" s="1">
        <v>7073</v>
      </c>
      <c r="F2534" s="1" t="s">
        <v>8</v>
      </c>
      <c r="G2534" s="1" t="s">
        <v>9</v>
      </c>
      <c r="H2534" s="1" t="s">
        <v>10</v>
      </c>
    </row>
    <row r="2535" spans="1:8" x14ac:dyDescent="0.3">
      <c r="A2535" s="1">
        <v>768</v>
      </c>
      <c r="B2535" s="1" t="s">
        <v>2057</v>
      </c>
      <c r="C2535" s="1" t="s">
        <v>6491</v>
      </c>
      <c r="D2535" s="1" t="s">
        <v>6492</v>
      </c>
      <c r="E2535" s="1">
        <v>1080</v>
      </c>
      <c r="F2535" s="1" t="s">
        <v>8</v>
      </c>
      <c r="G2535" s="1" t="s">
        <v>9</v>
      </c>
      <c r="H2535" s="1" t="s">
        <v>10</v>
      </c>
    </row>
    <row r="2536" spans="1:8" x14ac:dyDescent="0.3">
      <c r="A2536" s="1">
        <v>768</v>
      </c>
      <c r="B2536" s="1" t="s">
        <v>2057</v>
      </c>
      <c r="C2536" s="1" t="s">
        <v>6493</v>
      </c>
      <c r="D2536" s="1" t="s">
        <v>6494</v>
      </c>
      <c r="E2536" s="1">
        <v>151.19999999999999</v>
      </c>
      <c r="F2536" s="1" t="s">
        <v>8</v>
      </c>
      <c r="G2536" s="1" t="s">
        <v>9</v>
      </c>
      <c r="H2536" s="1" t="s">
        <v>10</v>
      </c>
    </row>
    <row r="2537" spans="1:8" x14ac:dyDescent="0.3">
      <c r="A2537" s="1">
        <v>768</v>
      </c>
      <c r="B2537" s="1" t="s">
        <v>2057</v>
      </c>
      <c r="C2537" s="1" t="s">
        <v>6495</v>
      </c>
      <c r="D2537" s="1" t="s">
        <v>6496</v>
      </c>
      <c r="E2537" s="1">
        <v>2094.62</v>
      </c>
      <c r="F2537" s="1" t="s">
        <v>8</v>
      </c>
      <c r="G2537" s="1" t="s">
        <v>9</v>
      </c>
      <c r="H2537" s="1" t="s">
        <v>10</v>
      </c>
    </row>
    <row r="2538" spans="1:8" x14ac:dyDescent="0.3">
      <c r="A2538" s="1">
        <v>768</v>
      </c>
      <c r="B2538" s="1" t="s">
        <v>2057</v>
      </c>
      <c r="C2538" s="1" t="s">
        <v>6495</v>
      </c>
      <c r="D2538" s="1" t="s">
        <v>6496</v>
      </c>
      <c r="E2538" s="1">
        <v>2094.62</v>
      </c>
      <c r="F2538" s="1" t="s">
        <v>8</v>
      </c>
      <c r="G2538" s="1" t="s">
        <v>9</v>
      </c>
      <c r="H2538" s="1" t="s">
        <v>10</v>
      </c>
    </row>
    <row r="2539" spans="1:8" x14ac:dyDescent="0.3">
      <c r="A2539" s="1">
        <v>768</v>
      </c>
      <c r="B2539" s="1" t="s">
        <v>2057</v>
      </c>
      <c r="C2539" s="1" t="s">
        <v>6497</v>
      </c>
      <c r="D2539" s="1" t="s">
        <v>6498</v>
      </c>
      <c r="E2539" s="1">
        <v>1367.5</v>
      </c>
      <c r="F2539" s="1" t="s">
        <v>8</v>
      </c>
      <c r="G2539" s="1" t="s">
        <v>9</v>
      </c>
      <c r="H2539" s="1" t="s">
        <v>10</v>
      </c>
    </row>
    <row r="2540" spans="1:8" x14ac:dyDescent="0.3">
      <c r="A2540" s="1">
        <v>768</v>
      </c>
      <c r="B2540" s="1" t="s">
        <v>2057</v>
      </c>
      <c r="C2540" s="1" t="s">
        <v>6499</v>
      </c>
      <c r="D2540" s="1" t="s">
        <v>6500</v>
      </c>
      <c r="E2540" s="1">
        <v>24000</v>
      </c>
      <c r="F2540" s="1" t="s">
        <v>8</v>
      </c>
      <c r="G2540" s="1" t="s">
        <v>9</v>
      </c>
      <c r="H2540" s="1" t="s">
        <v>10</v>
      </c>
    </row>
    <row r="2541" spans="1:8" x14ac:dyDescent="0.3">
      <c r="A2541" s="1">
        <v>768</v>
      </c>
      <c r="B2541" s="1" t="s">
        <v>2057</v>
      </c>
      <c r="C2541" s="1" t="s">
        <v>6501</v>
      </c>
      <c r="D2541" s="1" t="s">
        <v>6502</v>
      </c>
      <c r="E2541" s="1">
        <v>325</v>
      </c>
      <c r="F2541" s="1" t="s">
        <v>8</v>
      </c>
      <c r="G2541" s="1" t="s">
        <v>9</v>
      </c>
      <c r="H2541" s="1" t="s">
        <v>10</v>
      </c>
    </row>
    <row r="2542" spans="1:8" x14ac:dyDescent="0.3">
      <c r="A2542" s="1">
        <v>768</v>
      </c>
      <c r="B2542" s="1" t="s">
        <v>2057</v>
      </c>
      <c r="C2542" s="1" t="s">
        <v>6503</v>
      </c>
      <c r="D2542" s="1" t="s">
        <v>6504</v>
      </c>
      <c r="E2542" s="1">
        <v>434.26</v>
      </c>
      <c r="F2542" s="1" t="s">
        <v>8</v>
      </c>
      <c r="G2542" s="1" t="s">
        <v>9</v>
      </c>
      <c r="H2542" s="1" t="s">
        <v>10</v>
      </c>
    </row>
    <row r="2543" spans="1:8" x14ac:dyDescent="0.3">
      <c r="A2543" s="1">
        <v>768</v>
      </c>
      <c r="B2543" s="1" t="s">
        <v>2057</v>
      </c>
      <c r="C2543" s="1" t="s">
        <v>6505</v>
      </c>
      <c r="D2543" s="1" t="s">
        <v>6506</v>
      </c>
      <c r="E2543" s="1">
        <v>4993.6000000000004</v>
      </c>
      <c r="F2543" s="1" t="s">
        <v>8</v>
      </c>
      <c r="G2543" s="1" t="s">
        <v>9</v>
      </c>
      <c r="H2543" s="1" t="s">
        <v>10</v>
      </c>
    </row>
    <row r="2544" spans="1:8" x14ac:dyDescent="0.3">
      <c r="A2544" s="1">
        <v>768</v>
      </c>
      <c r="B2544" s="1" t="s">
        <v>2057</v>
      </c>
      <c r="C2544" s="1" t="s">
        <v>6507</v>
      </c>
      <c r="D2544" s="1" t="s">
        <v>6508</v>
      </c>
      <c r="E2544" s="1">
        <v>5633.76</v>
      </c>
      <c r="F2544" s="1" t="s">
        <v>8</v>
      </c>
      <c r="G2544" s="1" t="s">
        <v>9</v>
      </c>
      <c r="H2544" s="1" t="s">
        <v>10</v>
      </c>
    </row>
    <row r="2545" spans="1:8" x14ac:dyDescent="0.3">
      <c r="A2545" s="1">
        <v>768</v>
      </c>
      <c r="B2545" s="1" t="s">
        <v>2057</v>
      </c>
      <c r="C2545" s="1" t="s">
        <v>6509</v>
      </c>
      <c r="D2545" s="1" t="s">
        <v>6510</v>
      </c>
      <c r="E2545" s="1">
        <v>29224.04</v>
      </c>
      <c r="F2545" s="1" t="s">
        <v>8</v>
      </c>
      <c r="G2545" s="1" t="s">
        <v>9</v>
      </c>
      <c r="H2545" s="1" t="s">
        <v>10</v>
      </c>
    </row>
    <row r="2546" spans="1:8" x14ac:dyDescent="0.3">
      <c r="A2546" s="1">
        <v>768</v>
      </c>
      <c r="B2546" s="1" t="s">
        <v>2057</v>
      </c>
      <c r="C2546" s="1" t="s">
        <v>6511</v>
      </c>
      <c r="D2546" s="1" t="s">
        <v>6512</v>
      </c>
      <c r="E2546" s="1">
        <v>29470.31</v>
      </c>
      <c r="F2546" s="1" t="s">
        <v>8</v>
      </c>
      <c r="G2546" s="1" t="s">
        <v>9</v>
      </c>
      <c r="H2546" s="1" t="s">
        <v>10</v>
      </c>
    </row>
    <row r="2547" spans="1:8" x14ac:dyDescent="0.3">
      <c r="A2547" s="1">
        <v>768</v>
      </c>
      <c r="B2547" s="1" t="s">
        <v>2057</v>
      </c>
      <c r="C2547" s="1" t="s">
        <v>6513</v>
      </c>
      <c r="D2547" s="1" t="s">
        <v>6514</v>
      </c>
      <c r="E2547" s="1">
        <v>29434.35</v>
      </c>
      <c r="F2547" s="1" t="s">
        <v>8</v>
      </c>
      <c r="G2547" s="1" t="s">
        <v>9</v>
      </c>
      <c r="H2547" s="1" t="s">
        <v>10</v>
      </c>
    </row>
    <row r="2548" spans="1:8" x14ac:dyDescent="0.3">
      <c r="A2548" s="1">
        <v>768</v>
      </c>
      <c r="B2548" s="1" t="s">
        <v>2057</v>
      </c>
      <c r="C2548" s="1" t="s">
        <v>6515</v>
      </c>
      <c r="D2548" s="1" t="s">
        <v>6516</v>
      </c>
      <c r="E2548" s="1">
        <v>26223.33</v>
      </c>
      <c r="F2548" s="1" t="s">
        <v>8</v>
      </c>
      <c r="G2548" s="1" t="s">
        <v>9</v>
      </c>
      <c r="H2548" s="1" t="s">
        <v>10</v>
      </c>
    </row>
    <row r="2549" spans="1:8" x14ac:dyDescent="0.3">
      <c r="A2549" s="1">
        <v>768</v>
      </c>
      <c r="B2549" s="1" t="s">
        <v>2057</v>
      </c>
      <c r="C2549" s="1" t="s">
        <v>6517</v>
      </c>
      <c r="D2549" s="1" t="s">
        <v>6518</v>
      </c>
      <c r="E2549" s="1">
        <v>28007.23</v>
      </c>
      <c r="F2549" s="1" t="s">
        <v>8</v>
      </c>
      <c r="G2549" s="1" t="s">
        <v>9</v>
      </c>
      <c r="H2549" s="1" t="s">
        <v>10</v>
      </c>
    </row>
    <row r="2550" spans="1:8" x14ac:dyDescent="0.3">
      <c r="A2550" s="1">
        <v>768</v>
      </c>
      <c r="B2550" s="1" t="s">
        <v>2057</v>
      </c>
      <c r="C2550" s="1" t="s">
        <v>6519</v>
      </c>
      <c r="D2550" s="1" t="s">
        <v>6520</v>
      </c>
      <c r="E2550" s="1">
        <v>26580.11</v>
      </c>
      <c r="F2550" s="1" t="s">
        <v>8</v>
      </c>
      <c r="G2550" s="1" t="s">
        <v>9</v>
      </c>
      <c r="H2550" s="1" t="s">
        <v>10</v>
      </c>
    </row>
    <row r="2551" spans="1:8" x14ac:dyDescent="0.3">
      <c r="A2551" s="1">
        <v>768</v>
      </c>
      <c r="B2551" s="1" t="s">
        <v>2057</v>
      </c>
      <c r="C2551" s="1" t="s">
        <v>6521</v>
      </c>
      <c r="D2551" s="1" t="s">
        <v>6522</v>
      </c>
      <c r="E2551" s="1">
        <v>29612.74</v>
      </c>
      <c r="F2551" s="1" t="s">
        <v>8</v>
      </c>
      <c r="G2551" s="1" t="s">
        <v>9</v>
      </c>
      <c r="H2551" s="1" t="s">
        <v>10</v>
      </c>
    </row>
    <row r="2552" spans="1:8" x14ac:dyDescent="0.3">
      <c r="A2552" s="1">
        <v>768</v>
      </c>
      <c r="B2552" s="1" t="s">
        <v>2057</v>
      </c>
      <c r="C2552" s="1" t="s">
        <v>6523</v>
      </c>
      <c r="D2552" s="1" t="s">
        <v>6524</v>
      </c>
      <c r="E2552" s="1">
        <v>29306.13</v>
      </c>
      <c r="F2552" s="1" t="s">
        <v>8</v>
      </c>
      <c r="G2552" s="1" t="s">
        <v>9</v>
      </c>
      <c r="H2552" s="1" t="s">
        <v>10</v>
      </c>
    </row>
    <row r="2553" spans="1:8" x14ac:dyDescent="0.3">
      <c r="A2553" s="1">
        <v>768</v>
      </c>
      <c r="B2553" s="1" t="s">
        <v>2057</v>
      </c>
      <c r="C2553" s="1" t="s">
        <v>6525</v>
      </c>
      <c r="D2553" s="1" t="s">
        <v>6526</v>
      </c>
      <c r="E2553" s="1">
        <v>28720.79</v>
      </c>
      <c r="F2553" s="1" t="s">
        <v>8</v>
      </c>
      <c r="G2553" s="1" t="s">
        <v>9</v>
      </c>
      <c r="H2553" s="1" t="s">
        <v>10</v>
      </c>
    </row>
    <row r="2554" spans="1:8" x14ac:dyDescent="0.3">
      <c r="A2554" s="1">
        <v>768</v>
      </c>
      <c r="B2554" s="1" t="s">
        <v>2057</v>
      </c>
      <c r="C2554" s="1" t="s">
        <v>6527</v>
      </c>
      <c r="D2554" s="1" t="s">
        <v>6528</v>
      </c>
      <c r="E2554" s="1">
        <v>26936.89</v>
      </c>
      <c r="F2554" s="1" t="s">
        <v>8</v>
      </c>
      <c r="G2554" s="1" t="s">
        <v>9</v>
      </c>
      <c r="H2554" s="1" t="s">
        <v>10</v>
      </c>
    </row>
    <row r="2555" spans="1:8" x14ac:dyDescent="0.3">
      <c r="A2555" s="1">
        <v>768</v>
      </c>
      <c r="B2555" s="1" t="s">
        <v>2057</v>
      </c>
      <c r="C2555" s="1" t="s">
        <v>6529</v>
      </c>
      <c r="D2555" s="1" t="s">
        <v>6530</v>
      </c>
      <c r="E2555" s="1">
        <v>29969.52</v>
      </c>
      <c r="F2555" s="1" t="s">
        <v>8</v>
      </c>
      <c r="G2555" s="1" t="s">
        <v>9</v>
      </c>
      <c r="H2555" s="1" t="s">
        <v>10</v>
      </c>
    </row>
    <row r="2556" spans="1:8" x14ac:dyDescent="0.3">
      <c r="A2556" s="1">
        <v>768</v>
      </c>
      <c r="B2556" s="1" t="s">
        <v>2057</v>
      </c>
      <c r="C2556" s="1" t="s">
        <v>2251</v>
      </c>
      <c r="D2556" s="1" t="s">
        <v>6531</v>
      </c>
      <c r="E2556" s="1">
        <v>29059.86</v>
      </c>
      <c r="F2556" s="1" t="s">
        <v>8</v>
      </c>
      <c r="G2556" s="1" t="s">
        <v>9</v>
      </c>
      <c r="H2556" s="1" t="s">
        <v>10</v>
      </c>
    </row>
    <row r="2557" spans="1:8" x14ac:dyDescent="0.3">
      <c r="A2557" s="1">
        <v>768</v>
      </c>
      <c r="B2557" s="1" t="s">
        <v>2057</v>
      </c>
      <c r="C2557" s="1" t="s">
        <v>2090</v>
      </c>
      <c r="D2557" s="1" t="s">
        <v>6532</v>
      </c>
      <c r="E2557" s="1">
        <v>27650.45</v>
      </c>
      <c r="F2557" s="1" t="s">
        <v>8</v>
      </c>
      <c r="G2557" s="1" t="s">
        <v>9</v>
      </c>
      <c r="H2557" s="1" t="s">
        <v>10</v>
      </c>
    </row>
    <row r="2558" spans="1:8" x14ac:dyDescent="0.3">
      <c r="A2558" s="1">
        <v>768</v>
      </c>
      <c r="B2558" s="1" t="s">
        <v>2057</v>
      </c>
      <c r="C2558" s="1" t="s">
        <v>6533</v>
      </c>
      <c r="D2558" s="1" t="s">
        <v>6534</v>
      </c>
      <c r="E2558" s="1">
        <v>28899.18</v>
      </c>
      <c r="F2558" s="1" t="s">
        <v>8</v>
      </c>
      <c r="G2558" s="1" t="s">
        <v>9</v>
      </c>
      <c r="H2558" s="1" t="s">
        <v>10</v>
      </c>
    </row>
    <row r="2559" spans="1:8" x14ac:dyDescent="0.3">
      <c r="A2559" s="1">
        <v>768</v>
      </c>
      <c r="B2559" s="1" t="s">
        <v>2057</v>
      </c>
      <c r="C2559" s="1" t="s">
        <v>6535</v>
      </c>
      <c r="D2559" s="1" t="s">
        <v>6536</v>
      </c>
      <c r="E2559" s="1">
        <v>28895.68</v>
      </c>
      <c r="F2559" s="1" t="s">
        <v>8</v>
      </c>
      <c r="G2559" s="1" t="s">
        <v>9</v>
      </c>
      <c r="H2559" s="1" t="s">
        <v>10</v>
      </c>
    </row>
    <row r="2560" spans="1:8" x14ac:dyDescent="0.3">
      <c r="A2560" s="1">
        <v>768</v>
      </c>
      <c r="B2560" s="1" t="s">
        <v>2057</v>
      </c>
      <c r="C2560" s="1" t="s">
        <v>6537</v>
      </c>
      <c r="D2560" s="1" t="s">
        <v>6538</v>
      </c>
      <c r="E2560" s="1">
        <v>27115.279999999999</v>
      </c>
      <c r="F2560" s="1" t="s">
        <v>8</v>
      </c>
      <c r="G2560" s="1" t="s">
        <v>9</v>
      </c>
      <c r="H2560" s="1" t="s">
        <v>10</v>
      </c>
    </row>
    <row r="2561" spans="1:8" x14ac:dyDescent="0.3">
      <c r="A2561" s="1">
        <v>768</v>
      </c>
      <c r="B2561" s="1" t="s">
        <v>2057</v>
      </c>
      <c r="C2561" s="1" t="s">
        <v>2088</v>
      </c>
      <c r="D2561" s="1" t="s">
        <v>6539</v>
      </c>
      <c r="E2561" s="1">
        <v>27828.84</v>
      </c>
      <c r="F2561" s="1" t="s">
        <v>8</v>
      </c>
      <c r="G2561" s="1" t="s">
        <v>9</v>
      </c>
      <c r="H2561" s="1" t="s">
        <v>10</v>
      </c>
    </row>
    <row r="2562" spans="1:8" x14ac:dyDescent="0.3">
      <c r="A2562" s="1">
        <v>768</v>
      </c>
      <c r="B2562" s="1" t="s">
        <v>2057</v>
      </c>
      <c r="C2562" s="1" t="s">
        <v>6540</v>
      </c>
      <c r="D2562" s="1" t="s">
        <v>6541</v>
      </c>
      <c r="E2562" s="1">
        <v>28567.32</v>
      </c>
      <c r="F2562" s="1" t="s">
        <v>8</v>
      </c>
      <c r="G2562" s="1" t="s">
        <v>9</v>
      </c>
      <c r="H2562" s="1" t="s">
        <v>10</v>
      </c>
    </row>
    <row r="2563" spans="1:8" x14ac:dyDescent="0.3">
      <c r="A2563" s="1">
        <v>768</v>
      </c>
      <c r="B2563" s="1" t="s">
        <v>2057</v>
      </c>
      <c r="C2563" s="1" t="s">
        <v>6542</v>
      </c>
      <c r="D2563" s="1" t="s">
        <v>6543</v>
      </c>
      <c r="E2563" s="1">
        <v>311379.45</v>
      </c>
      <c r="F2563" s="1" t="s">
        <v>8</v>
      </c>
      <c r="G2563" s="1" t="s">
        <v>9</v>
      </c>
      <c r="H2563" s="1" t="s">
        <v>10</v>
      </c>
    </row>
    <row r="2564" spans="1:8" x14ac:dyDescent="0.3">
      <c r="A2564" s="1">
        <v>768</v>
      </c>
      <c r="B2564" s="1" t="s">
        <v>2057</v>
      </c>
      <c r="C2564" s="1" t="s">
        <v>6544</v>
      </c>
      <c r="D2564" s="1" t="s">
        <v>6545</v>
      </c>
      <c r="E2564" s="1">
        <v>28649.41</v>
      </c>
      <c r="F2564" s="1" t="s">
        <v>8</v>
      </c>
      <c r="G2564" s="1" t="s">
        <v>9</v>
      </c>
      <c r="H2564" s="1" t="s">
        <v>10</v>
      </c>
    </row>
    <row r="2565" spans="1:8" x14ac:dyDescent="0.3">
      <c r="A2565" s="1">
        <v>768</v>
      </c>
      <c r="B2565" s="1" t="s">
        <v>2057</v>
      </c>
      <c r="C2565" s="1" t="s">
        <v>6546</v>
      </c>
      <c r="D2565" s="1" t="s">
        <v>6547</v>
      </c>
      <c r="E2565" s="1">
        <v>29388.22</v>
      </c>
      <c r="F2565" s="1" t="s">
        <v>8</v>
      </c>
      <c r="G2565" s="1" t="s">
        <v>9</v>
      </c>
      <c r="H2565" s="1" t="s">
        <v>10</v>
      </c>
    </row>
    <row r="2566" spans="1:8" x14ac:dyDescent="0.3">
      <c r="A2566" s="1">
        <v>768</v>
      </c>
      <c r="B2566" s="1" t="s">
        <v>2057</v>
      </c>
      <c r="C2566" s="1" t="s">
        <v>6548</v>
      </c>
      <c r="D2566" s="1" t="s">
        <v>6549</v>
      </c>
      <c r="E2566" s="1">
        <v>28542.400000000001</v>
      </c>
      <c r="F2566" s="1" t="s">
        <v>8</v>
      </c>
      <c r="G2566" s="1" t="s">
        <v>9</v>
      </c>
      <c r="H2566" s="1" t="s">
        <v>10</v>
      </c>
    </row>
    <row r="2567" spans="1:8" x14ac:dyDescent="0.3">
      <c r="A2567" s="1">
        <v>768</v>
      </c>
      <c r="B2567" s="1" t="s">
        <v>2057</v>
      </c>
      <c r="C2567" s="1" t="s">
        <v>6550</v>
      </c>
      <c r="D2567" s="1" t="s">
        <v>6551</v>
      </c>
      <c r="E2567" s="1">
        <v>29634.49</v>
      </c>
      <c r="F2567" s="1" t="s">
        <v>8</v>
      </c>
      <c r="G2567" s="1" t="s">
        <v>9</v>
      </c>
      <c r="H2567" s="1" t="s">
        <v>10</v>
      </c>
    </row>
    <row r="2568" spans="1:8" x14ac:dyDescent="0.3">
      <c r="A2568" s="1">
        <v>768</v>
      </c>
      <c r="B2568" s="1" t="s">
        <v>2057</v>
      </c>
      <c r="C2568" s="1" t="s">
        <v>6552</v>
      </c>
      <c r="D2568" s="1" t="s">
        <v>6553</v>
      </c>
      <c r="E2568" s="1">
        <v>29141.95</v>
      </c>
      <c r="F2568" s="1" t="s">
        <v>8</v>
      </c>
      <c r="G2568" s="1" t="s">
        <v>9</v>
      </c>
      <c r="H2568" s="1" t="s">
        <v>10</v>
      </c>
    </row>
    <row r="2569" spans="1:8" x14ac:dyDescent="0.3">
      <c r="A2569" s="1">
        <v>768</v>
      </c>
      <c r="B2569" s="1" t="s">
        <v>2057</v>
      </c>
      <c r="C2569" s="1" t="s">
        <v>6554</v>
      </c>
      <c r="D2569" s="1" t="s">
        <v>6555</v>
      </c>
      <c r="E2569" s="1">
        <v>29255.96</v>
      </c>
      <c r="F2569" s="1" t="s">
        <v>8</v>
      </c>
      <c r="G2569" s="1" t="s">
        <v>9</v>
      </c>
      <c r="H2569" s="1" t="s">
        <v>10</v>
      </c>
    </row>
    <row r="2570" spans="1:8" x14ac:dyDescent="0.3">
      <c r="A2570" s="1">
        <v>768</v>
      </c>
      <c r="B2570" s="1" t="s">
        <v>2057</v>
      </c>
      <c r="C2570" s="1" t="s">
        <v>6556</v>
      </c>
      <c r="D2570" s="1" t="s">
        <v>6557</v>
      </c>
      <c r="E2570" s="1">
        <v>28403.14</v>
      </c>
      <c r="F2570" s="1" t="s">
        <v>8</v>
      </c>
      <c r="G2570" s="1" t="s">
        <v>9</v>
      </c>
      <c r="H2570" s="1" t="s">
        <v>10</v>
      </c>
    </row>
    <row r="2571" spans="1:8" x14ac:dyDescent="0.3">
      <c r="A2571" s="1">
        <v>768</v>
      </c>
      <c r="B2571" s="1" t="s">
        <v>2057</v>
      </c>
      <c r="C2571" s="1" t="s">
        <v>6558</v>
      </c>
      <c r="D2571" s="1" t="s">
        <v>6559</v>
      </c>
      <c r="E2571" s="1">
        <v>29791.13</v>
      </c>
      <c r="F2571" s="1" t="s">
        <v>8</v>
      </c>
      <c r="G2571" s="1" t="s">
        <v>9</v>
      </c>
      <c r="H2571" s="1" t="s">
        <v>10</v>
      </c>
    </row>
    <row r="2572" spans="1:8" x14ac:dyDescent="0.3">
      <c r="A2572" s="1">
        <v>768</v>
      </c>
      <c r="B2572" s="1" t="s">
        <v>2057</v>
      </c>
      <c r="C2572" s="1" t="s">
        <v>6560</v>
      </c>
      <c r="D2572" s="1" t="s">
        <v>6561</v>
      </c>
      <c r="E2572" s="1">
        <v>28977.77</v>
      </c>
      <c r="F2572" s="1" t="s">
        <v>8</v>
      </c>
      <c r="G2572" s="1" t="s">
        <v>9</v>
      </c>
      <c r="H2572" s="1" t="s">
        <v>10</v>
      </c>
    </row>
    <row r="2573" spans="1:8" x14ac:dyDescent="0.3">
      <c r="A2573" s="1">
        <v>768</v>
      </c>
      <c r="B2573" s="1" t="s">
        <v>2057</v>
      </c>
      <c r="C2573" s="1" t="s">
        <v>6562</v>
      </c>
      <c r="D2573" s="1" t="s">
        <v>6563</v>
      </c>
      <c r="E2573" s="1">
        <v>28731.5</v>
      </c>
      <c r="F2573" s="1" t="s">
        <v>8</v>
      </c>
      <c r="G2573" s="1" t="s">
        <v>9</v>
      </c>
      <c r="H2573" s="1" t="s">
        <v>10</v>
      </c>
    </row>
    <row r="2574" spans="1:8" x14ac:dyDescent="0.3">
      <c r="A2574" s="1">
        <v>768</v>
      </c>
      <c r="B2574" s="1" t="s">
        <v>2057</v>
      </c>
      <c r="C2574" s="1" t="s">
        <v>6564</v>
      </c>
      <c r="D2574" s="1" t="s">
        <v>6565</v>
      </c>
      <c r="E2574" s="1">
        <v>28813.59</v>
      </c>
      <c r="F2574" s="1" t="s">
        <v>8</v>
      </c>
      <c r="G2574" s="1" t="s">
        <v>9</v>
      </c>
      <c r="H2574" s="1" t="s">
        <v>10</v>
      </c>
    </row>
    <row r="2575" spans="1:8" x14ac:dyDescent="0.3">
      <c r="A2575" s="1">
        <v>768</v>
      </c>
      <c r="B2575" s="1" t="s">
        <v>2057</v>
      </c>
      <c r="C2575" s="1" t="s">
        <v>6566</v>
      </c>
      <c r="D2575" s="1" t="s">
        <v>6567</v>
      </c>
      <c r="E2575" s="1">
        <v>26044.94</v>
      </c>
      <c r="F2575" s="1" t="s">
        <v>8</v>
      </c>
      <c r="G2575" s="1" t="s">
        <v>9</v>
      </c>
      <c r="H2575" s="1" t="s">
        <v>10</v>
      </c>
    </row>
    <row r="2576" spans="1:8" x14ac:dyDescent="0.3">
      <c r="A2576" s="1">
        <v>768</v>
      </c>
      <c r="B2576" s="1" t="s">
        <v>2057</v>
      </c>
      <c r="C2576" s="1" t="s">
        <v>6568</v>
      </c>
      <c r="D2576" s="1" t="s">
        <v>6569</v>
      </c>
      <c r="E2576" s="1">
        <v>29552.400000000001</v>
      </c>
      <c r="F2576" s="1" t="s">
        <v>8</v>
      </c>
      <c r="G2576" s="1" t="s">
        <v>9</v>
      </c>
      <c r="H2576" s="1" t="s">
        <v>10</v>
      </c>
    </row>
    <row r="2577" spans="1:8" x14ac:dyDescent="0.3">
      <c r="A2577" s="1">
        <v>768</v>
      </c>
      <c r="B2577" s="1" t="s">
        <v>2057</v>
      </c>
      <c r="C2577" s="1" t="s">
        <v>6570</v>
      </c>
      <c r="D2577" s="1" t="s">
        <v>6571</v>
      </c>
      <c r="E2577" s="1">
        <v>27472.06</v>
      </c>
      <c r="F2577" s="1" t="s">
        <v>8</v>
      </c>
      <c r="G2577" s="1" t="s">
        <v>9</v>
      </c>
      <c r="H2577" s="1" t="s">
        <v>10</v>
      </c>
    </row>
    <row r="2578" spans="1:8" x14ac:dyDescent="0.3">
      <c r="A2578" s="1">
        <v>768</v>
      </c>
      <c r="B2578" s="1" t="s">
        <v>2057</v>
      </c>
      <c r="C2578" s="1" t="s">
        <v>6572</v>
      </c>
      <c r="D2578" s="1" t="s">
        <v>6573</v>
      </c>
      <c r="E2578" s="1">
        <v>27293.67</v>
      </c>
      <c r="F2578" s="1" t="s">
        <v>8</v>
      </c>
      <c r="G2578" s="1" t="s">
        <v>9</v>
      </c>
      <c r="H2578" s="1" t="s">
        <v>10</v>
      </c>
    </row>
    <row r="2579" spans="1:8" x14ac:dyDescent="0.3">
      <c r="A2579" s="1">
        <v>768</v>
      </c>
      <c r="B2579" s="1" t="s">
        <v>2057</v>
      </c>
      <c r="C2579" s="1" t="s">
        <v>6574</v>
      </c>
      <c r="D2579" s="1" t="s">
        <v>6575</v>
      </c>
      <c r="E2579" s="1">
        <v>28364.01</v>
      </c>
      <c r="F2579" s="1" t="s">
        <v>8</v>
      </c>
      <c r="G2579" s="1" t="s">
        <v>9</v>
      </c>
      <c r="H2579" s="1" t="s">
        <v>10</v>
      </c>
    </row>
    <row r="2580" spans="1:8" x14ac:dyDescent="0.3">
      <c r="A2580" s="1">
        <v>768</v>
      </c>
      <c r="B2580" s="1" t="s">
        <v>2057</v>
      </c>
      <c r="C2580" s="1" t="s">
        <v>6576</v>
      </c>
      <c r="D2580" s="1" t="s">
        <v>6577</v>
      </c>
      <c r="E2580" s="1">
        <v>28485.23</v>
      </c>
      <c r="F2580" s="1" t="s">
        <v>8</v>
      </c>
      <c r="G2580" s="1" t="s">
        <v>9</v>
      </c>
      <c r="H2580" s="1" t="s">
        <v>10</v>
      </c>
    </row>
    <row r="2581" spans="1:8" x14ac:dyDescent="0.3">
      <c r="A2581" s="1">
        <v>768</v>
      </c>
      <c r="B2581" s="1" t="s">
        <v>2057</v>
      </c>
      <c r="C2581" s="1" t="s">
        <v>6578</v>
      </c>
      <c r="D2581" s="1" t="s">
        <v>6579</v>
      </c>
      <c r="E2581" s="1">
        <v>26401.72</v>
      </c>
      <c r="F2581" s="1" t="s">
        <v>8</v>
      </c>
      <c r="G2581" s="1" t="s">
        <v>9</v>
      </c>
      <c r="H2581" s="1" t="s">
        <v>10</v>
      </c>
    </row>
    <row r="2582" spans="1:8" x14ac:dyDescent="0.3">
      <c r="A2582" s="1">
        <v>768</v>
      </c>
      <c r="B2582" s="1" t="s">
        <v>2057</v>
      </c>
      <c r="C2582" s="1" t="s">
        <v>2084</v>
      </c>
      <c r="D2582" s="1" t="s">
        <v>6580</v>
      </c>
      <c r="E2582" s="1">
        <v>28185.62</v>
      </c>
      <c r="F2582" s="1" t="s">
        <v>8</v>
      </c>
      <c r="G2582" s="1" t="s">
        <v>9</v>
      </c>
      <c r="H2582" s="1" t="s">
        <v>10</v>
      </c>
    </row>
    <row r="2583" spans="1:8" x14ac:dyDescent="0.3">
      <c r="A2583" s="1">
        <v>768</v>
      </c>
      <c r="B2583" s="1" t="s">
        <v>2057</v>
      </c>
      <c r="C2583" s="1" t="s">
        <v>6581</v>
      </c>
      <c r="D2583" s="1" t="s">
        <v>6582</v>
      </c>
      <c r="E2583" s="1">
        <v>29716.58</v>
      </c>
      <c r="F2583" s="1" t="s">
        <v>8</v>
      </c>
      <c r="G2583" s="1" t="s">
        <v>9</v>
      </c>
      <c r="H2583" s="1" t="s">
        <v>10</v>
      </c>
    </row>
    <row r="2584" spans="1:8" x14ac:dyDescent="0.3">
      <c r="A2584" s="1">
        <v>768</v>
      </c>
      <c r="B2584" s="1" t="s">
        <v>2057</v>
      </c>
      <c r="C2584" s="1" t="s">
        <v>6583</v>
      </c>
      <c r="D2584" s="1" t="s">
        <v>6584</v>
      </c>
      <c r="E2584" s="1">
        <v>29077.57</v>
      </c>
      <c r="F2584" s="1" t="s">
        <v>8</v>
      </c>
      <c r="G2584" s="1" t="s">
        <v>9</v>
      </c>
      <c r="H2584" s="1" t="s">
        <v>10</v>
      </c>
    </row>
    <row r="2585" spans="1:8" x14ac:dyDescent="0.3">
      <c r="A2585" s="1">
        <v>768</v>
      </c>
      <c r="B2585" s="1" t="s">
        <v>2057</v>
      </c>
      <c r="C2585" s="1" t="s">
        <v>6585</v>
      </c>
      <c r="D2585" s="1" t="s">
        <v>6586</v>
      </c>
      <c r="E2585" s="1">
        <v>188030.56</v>
      </c>
      <c r="F2585" s="1" t="s">
        <v>8</v>
      </c>
      <c r="G2585" s="1" t="s">
        <v>9</v>
      </c>
      <c r="H2585" s="1" t="s">
        <v>10</v>
      </c>
    </row>
    <row r="2586" spans="1:8" x14ac:dyDescent="0.3">
      <c r="A2586" s="1">
        <v>768</v>
      </c>
      <c r="B2586" s="1" t="s">
        <v>2057</v>
      </c>
      <c r="C2586" s="1" t="s">
        <v>6587</v>
      </c>
      <c r="D2586" s="1" t="s">
        <v>6588</v>
      </c>
      <c r="E2586" s="1">
        <v>26758.5</v>
      </c>
      <c r="F2586" s="1" t="s">
        <v>8</v>
      </c>
      <c r="G2586" s="1" t="s">
        <v>9</v>
      </c>
      <c r="H2586" s="1" t="s">
        <v>10</v>
      </c>
    </row>
    <row r="2587" spans="1:8" x14ac:dyDescent="0.3">
      <c r="A2587" s="1">
        <v>768</v>
      </c>
      <c r="B2587" s="1" t="s">
        <v>2057</v>
      </c>
      <c r="C2587" s="1" t="s">
        <v>6589</v>
      </c>
      <c r="D2587" s="1" t="s">
        <v>6590</v>
      </c>
      <c r="E2587" s="1">
        <v>1139</v>
      </c>
      <c r="F2587" s="1" t="s">
        <v>8</v>
      </c>
      <c r="G2587" s="1" t="s">
        <v>9</v>
      </c>
      <c r="H2587" s="1" t="s">
        <v>10</v>
      </c>
    </row>
    <row r="2588" spans="1:8" x14ac:dyDescent="0.3">
      <c r="A2588" s="1">
        <v>768</v>
      </c>
      <c r="B2588" s="1" t="s">
        <v>2057</v>
      </c>
      <c r="C2588" s="1" t="s">
        <v>6591</v>
      </c>
      <c r="D2588" s="1" t="s">
        <v>6592</v>
      </c>
      <c r="E2588" s="1">
        <v>1550.4</v>
      </c>
      <c r="F2588" s="1" t="s">
        <v>8</v>
      </c>
      <c r="G2588" s="1" t="s">
        <v>9</v>
      </c>
      <c r="H2588" s="1" t="s">
        <v>10</v>
      </c>
    </row>
    <row r="2589" spans="1:8" x14ac:dyDescent="0.3">
      <c r="A2589" s="1">
        <v>768</v>
      </c>
      <c r="B2589" s="1" t="s">
        <v>2057</v>
      </c>
      <c r="C2589" s="1" t="s">
        <v>6593</v>
      </c>
      <c r="D2589" s="1" t="s">
        <v>6594</v>
      </c>
      <c r="E2589" s="1">
        <v>290</v>
      </c>
      <c r="F2589" s="1" t="s">
        <v>8</v>
      </c>
      <c r="G2589" s="1" t="s">
        <v>9</v>
      </c>
      <c r="H2589" s="1" t="s">
        <v>10</v>
      </c>
    </row>
    <row r="2590" spans="1:8" x14ac:dyDescent="0.3">
      <c r="A2590" s="1">
        <v>768</v>
      </c>
      <c r="B2590" s="1" t="s">
        <v>2057</v>
      </c>
      <c r="C2590" s="1" t="s">
        <v>6595</v>
      </c>
      <c r="D2590" s="1" t="s">
        <v>6596</v>
      </c>
      <c r="E2590" s="1">
        <v>700</v>
      </c>
      <c r="F2590" s="1" t="s">
        <v>8</v>
      </c>
      <c r="G2590" s="1" t="s">
        <v>9</v>
      </c>
      <c r="H2590" s="1" t="s">
        <v>10</v>
      </c>
    </row>
    <row r="2591" spans="1:8" x14ac:dyDescent="0.3">
      <c r="A2591" s="1">
        <v>768</v>
      </c>
      <c r="B2591" s="1" t="s">
        <v>2057</v>
      </c>
      <c r="C2591" s="1" t="s">
        <v>6597</v>
      </c>
      <c r="D2591" s="1" t="s">
        <v>6598</v>
      </c>
      <c r="E2591" s="1">
        <v>1652.4</v>
      </c>
      <c r="F2591" s="1" t="s">
        <v>8</v>
      </c>
      <c r="G2591" s="1" t="s">
        <v>9</v>
      </c>
      <c r="H2591" s="1" t="s">
        <v>10</v>
      </c>
    </row>
    <row r="2592" spans="1:8" x14ac:dyDescent="0.3">
      <c r="A2592" s="1">
        <v>768</v>
      </c>
      <c r="B2592" s="1" t="s">
        <v>2057</v>
      </c>
      <c r="C2592" s="1" t="s">
        <v>6599</v>
      </c>
      <c r="D2592" s="1" t="s">
        <v>6600</v>
      </c>
      <c r="E2592" s="1">
        <v>347.52</v>
      </c>
      <c r="F2592" s="1" t="s">
        <v>8</v>
      </c>
      <c r="G2592" s="1" t="s">
        <v>9</v>
      </c>
      <c r="H2592" s="1" t="s">
        <v>10</v>
      </c>
    </row>
    <row r="2593" spans="1:8" x14ac:dyDescent="0.3">
      <c r="A2593" s="1">
        <v>768</v>
      </c>
      <c r="B2593" s="1" t="s">
        <v>2057</v>
      </c>
      <c r="C2593" s="1" t="s">
        <v>6601</v>
      </c>
      <c r="D2593" s="1" t="s">
        <v>6602</v>
      </c>
      <c r="E2593" s="1">
        <v>380</v>
      </c>
      <c r="F2593" s="1" t="s">
        <v>8</v>
      </c>
      <c r="G2593" s="1" t="s">
        <v>9</v>
      </c>
      <c r="H2593" s="1" t="s">
        <v>10</v>
      </c>
    </row>
    <row r="2594" spans="1:8" x14ac:dyDescent="0.3">
      <c r="A2594" s="1">
        <v>768</v>
      </c>
      <c r="B2594" s="1" t="s">
        <v>2057</v>
      </c>
      <c r="C2594" s="1" t="s">
        <v>6603</v>
      </c>
      <c r="D2594" s="1" t="s">
        <v>6604</v>
      </c>
      <c r="E2594" s="1">
        <v>3943.2</v>
      </c>
      <c r="F2594" s="1" t="s">
        <v>8</v>
      </c>
      <c r="G2594" s="1" t="s">
        <v>9</v>
      </c>
      <c r="H2594" s="1" t="s">
        <v>10</v>
      </c>
    </row>
    <row r="2595" spans="1:8" x14ac:dyDescent="0.3">
      <c r="A2595" s="1">
        <v>768</v>
      </c>
      <c r="B2595" s="1" t="s">
        <v>2057</v>
      </c>
      <c r="C2595" s="1" t="s">
        <v>6605</v>
      </c>
      <c r="D2595" s="1" t="s">
        <v>6606</v>
      </c>
      <c r="E2595" s="1">
        <v>1929.5</v>
      </c>
      <c r="F2595" s="1" t="s">
        <v>8</v>
      </c>
      <c r="G2595" s="1" t="s">
        <v>9</v>
      </c>
      <c r="H2595" s="1" t="s">
        <v>10</v>
      </c>
    </row>
    <row r="2596" spans="1:8" x14ac:dyDescent="0.3">
      <c r="A2596" s="1">
        <v>768</v>
      </c>
      <c r="B2596" s="1" t="s">
        <v>2057</v>
      </c>
      <c r="C2596" s="1" t="s">
        <v>6605</v>
      </c>
      <c r="D2596" s="1" t="s">
        <v>6606</v>
      </c>
      <c r="E2596" s="1">
        <v>1929.5</v>
      </c>
      <c r="F2596" s="1" t="s">
        <v>8</v>
      </c>
      <c r="G2596" s="1" t="s">
        <v>9</v>
      </c>
      <c r="H2596" s="1" t="s">
        <v>10</v>
      </c>
    </row>
    <row r="2597" spans="1:8" x14ac:dyDescent="0.3">
      <c r="A2597" s="1">
        <v>768</v>
      </c>
      <c r="B2597" s="1" t="s">
        <v>2057</v>
      </c>
      <c r="C2597" s="1" t="s">
        <v>6607</v>
      </c>
      <c r="D2597" s="1" t="s">
        <v>6608</v>
      </c>
      <c r="E2597" s="1">
        <v>47673.4</v>
      </c>
      <c r="F2597" s="1" t="s">
        <v>8</v>
      </c>
      <c r="G2597" s="1" t="s">
        <v>9</v>
      </c>
      <c r="H2597" s="1" t="s">
        <v>10</v>
      </c>
    </row>
    <row r="2598" spans="1:8" x14ac:dyDescent="0.3">
      <c r="A2598" s="1">
        <v>768</v>
      </c>
      <c r="B2598" s="1" t="s">
        <v>2057</v>
      </c>
      <c r="C2598" s="1" t="s">
        <v>6609</v>
      </c>
      <c r="D2598" s="1" t="s">
        <v>6610</v>
      </c>
      <c r="E2598" s="1">
        <v>560.64</v>
      </c>
      <c r="F2598" s="1" t="s">
        <v>8</v>
      </c>
      <c r="G2598" s="1" t="s">
        <v>9</v>
      </c>
      <c r="H2598" s="1" t="s">
        <v>10</v>
      </c>
    </row>
    <row r="2599" spans="1:8" x14ac:dyDescent="0.3">
      <c r="A2599" s="1">
        <v>768</v>
      </c>
      <c r="B2599" s="1" t="s">
        <v>2057</v>
      </c>
      <c r="C2599" s="1" t="s">
        <v>6611</v>
      </c>
      <c r="D2599" s="1" t="s">
        <v>6612</v>
      </c>
      <c r="E2599" s="1">
        <v>74270.53</v>
      </c>
      <c r="F2599" s="1" t="s">
        <v>8</v>
      </c>
      <c r="G2599" s="1" t="s">
        <v>9</v>
      </c>
      <c r="H2599" s="1" t="s">
        <v>10</v>
      </c>
    </row>
    <row r="2600" spans="1:8" x14ac:dyDescent="0.3">
      <c r="A2600" s="1">
        <v>768</v>
      </c>
      <c r="B2600" s="1" t="s">
        <v>2057</v>
      </c>
      <c r="C2600" s="1" t="s">
        <v>6611</v>
      </c>
      <c r="D2600" s="1" t="s">
        <v>6612</v>
      </c>
      <c r="E2600" s="1">
        <v>74270.53</v>
      </c>
      <c r="F2600" s="1" t="s">
        <v>8</v>
      </c>
      <c r="G2600" s="1" t="s">
        <v>9</v>
      </c>
      <c r="H2600" s="1" t="s">
        <v>10</v>
      </c>
    </row>
    <row r="2601" spans="1:8" x14ac:dyDescent="0.3">
      <c r="A2601" s="1">
        <v>768</v>
      </c>
      <c r="B2601" s="1" t="s">
        <v>2057</v>
      </c>
      <c r="C2601" s="1" t="s">
        <v>6613</v>
      </c>
      <c r="D2601" s="1" t="s">
        <v>6614</v>
      </c>
      <c r="E2601" s="1">
        <v>173.76</v>
      </c>
      <c r="F2601" s="1" t="s">
        <v>8</v>
      </c>
      <c r="G2601" s="1" t="s">
        <v>9</v>
      </c>
      <c r="H2601" s="1" t="s">
        <v>10</v>
      </c>
    </row>
    <row r="2602" spans="1:8" x14ac:dyDescent="0.3">
      <c r="A2602" s="1">
        <v>768</v>
      </c>
      <c r="B2602" s="1" t="s">
        <v>2057</v>
      </c>
      <c r="C2602" s="1" t="s">
        <v>6615</v>
      </c>
      <c r="D2602" s="1" t="s">
        <v>6616</v>
      </c>
      <c r="E2602" s="1">
        <v>3295.96</v>
      </c>
      <c r="F2602" s="1" t="s">
        <v>8</v>
      </c>
      <c r="G2602" s="1" t="s">
        <v>9</v>
      </c>
      <c r="H2602" s="1" t="s">
        <v>10</v>
      </c>
    </row>
    <row r="2603" spans="1:8" x14ac:dyDescent="0.3">
      <c r="A2603" s="1">
        <v>768</v>
      </c>
      <c r="B2603" s="1" t="s">
        <v>2057</v>
      </c>
      <c r="C2603" s="1" t="s">
        <v>6617</v>
      </c>
      <c r="D2603" s="1" t="s">
        <v>6618</v>
      </c>
      <c r="E2603" s="1">
        <v>652.16999999999996</v>
      </c>
      <c r="F2603" s="1" t="s">
        <v>8</v>
      </c>
      <c r="G2603" s="1" t="s">
        <v>9</v>
      </c>
      <c r="H2603" s="1" t="s">
        <v>10</v>
      </c>
    </row>
    <row r="2604" spans="1:8" x14ac:dyDescent="0.3">
      <c r="A2604" s="1">
        <v>768</v>
      </c>
      <c r="B2604" s="1" t="s">
        <v>2057</v>
      </c>
      <c r="C2604" s="1" t="s">
        <v>6617</v>
      </c>
      <c r="D2604" s="1" t="s">
        <v>6618</v>
      </c>
      <c r="E2604" s="1">
        <v>652.16999999999996</v>
      </c>
      <c r="F2604" s="1" t="s">
        <v>8</v>
      </c>
      <c r="G2604" s="1" t="s">
        <v>9</v>
      </c>
      <c r="H2604" s="1" t="s">
        <v>10</v>
      </c>
    </row>
    <row r="2605" spans="1:8" x14ac:dyDescent="0.3">
      <c r="A2605" s="1">
        <v>768</v>
      </c>
      <c r="B2605" s="1" t="s">
        <v>2057</v>
      </c>
      <c r="C2605" s="1" t="s">
        <v>6619</v>
      </c>
      <c r="D2605" s="1" t="s">
        <v>6620</v>
      </c>
      <c r="E2605" s="1">
        <v>4580.7299999999996</v>
      </c>
      <c r="F2605" s="1" t="s">
        <v>8</v>
      </c>
      <c r="G2605" s="1" t="s">
        <v>9</v>
      </c>
      <c r="H2605" s="1" t="s">
        <v>10</v>
      </c>
    </row>
    <row r="2606" spans="1:8" x14ac:dyDescent="0.3">
      <c r="A2606" s="1">
        <v>768</v>
      </c>
      <c r="B2606" s="1" t="s">
        <v>2057</v>
      </c>
      <c r="C2606" s="1" t="s">
        <v>6619</v>
      </c>
      <c r="D2606" s="1" t="s">
        <v>6620</v>
      </c>
      <c r="E2606" s="1">
        <v>4580.7299999999996</v>
      </c>
      <c r="F2606" s="1" t="s">
        <v>8</v>
      </c>
      <c r="G2606" s="1" t="s">
        <v>9</v>
      </c>
      <c r="H2606" s="1" t="s">
        <v>10</v>
      </c>
    </row>
    <row r="2607" spans="1:8" x14ac:dyDescent="0.3">
      <c r="A2607" s="1">
        <v>768</v>
      </c>
      <c r="B2607" s="1" t="s">
        <v>2057</v>
      </c>
      <c r="C2607" s="1" t="s">
        <v>6621</v>
      </c>
      <c r="D2607" s="1" t="s">
        <v>6622</v>
      </c>
      <c r="E2607" s="1">
        <v>778.63</v>
      </c>
      <c r="F2607" s="1" t="s">
        <v>8</v>
      </c>
      <c r="G2607" s="1" t="s">
        <v>9</v>
      </c>
      <c r="H2607" s="1" t="s">
        <v>10</v>
      </c>
    </row>
    <row r="2608" spans="1:8" x14ac:dyDescent="0.3">
      <c r="A2608" s="1">
        <v>768</v>
      </c>
      <c r="B2608" s="1" t="s">
        <v>2057</v>
      </c>
      <c r="C2608" s="1" t="s">
        <v>6623</v>
      </c>
      <c r="D2608" s="1" t="s">
        <v>6624</v>
      </c>
      <c r="E2608" s="1">
        <v>37.4</v>
      </c>
      <c r="F2608" s="1" t="s">
        <v>8</v>
      </c>
      <c r="G2608" s="1" t="s">
        <v>9</v>
      </c>
      <c r="H2608" s="1" t="s">
        <v>10</v>
      </c>
    </row>
    <row r="2609" spans="1:8" x14ac:dyDescent="0.3">
      <c r="A2609" s="1">
        <v>768</v>
      </c>
      <c r="B2609" s="1" t="s">
        <v>2057</v>
      </c>
      <c r="C2609" s="1" t="s">
        <v>6621</v>
      </c>
      <c r="D2609" s="1" t="s">
        <v>6622</v>
      </c>
      <c r="E2609" s="1">
        <v>778.63</v>
      </c>
      <c r="F2609" s="1" t="s">
        <v>8</v>
      </c>
      <c r="G2609" s="1" t="s">
        <v>9</v>
      </c>
      <c r="H2609" s="1" t="s">
        <v>10</v>
      </c>
    </row>
    <row r="2610" spans="1:8" x14ac:dyDescent="0.3">
      <c r="A2610" s="1">
        <v>768</v>
      </c>
      <c r="B2610" s="1" t="s">
        <v>2057</v>
      </c>
      <c r="C2610" s="1" t="s">
        <v>6625</v>
      </c>
      <c r="D2610" s="1" t="s">
        <v>6626</v>
      </c>
      <c r="E2610" s="1">
        <v>4251.4799999999996</v>
      </c>
      <c r="F2610" s="1" t="s">
        <v>8</v>
      </c>
      <c r="G2610" s="1" t="s">
        <v>9</v>
      </c>
      <c r="H2610" s="1" t="s">
        <v>10</v>
      </c>
    </row>
    <row r="2611" spans="1:8" x14ac:dyDescent="0.3">
      <c r="A2611" s="1">
        <v>768</v>
      </c>
      <c r="B2611" s="1" t="s">
        <v>2057</v>
      </c>
      <c r="C2611" s="1" t="s">
        <v>6625</v>
      </c>
      <c r="D2611" s="1" t="s">
        <v>6626</v>
      </c>
      <c r="E2611" s="1">
        <v>4251.4799999999996</v>
      </c>
      <c r="F2611" s="1" t="s">
        <v>8</v>
      </c>
      <c r="G2611" s="1" t="s">
        <v>9</v>
      </c>
      <c r="H2611" s="1" t="s">
        <v>10</v>
      </c>
    </row>
    <row r="2612" spans="1:8" x14ac:dyDescent="0.3">
      <c r="A2612" s="1">
        <v>768</v>
      </c>
      <c r="B2612" s="1" t="s">
        <v>2057</v>
      </c>
      <c r="C2612" s="1" t="s">
        <v>6627</v>
      </c>
      <c r="D2612" s="1" t="s">
        <v>6628</v>
      </c>
      <c r="E2612" s="1">
        <v>6663.2</v>
      </c>
      <c r="F2612" s="1" t="s">
        <v>8</v>
      </c>
      <c r="G2612" s="1" t="s">
        <v>9</v>
      </c>
      <c r="H2612" s="1" t="s">
        <v>10</v>
      </c>
    </row>
    <row r="2613" spans="1:8" x14ac:dyDescent="0.3">
      <c r="A2613" s="1">
        <v>768</v>
      </c>
      <c r="B2613" s="1" t="s">
        <v>2057</v>
      </c>
      <c r="C2613" s="1" t="s">
        <v>6627</v>
      </c>
      <c r="D2613" s="1" t="s">
        <v>6628</v>
      </c>
      <c r="E2613" s="1">
        <v>6663.2</v>
      </c>
      <c r="F2613" s="1" t="s">
        <v>8</v>
      </c>
      <c r="G2613" s="1" t="s">
        <v>9</v>
      </c>
      <c r="H2613" s="1" t="s">
        <v>10</v>
      </c>
    </row>
    <row r="2614" spans="1:8" x14ac:dyDescent="0.3">
      <c r="A2614" s="1">
        <v>768</v>
      </c>
      <c r="B2614" s="1" t="s">
        <v>2057</v>
      </c>
      <c r="C2614" s="1" t="s">
        <v>6629</v>
      </c>
      <c r="D2614" s="1" t="s">
        <v>6630</v>
      </c>
      <c r="E2614" s="1">
        <v>2492.63</v>
      </c>
      <c r="F2614" s="1" t="s">
        <v>8</v>
      </c>
      <c r="G2614" s="1" t="s">
        <v>9</v>
      </c>
      <c r="H2614" s="1" t="s">
        <v>10</v>
      </c>
    </row>
    <row r="2615" spans="1:8" x14ac:dyDescent="0.3">
      <c r="A2615" s="1">
        <v>768</v>
      </c>
      <c r="B2615" s="1" t="s">
        <v>2057</v>
      </c>
      <c r="C2615" s="1" t="s">
        <v>6629</v>
      </c>
      <c r="D2615" s="1" t="s">
        <v>6630</v>
      </c>
      <c r="E2615" s="1">
        <v>2492.63</v>
      </c>
      <c r="F2615" s="1" t="s">
        <v>8</v>
      </c>
      <c r="G2615" s="1" t="s">
        <v>9</v>
      </c>
      <c r="H2615" s="1" t="s">
        <v>10</v>
      </c>
    </row>
    <row r="2616" spans="1:8" x14ac:dyDescent="0.3">
      <c r="A2616" s="1">
        <v>768</v>
      </c>
      <c r="B2616" s="1" t="s">
        <v>2057</v>
      </c>
      <c r="C2616" s="1" t="s">
        <v>6631</v>
      </c>
      <c r="D2616" s="1" t="s">
        <v>6632</v>
      </c>
      <c r="E2616" s="1">
        <v>21000</v>
      </c>
      <c r="F2616" s="1" t="s">
        <v>8</v>
      </c>
      <c r="G2616" s="1" t="s">
        <v>9</v>
      </c>
      <c r="H2616" s="1" t="s">
        <v>10</v>
      </c>
    </row>
    <row r="2617" spans="1:8" x14ac:dyDescent="0.3">
      <c r="A2617" s="1">
        <v>768</v>
      </c>
      <c r="B2617" s="1" t="s">
        <v>2057</v>
      </c>
      <c r="C2617" s="1" t="s">
        <v>6633</v>
      </c>
      <c r="D2617" s="1" t="s">
        <v>6634</v>
      </c>
      <c r="E2617" s="1">
        <v>5844.29</v>
      </c>
      <c r="F2617" s="1" t="s">
        <v>8</v>
      </c>
      <c r="G2617" s="1" t="s">
        <v>9</v>
      </c>
      <c r="H2617" s="1" t="s">
        <v>10</v>
      </c>
    </row>
    <row r="2618" spans="1:8" x14ac:dyDescent="0.3">
      <c r="A2618" s="1">
        <v>768</v>
      </c>
      <c r="B2618" s="1" t="s">
        <v>2057</v>
      </c>
      <c r="C2618" s="1" t="s">
        <v>6635</v>
      </c>
      <c r="D2618" s="1" t="s">
        <v>6636</v>
      </c>
      <c r="E2618" s="1">
        <v>9000</v>
      </c>
      <c r="F2618" s="1" t="s">
        <v>8</v>
      </c>
      <c r="G2618" s="1" t="s">
        <v>9</v>
      </c>
      <c r="H2618" s="1" t="s">
        <v>10</v>
      </c>
    </row>
    <row r="2619" spans="1:8" x14ac:dyDescent="0.3">
      <c r="A2619" s="1">
        <v>768</v>
      </c>
      <c r="B2619" s="1" t="s">
        <v>2057</v>
      </c>
      <c r="C2619" s="1" t="s">
        <v>6637</v>
      </c>
      <c r="D2619" s="1" t="s">
        <v>6638</v>
      </c>
      <c r="E2619" s="1">
        <v>1531.17</v>
      </c>
      <c r="F2619" s="1" t="s">
        <v>8</v>
      </c>
      <c r="G2619" s="1" t="s">
        <v>9</v>
      </c>
      <c r="H2619" s="1" t="s">
        <v>10</v>
      </c>
    </row>
    <row r="2620" spans="1:8" x14ac:dyDescent="0.3">
      <c r="A2620" s="1">
        <v>768</v>
      </c>
      <c r="B2620" s="1" t="s">
        <v>2057</v>
      </c>
      <c r="C2620" s="1" t="s">
        <v>6639</v>
      </c>
      <c r="D2620" s="1" t="s">
        <v>6640</v>
      </c>
      <c r="E2620" s="1">
        <v>2075.15</v>
      </c>
      <c r="F2620" s="1" t="s">
        <v>8</v>
      </c>
      <c r="G2620" s="1" t="s">
        <v>9</v>
      </c>
      <c r="H2620" s="1" t="s">
        <v>10</v>
      </c>
    </row>
    <row r="2621" spans="1:8" x14ac:dyDescent="0.3">
      <c r="A2621" s="1">
        <v>768</v>
      </c>
      <c r="B2621" s="1" t="s">
        <v>2057</v>
      </c>
      <c r="C2621" s="1" t="s">
        <v>6641</v>
      </c>
      <c r="D2621" s="1" t="s">
        <v>6642</v>
      </c>
      <c r="E2621" s="1">
        <v>736.74</v>
      </c>
      <c r="F2621" s="1" t="s">
        <v>8</v>
      </c>
      <c r="G2621" s="1" t="s">
        <v>9</v>
      </c>
      <c r="H2621" s="1" t="s">
        <v>10</v>
      </c>
    </row>
    <row r="2622" spans="1:8" x14ac:dyDescent="0.3">
      <c r="A2622" s="1">
        <v>768</v>
      </c>
      <c r="B2622" s="1" t="s">
        <v>2057</v>
      </c>
      <c r="C2622" s="1" t="s">
        <v>6643</v>
      </c>
      <c r="D2622" s="1" t="s">
        <v>6644</v>
      </c>
      <c r="E2622" s="1">
        <v>3150</v>
      </c>
      <c r="F2622" s="1" t="s">
        <v>8</v>
      </c>
      <c r="G2622" s="1" t="s">
        <v>9</v>
      </c>
      <c r="H2622" s="1" t="s">
        <v>10</v>
      </c>
    </row>
    <row r="2623" spans="1:8" x14ac:dyDescent="0.3">
      <c r="A2623" s="1">
        <v>768</v>
      </c>
      <c r="B2623" s="1" t="s">
        <v>2057</v>
      </c>
      <c r="C2623" s="1" t="s">
        <v>6645</v>
      </c>
      <c r="D2623" s="1" t="s">
        <v>6646</v>
      </c>
      <c r="E2623" s="1">
        <v>156816</v>
      </c>
      <c r="F2623" s="1" t="s">
        <v>8</v>
      </c>
      <c r="G2623" s="1" t="s">
        <v>9</v>
      </c>
      <c r="H2623" s="1" t="s">
        <v>10</v>
      </c>
    </row>
    <row r="2624" spans="1:8" x14ac:dyDescent="0.3">
      <c r="A2624" s="1">
        <v>768</v>
      </c>
      <c r="B2624" s="1" t="s">
        <v>2057</v>
      </c>
      <c r="C2624" s="1" t="s">
        <v>6647</v>
      </c>
      <c r="D2624" s="1" t="s">
        <v>6648</v>
      </c>
      <c r="E2624" s="1">
        <v>535.5</v>
      </c>
      <c r="F2624" s="1" t="s">
        <v>8</v>
      </c>
      <c r="G2624" s="1" t="s">
        <v>9</v>
      </c>
      <c r="H2624" s="1" t="s">
        <v>10</v>
      </c>
    </row>
    <row r="2625" spans="1:8" x14ac:dyDescent="0.3">
      <c r="A2625" s="1">
        <v>768</v>
      </c>
      <c r="B2625" s="1" t="s">
        <v>2057</v>
      </c>
      <c r="C2625" s="1" t="s">
        <v>6649</v>
      </c>
      <c r="D2625" s="1" t="s">
        <v>6650</v>
      </c>
      <c r="E2625" s="1">
        <v>1200</v>
      </c>
      <c r="F2625" s="1" t="s">
        <v>8</v>
      </c>
      <c r="G2625" s="1" t="s">
        <v>9</v>
      </c>
      <c r="H2625" s="1" t="s">
        <v>10</v>
      </c>
    </row>
    <row r="2626" spans="1:8" x14ac:dyDescent="0.3">
      <c r="A2626" s="1">
        <v>768</v>
      </c>
      <c r="B2626" s="1" t="s">
        <v>2057</v>
      </c>
      <c r="C2626" s="1" t="s">
        <v>6651</v>
      </c>
      <c r="D2626" s="1" t="s">
        <v>6652</v>
      </c>
      <c r="E2626" s="1">
        <v>2588.8200000000002</v>
      </c>
      <c r="F2626" s="1" t="s">
        <v>8</v>
      </c>
      <c r="G2626" s="1" t="s">
        <v>9</v>
      </c>
      <c r="H2626" s="1" t="s">
        <v>10</v>
      </c>
    </row>
    <row r="2627" spans="1:8" x14ac:dyDescent="0.3">
      <c r="A2627" s="1">
        <v>768</v>
      </c>
      <c r="B2627" s="1" t="s">
        <v>2057</v>
      </c>
      <c r="C2627" s="1" t="s">
        <v>6653</v>
      </c>
      <c r="D2627" s="1" t="s">
        <v>6654</v>
      </c>
      <c r="E2627" s="1">
        <v>3750.4</v>
      </c>
      <c r="F2627" s="1" t="s">
        <v>8</v>
      </c>
      <c r="G2627" s="1" t="s">
        <v>9</v>
      </c>
      <c r="H2627" s="1" t="s">
        <v>10</v>
      </c>
    </row>
    <row r="2628" spans="1:8" x14ac:dyDescent="0.3">
      <c r="A2628" s="1">
        <v>768</v>
      </c>
      <c r="B2628" s="1" t="s">
        <v>2057</v>
      </c>
      <c r="C2628" s="1" t="s">
        <v>6655</v>
      </c>
      <c r="D2628" s="1" t="s">
        <v>6656</v>
      </c>
      <c r="E2628" s="1">
        <v>1152</v>
      </c>
      <c r="F2628" s="1" t="s">
        <v>8</v>
      </c>
      <c r="G2628" s="1" t="s">
        <v>9</v>
      </c>
      <c r="H2628" s="1" t="s">
        <v>10</v>
      </c>
    </row>
    <row r="2629" spans="1:8" x14ac:dyDescent="0.3">
      <c r="A2629" s="1">
        <v>768</v>
      </c>
      <c r="B2629" s="1" t="s">
        <v>2057</v>
      </c>
      <c r="C2629" s="1" t="s">
        <v>6657</v>
      </c>
      <c r="D2629" s="1" t="s">
        <v>6658</v>
      </c>
      <c r="E2629" s="1">
        <v>837.15</v>
      </c>
      <c r="F2629" s="1" t="s">
        <v>8</v>
      </c>
      <c r="G2629" s="1" t="s">
        <v>9</v>
      </c>
      <c r="H2629" s="1" t="s">
        <v>10</v>
      </c>
    </row>
    <row r="2630" spans="1:8" x14ac:dyDescent="0.3">
      <c r="A2630" s="1">
        <v>768</v>
      </c>
      <c r="B2630" s="1" t="s">
        <v>2057</v>
      </c>
      <c r="C2630" s="1" t="s">
        <v>6659</v>
      </c>
      <c r="D2630" s="1" t="s">
        <v>6660</v>
      </c>
      <c r="E2630" s="1">
        <v>3387.17</v>
      </c>
      <c r="F2630" s="1" t="s">
        <v>8</v>
      </c>
      <c r="G2630" s="1" t="s">
        <v>9</v>
      </c>
      <c r="H2630" s="1" t="s">
        <v>10</v>
      </c>
    </row>
    <row r="2631" spans="1:8" x14ac:dyDescent="0.3">
      <c r="A2631" s="1">
        <v>768</v>
      </c>
      <c r="B2631" s="1" t="s">
        <v>2057</v>
      </c>
      <c r="C2631" s="1" t="s">
        <v>6661</v>
      </c>
      <c r="D2631" s="1" t="s">
        <v>6662</v>
      </c>
      <c r="E2631" s="1">
        <v>1531.2</v>
      </c>
      <c r="F2631" s="1" t="s">
        <v>8</v>
      </c>
      <c r="G2631" s="1" t="s">
        <v>9</v>
      </c>
      <c r="H2631" s="1" t="s">
        <v>10</v>
      </c>
    </row>
    <row r="2632" spans="1:8" x14ac:dyDescent="0.3">
      <c r="A2632" s="1">
        <v>768</v>
      </c>
      <c r="B2632" s="1" t="s">
        <v>2057</v>
      </c>
      <c r="C2632" s="1" t="s">
        <v>6663</v>
      </c>
      <c r="D2632" s="1" t="s">
        <v>6664</v>
      </c>
      <c r="E2632" s="1">
        <v>1443.38</v>
      </c>
      <c r="F2632" s="1" t="s">
        <v>8</v>
      </c>
      <c r="G2632" s="1" t="s">
        <v>9</v>
      </c>
      <c r="H2632" s="1" t="s">
        <v>10</v>
      </c>
    </row>
    <row r="2633" spans="1:8" x14ac:dyDescent="0.3">
      <c r="A2633" s="1">
        <v>768</v>
      </c>
      <c r="B2633" s="1" t="s">
        <v>2057</v>
      </c>
      <c r="C2633" s="1" t="s">
        <v>6665</v>
      </c>
      <c r="D2633" s="1" t="s">
        <v>6666</v>
      </c>
      <c r="E2633" s="1">
        <v>1830.06</v>
      </c>
      <c r="F2633" s="1" t="s">
        <v>8</v>
      </c>
      <c r="G2633" s="1" t="s">
        <v>9</v>
      </c>
      <c r="H2633" s="1" t="s">
        <v>10</v>
      </c>
    </row>
    <row r="2634" spans="1:8" x14ac:dyDescent="0.3">
      <c r="A2634" s="1">
        <v>768</v>
      </c>
      <c r="B2634" s="1" t="s">
        <v>2057</v>
      </c>
      <c r="C2634" s="1" t="s">
        <v>6667</v>
      </c>
      <c r="D2634" s="1" t="s">
        <v>6668</v>
      </c>
      <c r="E2634" s="1">
        <v>210</v>
      </c>
      <c r="F2634" s="1" t="s">
        <v>8</v>
      </c>
      <c r="G2634" s="1" t="s">
        <v>9</v>
      </c>
      <c r="H2634" s="1" t="s">
        <v>10</v>
      </c>
    </row>
    <row r="2635" spans="1:8" x14ac:dyDescent="0.3">
      <c r="A2635" s="1">
        <v>768</v>
      </c>
      <c r="B2635" s="1" t="s">
        <v>2057</v>
      </c>
      <c r="C2635" s="1" t="s">
        <v>6669</v>
      </c>
      <c r="D2635" s="1" t="s">
        <v>6670</v>
      </c>
      <c r="E2635" s="1">
        <v>5894.46</v>
      </c>
      <c r="F2635" s="1" t="s">
        <v>8</v>
      </c>
      <c r="G2635" s="1" t="s">
        <v>9</v>
      </c>
      <c r="H2635" s="1" t="s">
        <v>10</v>
      </c>
    </row>
    <row r="2636" spans="1:8" x14ac:dyDescent="0.3">
      <c r="A2636" s="1">
        <v>768</v>
      </c>
      <c r="B2636" s="1" t="s">
        <v>2057</v>
      </c>
      <c r="C2636" s="1" t="s">
        <v>6671</v>
      </c>
      <c r="D2636" s="1" t="s">
        <v>6672</v>
      </c>
      <c r="E2636" s="1">
        <v>2757.27</v>
      </c>
      <c r="F2636" s="1" t="s">
        <v>8</v>
      </c>
      <c r="G2636" s="1" t="s">
        <v>9</v>
      </c>
      <c r="H2636" s="1" t="s">
        <v>10</v>
      </c>
    </row>
    <row r="2637" spans="1:8" x14ac:dyDescent="0.3">
      <c r="A2637" s="1">
        <v>768</v>
      </c>
      <c r="B2637" s="1" t="s">
        <v>2057</v>
      </c>
      <c r="C2637" s="1" t="s">
        <v>6673</v>
      </c>
      <c r="D2637" s="1" t="s">
        <v>6674</v>
      </c>
      <c r="E2637" s="1">
        <v>46035.360000000001</v>
      </c>
      <c r="F2637" s="1" t="s">
        <v>8</v>
      </c>
      <c r="G2637" s="1" t="s">
        <v>9</v>
      </c>
      <c r="H2637" s="1" t="s">
        <v>10</v>
      </c>
    </row>
    <row r="2638" spans="1:8" x14ac:dyDescent="0.3">
      <c r="A2638" s="1">
        <v>768</v>
      </c>
      <c r="B2638" s="1" t="s">
        <v>2057</v>
      </c>
      <c r="C2638" s="1" t="s">
        <v>6675</v>
      </c>
      <c r="D2638" s="1" t="s">
        <v>6676</v>
      </c>
      <c r="E2638" s="1">
        <v>35000</v>
      </c>
      <c r="F2638" s="1" t="s">
        <v>8</v>
      </c>
      <c r="G2638" s="1" t="s">
        <v>9</v>
      </c>
      <c r="H2638" s="1" t="s">
        <v>10</v>
      </c>
    </row>
    <row r="2639" spans="1:8" x14ac:dyDescent="0.3">
      <c r="A2639" s="1">
        <v>768</v>
      </c>
      <c r="B2639" s="1" t="s">
        <v>2057</v>
      </c>
      <c r="C2639" s="1" t="s">
        <v>6677</v>
      </c>
      <c r="D2639" s="1" t="s">
        <v>6678</v>
      </c>
      <c r="E2639" s="1">
        <v>6253.36</v>
      </c>
      <c r="F2639" s="1" t="s">
        <v>8</v>
      </c>
      <c r="G2639" s="1" t="s">
        <v>9</v>
      </c>
      <c r="H2639" s="1" t="s">
        <v>10</v>
      </c>
    </row>
    <row r="2640" spans="1:8" x14ac:dyDescent="0.3">
      <c r="A2640" s="1">
        <v>768</v>
      </c>
      <c r="B2640" s="1" t="s">
        <v>2057</v>
      </c>
      <c r="C2640" s="1" t="s">
        <v>6679</v>
      </c>
      <c r="D2640" s="1" t="s">
        <v>6680</v>
      </c>
      <c r="E2640" s="1">
        <v>3076</v>
      </c>
      <c r="F2640" s="1" t="s">
        <v>8</v>
      </c>
      <c r="G2640" s="1" t="s">
        <v>9</v>
      </c>
      <c r="H2640" s="1" t="s">
        <v>10</v>
      </c>
    </row>
    <row r="2641" spans="1:8" x14ac:dyDescent="0.3">
      <c r="A2641" s="1">
        <v>768</v>
      </c>
      <c r="B2641" s="1" t="s">
        <v>2057</v>
      </c>
      <c r="C2641" s="1" t="s">
        <v>6681</v>
      </c>
      <c r="D2641" s="1" t="s">
        <v>6682</v>
      </c>
      <c r="E2641" s="1">
        <v>1238.92</v>
      </c>
      <c r="F2641" s="1" t="s">
        <v>8</v>
      </c>
      <c r="G2641" s="1" t="s">
        <v>9</v>
      </c>
      <c r="H2641" s="1" t="s">
        <v>10</v>
      </c>
    </row>
    <row r="2642" spans="1:8" x14ac:dyDescent="0.3">
      <c r="A2642" s="1">
        <v>768</v>
      </c>
      <c r="B2642" s="1" t="s">
        <v>2057</v>
      </c>
      <c r="C2642" s="1" t="s">
        <v>6683</v>
      </c>
      <c r="D2642" s="1" t="s">
        <v>6684</v>
      </c>
      <c r="E2642" s="1">
        <v>51.66</v>
      </c>
      <c r="F2642" s="1" t="s">
        <v>8</v>
      </c>
      <c r="G2642" s="1" t="s">
        <v>9</v>
      </c>
      <c r="H2642" s="1" t="s">
        <v>10</v>
      </c>
    </row>
    <row r="2643" spans="1:8" x14ac:dyDescent="0.3">
      <c r="A2643" s="1">
        <v>768</v>
      </c>
      <c r="B2643" s="1" t="s">
        <v>2057</v>
      </c>
      <c r="C2643" s="1" t="s">
        <v>6685</v>
      </c>
      <c r="D2643" s="1" t="s">
        <v>6686</v>
      </c>
      <c r="E2643" s="1">
        <v>2440.5500000000002</v>
      </c>
      <c r="F2643" s="1" t="s">
        <v>8</v>
      </c>
      <c r="G2643" s="1" t="s">
        <v>9</v>
      </c>
      <c r="H2643" s="1" t="s">
        <v>10</v>
      </c>
    </row>
    <row r="2644" spans="1:8" x14ac:dyDescent="0.3">
      <c r="A2644" s="1">
        <v>768</v>
      </c>
      <c r="B2644" s="1" t="s">
        <v>2057</v>
      </c>
      <c r="C2644" s="1" t="s">
        <v>6687</v>
      </c>
      <c r="D2644" s="1" t="s">
        <v>6688</v>
      </c>
      <c r="E2644" s="1">
        <v>478.57</v>
      </c>
      <c r="F2644" s="1" t="s">
        <v>8</v>
      </c>
      <c r="G2644" s="1" t="s">
        <v>9</v>
      </c>
      <c r="H2644" s="1" t="s">
        <v>10</v>
      </c>
    </row>
    <row r="2645" spans="1:8" x14ac:dyDescent="0.3">
      <c r="A2645" s="1">
        <v>768</v>
      </c>
      <c r="B2645" s="1" t="s">
        <v>2057</v>
      </c>
      <c r="C2645" s="1" t="s">
        <v>6689</v>
      </c>
      <c r="D2645" s="1" t="s">
        <v>6690</v>
      </c>
      <c r="E2645" s="1">
        <v>28079.8</v>
      </c>
      <c r="F2645" s="1" t="s">
        <v>8</v>
      </c>
      <c r="G2645" s="1" t="s">
        <v>9</v>
      </c>
      <c r="H2645" s="1" t="s">
        <v>10</v>
      </c>
    </row>
    <row r="2646" spans="1:8" x14ac:dyDescent="0.3">
      <c r="A2646" s="1">
        <v>768</v>
      </c>
      <c r="B2646" s="1" t="s">
        <v>2057</v>
      </c>
      <c r="C2646" s="1" t="s">
        <v>6691</v>
      </c>
      <c r="D2646" s="1" t="s">
        <v>6692</v>
      </c>
      <c r="E2646" s="1">
        <v>5868.5</v>
      </c>
      <c r="F2646" s="1" t="s">
        <v>8</v>
      </c>
      <c r="G2646" s="1" t="s">
        <v>13</v>
      </c>
      <c r="H2646" s="1" t="s">
        <v>10</v>
      </c>
    </row>
    <row r="2647" spans="1:8" x14ac:dyDescent="0.3">
      <c r="A2647" s="1">
        <v>768</v>
      </c>
      <c r="B2647" s="1" t="s">
        <v>2057</v>
      </c>
      <c r="C2647" s="1" t="s">
        <v>6693</v>
      </c>
      <c r="D2647" s="1" t="s">
        <v>6694</v>
      </c>
      <c r="E2647" s="1">
        <v>1733.21</v>
      </c>
      <c r="F2647" s="1" t="s">
        <v>8</v>
      </c>
      <c r="G2647" s="1" t="s">
        <v>9</v>
      </c>
      <c r="H2647" s="1" t="s">
        <v>10</v>
      </c>
    </row>
    <row r="2648" spans="1:8" x14ac:dyDescent="0.3">
      <c r="A2648" s="1">
        <v>768</v>
      </c>
      <c r="B2648" s="1" t="s">
        <v>2057</v>
      </c>
      <c r="C2648" s="1" t="s">
        <v>6695</v>
      </c>
      <c r="D2648" s="1" t="s">
        <v>6696</v>
      </c>
      <c r="E2648" s="1">
        <v>1339.2</v>
      </c>
      <c r="F2648" s="1" t="s">
        <v>8</v>
      </c>
      <c r="G2648" s="1" t="s">
        <v>9</v>
      </c>
      <c r="H2648" s="1" t="s">
        <v>10</v>
      </c>
    </row>
    <row r="2649" spans="1:8" x14ac:dyDescent="0.3">
      <c r="A2649" s="1">
        <v>768</v>
      </c>
      <c r="B2649" s="1" t="s">
        <v>2057</v>
      </c>
      <c r="C2649" s="1" t="s">
        <v>6697</v>
      </c>
      <c r="D2649" s="1" t="s">
        <v>6698</v>
      </c>
      <c r="E2649" s="1">
        <v>57778.6</v>
      </c>
      <c r="F2649" s="1" t="s">
        <v>8</v>
      </c>
      <c r="G2649" s="1" t="s">
        <v>9</v>
      </c>
      <c r="H2649" s="1" t="s">
        <v>10</v>
      </c>
    </row>
    <row r="2650" spans="1:8" x14ac:dyDescent="0.3">
      <c r="A2650" s="1">
        <v>768</v>
      </c>
      <c r="B2650" s="1" t="s">
        <v>2057</v>
      </c>
      <c r="C2650" s="1" t="s">
        <v>6699</v>
      </c>
      <c r="D2650" s="1" t="s">
        <v>6700</v>
      </c>
      <c r="E2650" s="1">
        <v>2837.2</v>
      </c>
      <c r="F2650" s="1" t="s">
        <v>8</v>
      </c>
      <c r="G2650" s="1" t="s">
        <v>9</v>
      </c>
      <c r="H2650" s="1" t="s">
        <v>10</v>
      </c>
    </row>
    <row r="2651" spans="1:8" x14ac:dyDescent="0.3">
      <c r="A2651" s="1">
        <v>768</v>
      </c>
      <c r="B2651" s="1" t="s">
        <v>2057</v>
      </c>
      <c r="C2651" s="1" t="s">
        <v>6701</v>
      </c>
      <c r="D2651" s="1" t="s">
        <v>6702</v>
      </c>
      <c r="E2651" s="1">
        <v>1230.1400000000001</v>
      </c>
      <c r="F2651" s="1" t="s">
        <v>8</v>
      </c>
      <c r="G2651" s="1" t="s">
        <v>9</v>
      </c>
      <c r="H2651" s="1" t="s">
        <v>10</v>
      </c>
    </row>
    <row r="2652" spans="1:8" x14ac:dyDescent="0.3">
      <c r="A2652" s="1">
        <v>768</v>
      </c>
      <c r="B2652" s="1" t="s">
        <v>2057</v>
      </c>
      <c r="C2652" s="1" t="s">
        <v>6703</v>
      </c>
      <c r="D2652" s="1" t="s">
        <v>6704</v>
      </c>
      <c r="E2652" s="1">
        <v>671.61</v>
      </c>
      <c r="F2652" s="1" t="s">
        <v>8</v>
      </c>
      <c r="G2652" s="1" t="s">
        <v>9</v>
      </c>
      <c r="H2652" s="1" t="s">
        <v>10</v>
      </c>
    </row>
    <row r="2653" spans="1:8" x14ac:dyDescent="0.3">
      <c r="A2653" s="1">
        <v>768</v>
      </c>
      <c r="B2653" s="1" t="s">
        <v>2057</v>
      </c>
      <c r="C2653" s="1" t="s">
        <v>6705</v>
      </c>
      <c r="D2653" s="1" t="s">
        <v>6706</v>
      </c>
      <c r="E2653" s="1">
        <v>927.97</v>
      </c>
      <c r="F2653" s="1" t="s">
        <v>8</v>
      </c>
      <c r="G2653" s="1" t="s">
        <v>9</v>
      </c>
      <c r="H2653" s="1" t="s">
        <v>10</v>
      </c>
    </row>
    <row r="2654" spans="1:8" x14ac:dyDescent="0.3">
      <c r="A2654" s="1">
        <v>768</v>
      </c>
      <c r="B2654" s="1" t="s">
        <v>2057</v>
      </c>
      <c r="C2654" s="1" t="s">
        <v>6707</v>
      </c>
      <c r="D2654" s="1" t="s">
        <v>6708</v>
      </c>
      <c r="E2654" s="1">
        <v>1060.27</v>
      </c>
      <c r="F2654" s="1" t="s">
        <v>8</v>
      </c>
      <c r="G2654" s="1" t="s">
        <v>9</v>
      </c>
      <c r="H2654" s="1" t="s">
        <v>10</v>
      </c>
    </row>
    <row r="2655" spans="1:8" x14ac:dyDescent="0.3">
      <c r="A2655" s="1">
        <v>768</v>
      </c>
      <c r="B2655" s="1" t="s">
        <v>2057</v>
      </c>
      <c r="C2655" s="1" t="s">
        <v>6709</v>
      </c>
      <c r="D2655" s="1" t="s">
        <v>6710</v>
      </c>
      <c r="E2655" s="1">
        <v>1578.42</v>
      </c>
      <c r="F2655" s="1" t="s">
        <v>8</v>
      </c>
      <c r="G2655" s="1" t="s">
        <v>9</v>
      </c>
      <c r="H2655" s="1" t="s">
        <v>10</v>
      </c>
    </row>
    <row r="2656" spans="1:8" x14ac:dyDescent="0.3">
      <c r="A2656" s="1">
        <v>768</v>
      </c>
      <c r="B2656" s="1" t="s">
        <v>2057</v>
      </c>
      <c r="C2656" s="1" t="s">
        <v>6711</v>
      </c>
      <c r="D2656" s="1" t="s">
        <v>6712</v>
      </c>
      <c r="E2656" s="1">
        <v>1228.1500000000001</v>
      </c>
      <c r="F2656" s="1" t="s">
        <v>8</v>
      </c>
      <c r="G2656" s="1" t="s">
        <v>9</v>
      </c>
      <c r="H2656" s="1" t="s">
        <v>10</v>
      </c>
    </row>
    <row r="2657" spans="1:8" x14ac:dyDescent="0.3">
      <c r="A2657" s="1">
        <v>768</v>
      </c>
      <c r="B2657" s="1" t="s">
        <v>2057</v>
      </c>
      <c r="C2657" s="1" t="s">
        <v>6713</v>
      </c>
      <c r="D2657" s="1" t="s">
        <v>6714</v>
      </c>
      <c r="E2657" s="1">
        <v>296.67</v>
      </c>
      <c r="F2657" s="1" t="s">
        <v>8</v>
      </c>
      <c r="G2657" s="1" t="s">
        <v>9</v>
      </c>
      <c r="H2657" s="1" t="s">
        <v>10</v>
      </c>
    </row>
    <row r="2658" spans="1:8" x14ac:dyDescent="0.3">
      <c r="A2658" s="1">
        <v>768</v>
      </c>
      <c r="B2658" s="1" t="s">
        <v>2057</v>
      </c>
      <c r="C2658" s="1" t="s">
        <v>6715</v>
      </c>
      <c r="D2658" s="1" t="s">
        <v>6716</v>
      </c>
      <c r="E2658" s="1">
        <v>1351.04</v>
      </c>
      <c r="F2658" s="1" t="s">
        <v>8</v>
      </c>
      <c r="G2658" s="1" t="s">
        <v>9</v>
      </c>
      <c r="H2658" s="1" t="s">
        <v>10</v>
      </c>
    </row>
    <row r="2659" spans="1:8" x14ac:dyDescent="0.3">
      <c r="A2659" s="1">
        <v>768</v>
      </c>
      <c r="B2659" s="1" t="s">
        <v>2057</v>
      </c>
      <c r="C2659" s="1" t="s">
        <v>6717</v>
      </c>
      <c r="D2659" s="1" t="s">
        <v>6718</v>
      </c>
      <c r="E2659" s="1">
        <v>1257.8</v>
      </c>
      <c r="F2659" s="1" t="s">
        <v>8</v>
      </c>
      <c r="G2659" s="1" t="s">
        <v>9</v>
      </c>
      <c r="H2659" s="1" t="s">
        <v>10</v>
      </c>
    </row>
    <row r="2660" spans="1:8" x14ac:dyDescent="0.3">
      <c r="A2660" s="1">
        <v>768</v>
      </c>
      <c r="B2660" s="1" t="s">
        <v>2057</v>
      </c>
      <c r="C2660" s="1" t="s">
        <v>6719</v>
      </c>
      <c r="D2660" s="1" t="s">
        <v>6720</v>
      </c>
      <c r="E2660" s="1">
        <v>1313.91</v>
      </c>
      <c r="F2660" s="1" t="s">
        <v>8</v>
      </c>
      <c r="G2660" s="1" t="s">
        <v>9</v>
      </c>
      <c r="H2660" s="1" t="s">
        <v>10</v>
      </c>
    </row>
    <row r="2661" spans="1:8" x14ac:dyDescent="0.3">
      <c r="A2661" s="1">
        <v>768</v>
      </c>
      <c r="B2661" s="1" t="s">
        <v>2057</v>
      </c>
      <c r="C2661" s="1" t="s">
        <v>6721</v>
      </c>
      <c r="D2661" s="1" t="s">
        <v>6722</v>
      </c>
      <c r="E2661" s="1">
        <v>1182.76</v>
      </c>
      <c r="F2661" s="1" t="s">
        <v>8</v>
      </c>
      <c r="G2661" s="1" t="s">
        <v>9</v>
      </c>
      <c r="H2661" s="1" t="s">
        <v>10</v>
      </c>
    </row>
    <row r="2662" spans="1:8" x14ac:dyDescent="0.3">
      <c r="A2662" s="1">
        <v>768</v>
      </c>
      <c r="B2662" s="1" t="s">
        <v>2057</v>
      </c>
      <c r="C2662" s="1" t="s">
        <v>6723</v>
      </c>
      <c r="D2662" s="1" t="s">
        <v>6724</v>
      </c>
      <c r="E2662" s="1">
        <v>1216.26</v>
      </c>
      <c r="F2662" s="1" t="s">
        <v>8</v>
      </c>
      <c r="G2662" s="1" t="s">
        <v>9</v>
      </c>
      <c r="H2662" s="1" t="s">
        <v>10</v>
      </c>
    </row>
    <row r="2663" spans="1:8" x14ac:dyDescent="0.3">
      <c r="A2663" s="1">
        <v>768</v>
      </c>
      <c r="B2663" s="1" t="s">
        <v>2057</v>
      </c>
      <c r="C2663" s="1" t="s">
        <v>6725</v>
      </c>
      <c r="D2663" s="1" t="s">
        <v>6726</v>
      </c>
      <c r="E2663" s="1">
        <v>11674</v>
      </c>
      <c r="F2663" s="1" t="s">
        <v>8</v>
      </c>
      <c r="G2663" s="1" t="s">
        <v>9</v>
      </c>
      <c r="H2663" s="1" t="s">
        <v>10</v>
      </c>
    </row>
    <row r="2664" spans="1:8" x14ac:dyDescent="0.3">
      <c r="A2664" s="1">
        <v>768</v>
      </c>
      <c r="B2664" s="1" t="s">
        <v>2057</v>
      </c>
      <c r="C2664" s="1" t="s">
        <v>6727</v>
      </c>
      <c r="D2664" s="1" t="s">
        <v>6728</v>
      </c>
      <c r="E2664" s="1">
        <v>1081.51</v>
      </c>
      <c r="F2664" s="1" t="s">
        <v>8</v>
      </c>
      <c r="G2664" s="1" t="s">
        <v>9</v>
      </c>
      <c r="H2664" s="1" t="s">
        <v>10</v>
      </c>
    </row>
    <row r="2665" spans="1:8" x14ac:dyDescent="0.3">
      <c r="A2665" s="1">
        <v>768</v>
      </c>
      <c r="B2665" s="1" t="s">
        <v>2057</v>
      </c>
      <c r="C2665" s="1" t="s">
        <v>6729</v>
      </c>
      <c r="D2665" s="1" t="s">
        <v>6730</v>
      </c>
      <c r="E2665" s="1">
        <v>1191.74</v>
      </c>
      <c r="F2665" s="1" t="s">
        <v>8</v>
      </c>
      <c r="G2665" s="1" t="s">
        <v>9</v>
      </c>
      <c r="H2665" s="1" t="s">
        <v>10</v>
      </c>
    </row>
    <row r="2666" spans="1:8" x14ac:dyDescent="0.3">
      <c r="A2666" s="1">
        <v>768</v>
      </c>
      <c r="B2666" s="1" t="s">
        <v>2057</v>
      </c>
      <c r="C2666" s="1" t="s">
        <v>6731</v>
      </c>
      <c r="D2666" s="1" t="s">
        <v>6732</v>
      </c>
      <c r="E2666" s="1">
        <v>1163.7</v>
      </c>
      <c r="F2666" s="1" t="s">
        <v>8</v>
      </c>
      <c r="G2666" s="1" t="s">
        <v>9</v>
      </c>
      <c r="H2666" s="1" t="s">
        <v>10</v>
      </c>
    </row>
    <row r="2667" spans="1:8" x14ac:dyDescent="0.3">
      <c r="A2667" s="1">
        <v>768</v>
      </c>
      <c r="B2667" s="1" t="s">
        <v>2057</v>
      </c>
      <c r="C2667" s="1" t="s">
        <v>6733</v>
      </c>
      <c r="D2667" s="1" t="s">
        <v>6734</v>
      </c>
      <c r="E2667" s="1">
        <v>6330.04</v>
      </c>
      <c r="F2667" s="1" t="s">
        <v>8</v>
      </c>
      <c r="G2667" s="1" t="s">
        <v>9</v>
      </c>
      <c r="H2667" s="1" t="s">
        <v>10</v>
      </c>
    </row>
    <row r="2668" spans="1:8" x14ac:dyDescent="0.3">
      <c r="A2668" s="1">
        <v>768</v>
      </c>
      <c r="B2668" s="1" t="s">
        <v>2057</v>
      </c>
      <c r="C2668" s="1" t="s">
        <v>6735</v>
      </c>
      <c r="D2668" s="1" t="s">
        <v>6736</v>
      </c>
      <c r="E2668" s="1">
        <v>29755</v>
      </c>
      <c r="F2668" s="1" t="s">
        <v>8</v>
      </c>
      <c r="G2668" s="1" t="s">
        <v>9</v>
      </c>
      <c r="H2668" s="1" t="s">
        <v>10</v>
      </c>
    </row>
    <row r="2669" spans="1:8" x14ac:dyDescent="0.3">
      <c r="A2669" s="1">
        <v>768</v>
      </c>
      <c r="B2669" s="1" t="s">
        <v>2057</v>
      </c>
      <c r="C2669" s="1" t="s">
        <v>6737</v>
      </c>
      <c r="D2669" s="1" t="s">
        <v>6738</v>
      </c>
      <c r="E2669" s="1">
        <v>29100.39</v>
      </c>
      <c r="F2669" s="1" t="s">
        <v>8</v>
      </c>
      <c r="G2669" s="1" t="s">
        <v>9</v>
      </c>
      <c r="H2669" s="1" t="s">
        <v>10</v>
      </c>
    </row>
    <row r="2670" spans="1:8" x14ac:dyDescent="0.3">
      <c r="A2670" s="1">
        <v>768</v>
      </c>
      <c r="B2670" s="1" t="s">
        <v>2057</v>
      </c>
      <c r="C2670" s="1" t="s">
        <v>6739</v>
      </c>
      <c r="D2670" s="1" t="s">
        <v>6740</v>
      </c>
      <c r="E2670" s="1">
        <v>29219.41</v>
      </c>
      <c r="F2670" s="1" t="s">
        <v>8</v>
      </c>
      <c r="G2670" s="1" t="s">
        <v>9</v>
      </c>
      <c r="H2670" s="1" t="s">
        <v>10</v>
      </c>
    </row>
    <row r="2671" spans="1:8" x14ac:dyDescent="0.3">
      <c r="A2671" s="1">
        <v>768</v>
      </c>
      <c r="B2671" s="1" t="s">
        <v>2057</v>
      </c>
      <c r="C2671" s="1" t="s">
        <v>4021</v>
      </c>
      <c r="D2671" s="1" t="s">
        <v>6741</v>
      </c>
      <c r="E2671" s="1">
        <v>29159.9</v>
      </c>
      <c r="F2671" s="1" t="s">
        <v>8</v>
      </c>
      <c r="G2671" s="1" t="s">
        <v>9</v>
      </c>
      <c r="H2671" s="1" t="s">
        <v>10</v>
      </c>
    </row>
    <row r="2672" spans="1:8" x14ac:dyDescent="0.3">
      <c r="A2672" s="1">
        <v>768</v>
      </c>
      <c r="B2672" s="1" t="s">
        <v>2057</v>
      </c>
      <c r="C2672" s="1" t="s">
        <v>6742</v>
      </c>
      <c r="D2672" s="1" t="s">
        <v>6743</v>
      </c>
      <c r="E2672" s="1">
        <v>29457.45</v>
      </c>
      <c r="F2672" s="1" t="s">
        <v>8</v>
      </c>
      <c r="G2672" s="1" t="s">
        <v>9</v>
      </c>
      <c r="H2672" s="1" t="s">
        <v>10</v>
      </c>
    </row>
    <row r="2673" spans="1:8" x14ac:dyDescent="0.3">
      <c r="A2673" s="1">
        <v>768</v>
      </c>
      <c r="B2673" s="1" t="s">
        <v>2057</v>
      </c>
      <c r="C2673" s="1" t="s">
        <v>6744</v>
      </c>
      <c r="D2673" s="1" t="s">
        <v>6745</v>
      </c>
      <c r="E2673" s="1">
        <v>28802.84</v>
      </c>
      <c r="F2673" s="1" t="s">
        <v>8</v>
      </c>
      <c r="G2673" s="1" t="s">
        <v>9</v>
      </c>
      <c r="H2673" s="1" t="s">
        <v>10</v>
      </c>
    </row>
    <row r="2674" spans="1:8" x14ac:dyDescent="0.3">
      <c r="A2674" s="1">
        <v>768</v>
      </c>
      <c r="B2674" s="1" t="s">
        <v>2057</v>
      </c>
      <c r="C2674" s="1" t="s">
        <v>6746</v>
      </c>
      <c r="D2674" s="1" t="s">
        <v>6747</v>
      </c>
      <c r="E2674" s="1">
        <v>28683.82</v>
      </c>
      <c r="F2674" s="1" t="s">
        <v>8</v>
      </c>
      <c r="G2674" s="1" t="s">
        <v>9</v>
      </c>
      <c r="H2674" s="1" t="s">
        <v>10</v>
      </c>
    </row>
    <row r="2675" spans="1:8" x14ac:dyDescent="0.3">
      <c r="A2675" s="1">
        <v>768</v>
      </c>
      <c r="B2675" s="1" t="s">
        <v>2057</v>
      </c>
      <c r="C2675" s="1" t="s">
        <v>6748</v>
      </c>
      <c r="D2675" s="1" t="s">
        <v>6749</v>
      </c>
      <c r="E2675" s="1">
        <v>65.98</v>
      </c>
      <c r="F2675" s="1" t="s">
        <v>8</v>
      </c>
      <c r="G2675" s="1" t="s">
        <v>9</v>
      </c>
      <c r="H2675" s="1" t="s">
        <v>10</v>
      </c>
    </row>
    <row r="2676" spans="1:8" x14ac:dyDescent="0.3">
      <c r="A2676" s="1">
        <v>768</v>
      </c>
      <c r="B2676" s="1" t="s">
        <v>2057</v>
      </c>
      <c r="C2676" s="1" t="s">
        <v>6750</v>
      </c>
      <c r="D2676" s="1" t="s">
        <v>6751</v>
      </c>
      <c r="E2676" s="1">
        <v>4165.22</v>
      </c>
      <c r="F2676" s="1" t="s">
        <v>8</v>
      </c>
      <c r="G2676" s="1" t="s">
        <v>9</v>
      </c>
      <c r="H2676" s="1" t="s">
        <v>10</v>
      </c>
    </row>
    <row r="2677" spans="1:8" x14ac:dyDescent="0.3">
      <c r="A2677" s="1">
        <v>768</v>
      </c>
      <c r="B2677" s="1" t="s">
        <v>2057</v>
      </c>
      <c r="C2677" s="1" t="s">
        <v>6752</v>
      </c>
      <c r="D2677" s="1" t="s">
        <v>6753</v>
      </c>
      <c r="E2677" s="1">
        <v>65.98</v>
      </c>
      <c r="F2677" s="1" t="s">
        <v>8</v>
      </c>
      <c r="G2677" s="1" t="s">
        <v>9</v>
      </c>
      <c r="H2677" s="1" t="s">
        <v>10</v>
      </c>
    </row>
    <row r="2678" spans="1:8" x14ac:dyDescent="0.3">
      <c r="A2678" s="1">
        <v>768</v>
      </c>
      <c r="B2678" s="1" t="s">
        <v>2057</v>
      </c>
      <c r="C2678" s="1" t="s">
        <v>6754</v>
      </c>
      <c r="D2678" s="1" t="s">
        <v>6755</v>
      </c>
      <c r="E2678" s="1">
        <v>28079.8</v>
      </c>
      <c r="F2678" s="1" t="s">
        <v>8</v>
      </c>
      <c r="G2678" s="1" t="s">
        <v>9</v>
      </c>
      <c r="H2678" s="1" t="s">
        <v>10</v>
      </c>
    </row>
    <row r="2679" spans="1:8" x14ac:dyDescent="0.3">
      <c r="A2679" s="1">
        <v>768</v>
      </c>
      <c r="B2679" s="1" t="s">
        <v>2057</v>
      </c>
      <c r="C2679" s="1" t="s">
        <v>6756</v>
      </c>
      <c r="D2679" s="1" t="s">
        <v>6757</v>
      </c>
      <c r="E2679" s="1">
        <v>285.23</v>
      </c>
      <c r="F2679" s="1" t="s">
        <v>8</v>
      </c>
      <c r="G2679" s="1" t="s">
        <v>9</v>
      </c>
      <c r="H2679" s="1" t="s">
        <v>10</v>
      </c>
    </row>
    <row r="2680" spans="1:8" x14ac:dyDescent="0.3">
      <c r="A2680" s="1">
        <v>768</v>
      </c>
      <c r="B2680" s="1" t="s">
        <v>2057</v>
      </c>
      <c r="C2680" s="1" t="s">
        <v>6758</v>
      </c>
      <c r="D2680" s="1" t="s">
        <v>6759</v>
      </c>
      <c r="E2680" s="1">
        <v>687.07</v>
      </c>
      <c r="F2680" s="1" t="s">
        <v>8</v>
      </c>
      <c r="G2680" s="1" t="s">
        <v>9</v>
      </c>
      <c r="H2680" s="1" t="s">
        <v>10</v>
      </c>
    </row>
    <row r="2681" spans="1:8" x14ac:dyDescent="0.3">
      <c r="A2681" s="1">
        <v>768</v>
      </c>
      <c r="B2681" s="1" t="s">
        <v>2057</v>
      </c>
      <c r="C2681" s="1" t="s">
        <v>6760</v>
      </c>
      <c r="D2681" s="1" t="s">
        <v>6761</v>
      </c>
      <c r="E2681" s="1">
        <v>794.25</v>
      </c>
      <c r="F2681" s="1" t="s">
        <v>8</v>
      </c>
      <c r="G2681" s="1" t="s">
        <v>9</v>
      </c>
      <c r="H2681" s="1" t="s">
        <v>10</v>
      </c>
    </row>
    <row r="2682" spans="1:8" x14ac:dyDescent="0.3">
      <c r="A2682" s="1">
        <v>768</v>
      </c>
      <c r="B2682" s="1" t="s">
        <v>2057</v>
      </c>
      <c r="C2682" s="1" t="s">
        <v>6762</v>
      </c>
      <c r="D2682" s="1" t="s">
        <v>6763</v>
      </c>
      <c r="E2682" s="1">
        <v>7213.86</v>
      </c>
      <c r="F2682" s="1" t="s">
        <v>8</v>
      </c>
      <c r="G2682" s="1" t="s">
        <v>9</v>
      </c>
      <c r="H2682" s="1" t="s">
        <v>10</v>
      </c>
    </row>
    <row r="2683" spans="1:8" x14ac:dyDescent="0.3">
      <c r="A2683" s="1">
        <v>768</v>
      </c>
      <c r="B2683" s="1" t="s">
        <v>2057</v>
      </c>
      <c r="C2683" s="1" t="s">
        <v>6764</v>
      </c>
      <c r="D2683" s="1" t="s">
        <v>6765</v>
      </c>
      <c r="E2683" s="1">
        <v>6220.25</v>
      </c>
      <c r="F2683" s="1" t="s">
        <v>8</v>
      </c>
      <c r="G2683" s="1" t="s">
        <v>9</v>
      </c>
      <c r="H2683" s="1" t="s">
        <v>10</v>
      </c>
    </row>
    <row r="2684" spans="1:8" x14ac:dyDescent="0.3">
      <c r="A2684" s="1">
        <v>768</v>
      </c>
      <c r="B2684" s="1" t="s">
        <v>2057</v>
      </c>
      <c r="C2684" s="1" t="s">
        <v>6766</v>
      </c>
      <c r="D2684" s="1" t="s">
        <v>6767</v>
      </c>
      <c r="E2684" s="1">
        <v>640.75</v>
      </c>
      <c r="F2684" s="1" t="s">
        <v>8</v>
      </c>
      <c r="G2684" s="1" t="s">
        <v>9</v>
      </c>
      <c r="H2684" s="1" t="s">
        <v>10</v>
      </c>
    </row>
    <row r="2685" spans="1:8" x14ac:dyDescent="0.3">
      <c r="A2685" s="1">
        <v>768</v>
      </c>
      <c r="B2685" s="1" t="s">
        <v>2057</v>
      </c>
      <c r="C2685" s="1" t="s">
        <v>6768</v>
      </c>
      <c r="D2685" s="1" t="s">
        <v>6769</v>
      </c>
      <c r="E2685" s="1">
        <v>3442.6</v>
      </c>
      <c r="F2685" s="1" t="s">
        <v>8</v>
      </c>
      <c r="G2685" s="1" t="s">
        <v>9</v>
      </c>
      <c r="H2685" s="1" t="s">
        <v>10</v>
      </c>
    </row>
    <row r="2686" spans="1:8" x14ac:dyDescent="0.3">
      <c r="A2686" s="1">
        <v>768</v>
      </c>
      <c r="B2686" s="1" t="s">
        <v>2057</v>
      </c>
      <c r="C2686" s="1" t="s">
        <v>6770</v>
      </c>
      <c r="D2686" s="1" t="s">
        <v>6771</v>
      </c>
      <c r="E2686" s="1">
        <v>387</v>
      </c>
      <c r="F2686" s="1" t="s">
        <v>8</v>
      </c>
      <c r="G2686" s="1" t="s">
        <v>9</v>
      </c>
      <c r="H2686" s="1" t="s">
        <v>10</v>
      </c>
    </row>
    <row r="2687" spans="1:8" x14ac:dyDescent="0.3">
      <c r="A2687" s="1">
        <v>768</v>
      </c>
      <c r="B2687" s="1" t="s">
        <v>2057</v>
      </c>
      <c r="C2687" s="1" t="s">
        <v>6772</v>
      </c>
      <c r="D2687" s="1" t="s">
        <v>6773</v>
      </c>
      <c r="E2687" s="1">
        <v>3033.95</v>
      </c>
      <c r="F2687" s="1" t="s">
        <v>8</v>
      </c>
      <c r="G2687" s="1" t="s">
        <v>9</v>
      </c>
      <c r="H2687" s="1" t="s">
        <v>10</v>
      </c>
    </row>
    <row r="2688" spans="1:8" x14ac:dyDescent="0.3">
      <c r="A2688" s="1">
        <v>768</v>
      </c>
      <c r="B2688" s="1" t="s">
        <v>2057</v>
      </c>
      <c r="C2688" s="1" t="s">
        <v>6774</v>
      </c>
      <c r="D2688" s="1" t="s">
        <v>6775</v>
      </c>
      <c r="E2688" s="1">
        <v>36714.400000000001</v>
      </c>
      <c r="F2688" s="1" t="s">
        <v>8</v>
      </c>
      <c r="G2688" s="1" t="s">
        <v>9</v>
      </c>
      <c r="H2688" s="1" t="s">
        <v>10</v>
      </c>
    </row>
    <row r="2689" spans="1:8" x14ac:dyDescent="0.3">
      <c r="A2689" s="1">
        <v>768</v>
      </c>
      <c r="B2689" s="1" t="s">
        <v>2057</v>
      </c>
      <c r="C2689" s="1" t="s">
        <v>6776</v>
      </c>
      <c r="D2689" s="1" t="s">
        <v>6777</v>
      </c>
      <c r="E2689" s="1">
        <v>1186.3</v>
      </c>
      <c r="F2689" s="1" t="s">
        <v>8</v>
      </c>
      <c r="G2689" s="1" t="s">
        <v>9</v>
      </c>
      <c r="H2689" s="1" t="s">
        <v>10</v>
      </c>
    </row>
    <row r="2690" spans="1:8" x14ac:dyDescent="0.3">
      <c r="A2690" s="1">
        <v>768</v>
      </c>
      <c r="B2690" s="1" t="s">
        <v>2057</v>
      </c>
      <c r="C2690" s="1" t="s">
        <v>6778</v>
      </c>
      <c r="D2690" s="1" t="s">
        <v>6779</v>
      </c>
      <c r="E2690" s="1">
        <v>692.9</v>
      </c>
      <c r="F2690" s="1" t="s">
        <v>8</v>
      </c>
      <c r="G2690" s="1" t="s">
        <v>9</v>
      </c>
      <c r="H2690" s="1" t="s">
        <v>10</v>
      </c>
    </row>
    <row r="2691" spans="1:8" x14ac:dyDescent="0.3">
      <c r="A2691" s="1">
        <v>768</v>
      </c>
      <c r="B2691" s="1" t="s">
        <v>2057</v>
      </c>
      <c r="C2691" s="1" t="s">
        <v>6780</v>
      </c>
      <c r="D2691" s="1" t="s">
        <v>6781</v>
      </c>
      <c r="E2691" s="1">
        <v>251.12</v>
      </c>
      <c r="F2691" s="1" t="s">
        <v>8</v>
      </c>
      <c r="G2691" s="1" t="s">
        <v>9</v>
      </c>
      <c r="H2691" s="1" t="s">
        <v>10</v>
      </c>
    </row>
    <row r="2692" spans="1:8" x14ac:dyDescent="0.3">
      <c r="A2692" s="1">
        <v>768</v>
      </c>
      <c r="B2692" s="1" t="s">
        <v>2057</v>
      </c>
      <c r="C2692" s="1" t="s">
        <v>6782</v>
      </c>
      <c r="D2692" s="1" t="s">
        <v>6783</v>
      </c>
      <c r="E2692" s="1">
        <v>28886.6</v>
      </c>
      <c r="F2692" s="1" t="s">
        <v>8</v>
      </c>
      <c r="G2692" s="1" t="s">
        <v>9</v>
      </c>
      <c r="H2692" s="1" t="s">
        <v>10</v>
      </c>
    </row>
    <row r="2693" spans="1:8" x14ac:dyDescent="0.3">
      <c r="A2693" s="1">
        <v>768</v>
      </c>
      <c r="B2693" s="1" t="s">
        <v>2057</v>
      </c>
      <c r="C2693" s="1" t="s">
        <v>6784</v>
      </c>
      <c r="D2693" s="1" t="s">
        <v>6785</v>
      </c>
      <c r="E2693" s="1">
        <v>2231.5500000000002</v>
      </c>
      <c r="F2693" s="1" t="s">
        <v>8</v>
      </c>
      <c r="G2693" s="1" t="s">
        <v>9</v>
      </c>
      <c r="H2693" s="1" t="s">
        <v>10</v>
      </c>
    </row>
    <row r="2694" spans="1:8" x14ac:dyDescent="0.3">
      <c r="A2694" s="1">
        <v>768</v>
      </c>
      <c r="B2694" s="1" t="s">
        <v>2057</v>
      </c>
      <c r="C2694" s="1" t="s">
        <v>6786</v>
      </c>
      <c r="D2694" s="1" t="s">
        <v>6787</v>
      </c>
      <c r="E2694" s="1">
        <v>25379.66</v>
      </c>
      <c r="F2694" s="1" t="s">
        <v>8</v>
      </c>
      <c r="G2694" s="1" t="s">
        <v>9</v>
      </c>
      <c r="H2694" s="1" t="s">
        <v>10</v>
      </c>
    </row>
    <row r="2695" spans="1:8" x14ac:dyDescent="0.3">
      <c r="A2695" s="1">
        <v>768</v>
      </c>
      <c r="B2695" s="1" t="s">
        <v>2057</v>
      </c>
      <c r="C2695" s="1" t="s">
        <v>6788</v>
      </c>
      <c r="D2695" s="1" t="s">
        <v>6789</v>
      </c>
      <c r="E2695" s="1">
        <v>83.1</v>
      </c>
      <c r="F2695" s="1" t="s">
        <v>8</v>
      </c>
      <c r="G2695" s="1" t="s">
        <v>9</v>
      </c>
      <c r="H2695" s="1" t="s">
        <v>10</v>
      </c>
    </row>
    <row r="2696" spans="1:8" x14ac:dyDescent="0.3">
      <c r="A2696" s="1">
        <v>768</v>
      </c>
      <c r="B2696" s="1" t="s">
        <v>2057</v>
      </c>
      <c r="C2696" s="1" t="s">
        <v>6790</v>
      </c>
      <c r="D2696" s="1" t="s">
        <v>6791</v>
      </c>
      <c r="E2696" s="1">
        <v>4130.9799999999996</v>
      </c>
      <c r="F2696" s="1" t="s">
        <v>8</v>
      </c>
      <c r="G2696" s="1" t="s">
        <v>9</v>
      </c>
      <c r="H2696" s="1" t="s">
        <v>10</v>
      </c>
    </row>
    <row r="2697" spans="1:8" x14ac:dyDescent="0.3">
      <c r="A2697" s="1">
        <v>768</v>
      </c>
      <c r="B2697" s="1" t="s">
        <v>2057</v>
      </c>
      <c r="C2697" s="1" t="s">
        <v>6792</v>
      </c>
      <c r="D2697" s="1" t="s">
        <v>6793</v>
      </c>
      <c r="E2697" s="1">
        <v>806</v>
      </c>
      <c r="F2697" s="1" t="s">
        <v>8</v>
      </c>
      <c r="G2697" s="1" t="s">
        <v>9</v>
      </c>
      <c r="H2697" s="1" t="s">
        <v>10</v>
      </c>
    </row>
    <row r="2698" spans="1:8" x14ac:dyDescent="0.3">
      <c r="A2698" s="1">
        <v>768</v>
      </c>
      <c r="B2698" s="1" t="s">
        <v>2057</v>
      </c>
      <c r="C2698" s="1" t="s">
        <v>6794</v>
      </c>
      <c r="D2698" s="1" t="s">
        <v>6795</v>
      </c>
      <c r="E2698" s="1">
        <v>28595.72</v>
      </c>
      <c r="F2698" s="1" t="s">
        <v>8</v>
      </c>
      <c r="G2698" s="1" t="s">
        <v>9</v>
      </c>
      <c r="H2698" s="1" t="s">
        <v>10</v>
      </c>
    </row>
    <row r="2699" spans="1:8" x14ac:dyDescent="0.3">
      <c r="A2699" s="1">
        <v>819</v>
      </c>
      <c r="B2699" s="1" t="s">
        <v>2351</v>
      </c>
      <c r="C2699" s="1" t="s">
        <v>2352</v>
      </c>
      <c r="D2699" s="1" t="s">
        <v>2353</v>
      </c>
      <c r="E2699" s="1">
        <v>18060.939999999999</v>
      </c>
      <c r="F2699" s="1" t="s">
        <v>8</v>
      </c>
      <c r="G2699" s="1" t="s">
        <v>13</v>
      </c>
      <c r="H2699" s="1" t="s">
        <v>10</v>
      </c>
    </row>
    <row r="2700" spans="1:8" x14ac:dyDescent="0.3">
      <c r="A2700" s="1">
        <v>819</v>
      </c>
      <c r="B2700" s="1" t="s">
        <v>2351</v>
      </c>
      <c r="C2700" s="1" t="s">
        <v>2354</v>
      </c>
      <c r="D2700" s="1" t="s">
        <v>2355</v>
      </c>
      <c r="E2700" s="1">
        <v>8990.5</v>
      </c>
      <c r="F2700" s="1" t="s">
        <v>8</v>
      </c>
      <c r="G2700" s="1" t="s">
        <v>13</v>
      </c>
      <c r="H2700" s="1" t="s">
        <v>10</v>
      </c>
    </row>
    <row r="2701" spans="1:8" x14ac:dyDescent="0.3">
      <c r="A2701" s="1">
        <v>819</v>
      </c>
      <c r="B2701" s="1" t="s">
        <v>2351</v>
      </c>
      <c r="C2701" s="1" t="s">
        <v>2356</v>
      </c>
      <c r="D2701" s="1" t="s">
        <v>2357</v>
      </c>
      <c r="E2701" s="1">
        <v>1002.17</v>
      </c>
      <c r="F2701" s="1" t="s">
        <v>8</v>
      </c>
      <c r="G2701" s="1" t="s">
        <v>13</v>
      </c>
      <c r="H2701" s="1" t="s">
        <v>10</v>
      </c>
    </row>
    <row r="2702" spans="1:8" x14ac:dyDescent="0.3">
      <c r="A2702" s="1">
        <v>819</v>
      </c>
      <c r="B2702" s="1" t="s">
        <v>2351</v>
      </c>
      <c r="C2702" s="1" t="s">
        <v>2358</v>
      </c>
      <c r="D2702" s="1" t="s">
        <v>2359</v>
      </c>
      <c r="E2702" s="1">
        <v>4590.2700000000004</v>
      </c>
      <c r="F2702" s="1" t="s">
        <v>8</v>
      </c>
      <c r="G2702" s="1" t="s">
        <v>13</v>
      </c>
      <c r="H2702" s="1" t="s">
        <v>10</v>
      </c>
    </row>
    <row r="2703" spans="1:8" x14ac:dyDescent="0.3">
      <c r="A2703" s="1">
        <v>819</v>
      </c>
      <c r="B2703" s="1" t="s">
        <v>2351</v>
      </c>
      <c r="C2703" s="1" t="s">
        <v>2360</v>
      </c>
      <c r="D2703" s="1" t="s">
        <v>2361</v>
      </c>
      <c r="E2703" s="1">
        <v>10603.99</v>
      </c>
      <c r="F2703" s="1" t="s">
        <v>8</v>
      </c>
      <c r="G2703" s="1" t="s">
        <v>9</v>
      </c>
      <c r="H2703" s="1" t="s">
        <v>10</v>
      </c>
    </row>
    <row r="2704" spans="1:8" x14ac:dyDescent="0.3">
      <c r="A2704" s="1">
        <v>819</v>
      </c>
      <c r="B2704" s="1" t="s">
        <v>2351</v>
      </c>
      <c r="C2704" s="1" t="s">
        <v>2362</v>
      </c>
      <c r="D2704" s="1" t="s">
        <v>2363</v>
      </c>
      <c r="E2704" s="1">
        <v>3797.72</v>
      </c>
      <c r="F2704" s="1" t="s">
        <v>8</v>
      </c>
      <c r="G2704" s="1" t="s">
        <v>13</v>
      </c>
      <c r="H2704" s="1" t="s">
        <v>10</v>
      </c>
    </row>
    <row r="2705" spans="1:8" x14ac:dyDescent="0.3">
      <c r="A2705" s="1">
        <v>819</v>
      </c>
      <c r="B2705" s="1" t="s">
        <v>2351</v>
      </c>
      <c r="C2705" s="1" t="s">
        <v>2364</v>
      </c>
      <c r="D2705" s="1" t="s">
        <v>2365</v>
      </c>
      <c r="E2705" s="1">
        <v>2622.87</v>
      </c>
      <c r="F2705" s="1" t="s">
        <v>8</v>
      </c>
      <c r="G2705" s="1" t="s">
        <v>13</v>
      </c>
      <c r="H2705" s="1" t="s">
        <v>10</v>
      </c>
    </row>
    <row r="2706" spans="1:8" x14ac:dyDescent="0.3">
      <c r="A2706" s="1">
        <v>819</v>
      </c>
      <c r="B2706" s="1" t="s">
        <v>2351</v>
      </c>
      <c r="C2706" s="1" t="s">
        <v>2366</v>
      </c>
      <c r="D2706" s="1" t="s">
        <v>2367</v>
      </c>
      <c r="E2706" s="1">
        <v>4702.5600000000004</v>
      </c>
      <c r="F2706" s="1" t="s">
        <v>8</v>
      </c>
      <c r="G2706" s="1" t="s">
        <v>9</v>
      </c>
      <c r="H2706" s="1" t="s">
        <v>10</v>
      </c>
    </row>
    <row r="2707" spans="1:8" x14ac:dyDescent="0.3">
      <c r="A2707" s="1">
        <v>819</v>
      </c>
      <c r="B2707" s="1" t="s">
        <v>2351</v>
      </c>
      <c r="C2707" s="1" t="s">
        <v>2368</v>
      </c>
      <c r="D2707" s="1" t="s">
        <v>2369</v>
      </c>
      <c r="E2707" s="1">
        <v>9240.8700000000008</v>
      </c>
      <c r="F2707" s="1" t="s">
        <v>8</v>
      </c>
      <c r="G2707" s="1" t="s">
        <v>13</v>
      </c>
      <c r="H2707" s="1" t="s">
        <v>10</v>
      </c>
    </row>
    <row r="2708" spans="1:8" x14ac:dyDescent="0.3">
      <c r="A2708" s="1">
        <v>819</v>
      </c>
      <c r="B2708" s="1" t="s">
        <v>2351</v>
      </c>
      <c r="C2708" s="1" t="s">
        <v>2370</v>
      </c>
      <c r="D2708" s="1" t="s">
        <v>2371</v>
      </c>
      <c r="E2708" s="1">
        <v>2098.6</v>
      </c>
      <c r="F2708" s="1" t="s">
        <v>8</v>
      </c>
      <c r="G2708" s="1" t="s">
        <v>13</v>
      </c>
      <c r="H2708" s="1" t="s">
        <v>10</v>
      </c>
    </row>
    <row r="2709" spans="1:8" x14ac:dyDescent="0.3">
      <c r="A2709" s="1">
        <v>819</v>
      </c>
      <c r="B2709" s="1" t="s">
        <v>2351</v>
      </c>
      <c r="C2709" s="1" t="s">
        <v>2372</v>
      </c>
      <c r="D2709" s="1" t="s">
        <v>2373</v>
      </c>
      <c r="E2709" s="1">
        <v>11628.38</v>
      </c>
      <c r="F2709" s="1" t="s">
        <v>8</v>
      </c>
      <c r="G2709" s="1" t="s">
        <v>13</v>
      </c>
      <c r="H2709" s="1" t="s">
        <v>10</v>
      </c>
    </row>
    <row r="2710" spans="1:8" x14ac:dyDescent="0.3">
      <c r="A2710" s="1">
        <v>819</v>
      </c>
      <c r="B2710" s="1" t="s">
        <v>2351</v>
      </c>
      <c r="C2710" s="1" t="s">
        <v>2374</v>
      </c>
      <c r="D2710" s="1" t="s">
        <v>2375</v>
      </c>
      <c r="E2710" s="1">
        <v>19844.150000000001</v>
      </c>
      <c r="F2710" s="1" t="s">
        <v>8</v>
      </c>
      <c r="G2710" s="1" t="s">
        <v>13</v>
      </c>
      <c r="H2710" s="1" t="s">
        <v>10</v>
      </c>
    </row>
    <row r="2711" spans="1:8" x14ac:dyDescent="0.3">
      <c r="A2711" s="1">
        <v>819</v>
      </c>
      <c r="B2711" s="1" t="s">
        <v>2351</v>
      </c>
      <c r="C2711" s="1" t="s">
        <v>2376</v>
      </c>
      <c r="D2711" s="1" t="s">
        <v>2377</v>
      </c>
      <c r="E2711" s="1">
        <v>16538.490000000002</v>
      </c>
      <c r="F2711" s="1" t="s">
        <v>8</v>
      </c>
      <c r="G2711" s="1" t="s">
        <v>13</v>
      </c>
      <c r="H2711" s="1" t="s">
        <v>10</v>
      </c>
    </row>
    <row r="2712" spans="1:8" x14ac:dyDescent="0.3">
      <c r="A2712" s="1">
        <v>819</v>
      </c>
      <c r="B2712" s="1" t="s">
        <v>2351</v>
      </c>
      <c r="C2712" s="1" t="s">
        <v>6796</v>
      </c>
      <c r="D2712" s="1" t="s">
        <v>6797</v>
      </c>
      <c r="E2712" s="1">
        <v>26806.54</v>
      </c>
      <c r="F2712" s="1" t="s">
        <v>8</v>
      </c>
      <c r="G2712" s="1" t="s">
        <v>13</v>
      </c>
      <c r="H2712" s="1" t="s">
        <v>10</v>
      </c>
    </row>
    <row r="2713" spans="1:8" x14ac:dyDescent="0.3">
      <c r="A2713" s="1">
        <v>819</v>
      </c>
      <c r="B2713" s="1" t="s">
        <v>2351</v>
      </c>
      <c r="C2713" s="1" t="s">
        <v>6798</v>
      </c>
      <c r="D2713" s="1" t="s">
        <v>6799</v>
      </c>
      <c r="E2713" s="1">
        <v>16196.84</v>
      </c>
      <c r="F2713" s="1" t="s">
        <v>8</v>
      </c>
      <c r="G2713" s="1" t="s">
        <v>13</v>
      </c>
      <c r="H2713" s="1" t="s">
        <v>10</v>
      </c>
    </row>
    <row r="2714" spans="1:8" x14ac:dyDescent="0.3">
      <c r="A2714" s="1">
        <v>819</v>
      </c>
      <c r="B2714" s="1" t="s">
        <v>2351</v>
      </c>
      <c r="C2714" s="1" t="s">
        <v>6800</v>
      </c>
      <c r="D2714" s="1" t="s">
        <v>6801</v>
      </c>
      <c r="E2714" s="1">
        <v>5952</v>
      </c>
      <c r="F2714" s="1" t="s">
        <v>8</v>
      </c>
      <c r="G2714" s="1" t="s">
        <v>9</v>
      </c>
      <c r="H2714" s="1" t="s">
        <v>10</v>
      </c>
    </row>
    <row r="2715" spans="1:8" x14ac:dyDescent="0.3">
      <c r="A2715" s="1">
        <v>819</v>
      </c>
      <c r="B2715" s="1" t="s">
        <v>2351</v>
      </c>
      <c r="C2715" s="1" t="s">
        <v>6802</v>
      </c>
      <c r="D2715" s="1" t="s">
        <v>6803</v>
      </c>
      <c r="E2715" s="1">
        <v>6085.6</v>
      </c>
      <c r="F2715" s="1" t="s">
        <v>8</v>
      </c>
      <c r="G2715" s="1" t="s">
        <v>13</v>
      </c>
      <c r="H2715" s="1" t="s">
        <v>10</v>
      </c>
    </row>
    <row r="2716" spans="1:8" x14ac:dyDescent="0.3">
      <c r="A2716" s="1">
        <v>819</v>
      </c>
      <c r="B2716" s="1" t="s">
        <v>2351</v>
      </c>
      <c r="C2716" s="1" t="s">
        <v>6804</v>
      </c>
      <c r="D2716" s="1" t="s">
        <v>6805</v>
      </c>
      <c r="E2716" s="1">
        <v>39771.629999999997</v>
      </c>
      <c r="F2716" s="1" t="s">
        <v>8</v>
      </c>
      <c r="G2716" s="1" t="s">
        <v>9</v>
      </c>
      <c r="H2716" s="1" t="s">
        <v>10</v>
      </c>
    </row>
    <row r="2717" spans="1:8" x14ac:dyDescent="0.3">
      <c r="A2717" s="1">
        <v>820</v>
      </c>
      <c r="B2717" s="1" t="s">
        <v>2378</v>
      </c>
      <c r="C2717" s="1" t="s">
        <v>2379</v>
      </c>
      <c r="D2717" s="1" t="s">
        <v>2380</v>
      </c>
      <c r="E2717" s="1">
        <v>8382</v>
      </c>
      <c r="F2717" s="1" t="s">
        <v>8</v>
      </c>
      <c r="G2717" s="1" t="s">
        <v>13</v>
      </c>
      <c r="H2717" s="1" t="s">
        <v>10</v>
      </c>
    </row>
    <row r="2718" spans="1:8" x14ac:dyDescent="0.3">
      <c r="A2718" s="1">
        <v>820</v>
      </c>
      <c r="B2718" s="1" t="s">
        <v>2378</v>
      </c>
      <c r="C2718" s="1" t="s">
        <v>2381</v>
      </c>
      <c r="D2718" s="1" t="s">
        <v>2382</v>
      </c>
      <c r="E2718" s="1">
        <v>1161</v>
      </c>
      <c r="F2718" s="1" t="s">
        <v>8</v>
      </c>
      <c r="G2718" s="1" t="s">
        <v>13</v>
      </c>
      <c r="H2718" s="1" t="s">
        <v>10</v>
      </c>
    </row>
    <row r="2719" spans="1:8" x14ac:dyDescent="0.3">
      <c r="A2719" s="1">
        <v>820</v>
      </c>
      <c r="B2719" s="1" t="s">
        <v>2378</v>
      </c>
      <c r="C2719" s="1" t="s">
        <v>2383</v>
      </c>
      <c r="D2719" s="1" t="s">
        <v>2384</v>
      </c>
      <c r="E2719" s="1">
        <v>8382</v>
      </c>
      <c r="F2719" s="1" t="s">
        <v>8</v>
      </c>
      <c r="G2719" s="1" t="s">
        <v>13</v>
      </c>
      <c r="H2719" s="1" t="s">
        <v>10</v>
      </c>
    </row>
    <row r="2720" spans="1:8" x14ac:dyDescent="0.3">
      <c r="A2720" s="1">
        <v>820</v>
      </c>
      <c r="B2720" s="1" t="s">
        <v>2378</v>
      </c>
      <c r="C2720" s="1" t="s">
        <v>6806</v>
      </c>
      <c r="D2720" s="1" t="s">
        <v>6807</v>
      </c>
      <c r="E2720" s="1">
        <v>1235.5899999999999</v>
      </c>
      <c r="F2720" s="1" t="s">
        <v>8</v>
      </c>
      <c r="G2720" s="1" t="s">
        <v>13</v>
      </c>
      <c r="H2720" s="1" t="s">
        <v>10</v>
      </c>
    </row>
    <row r="2721" spans="1:8" x14ac:dyDescent="0.3">
      <c r="A2721" s="1">
        <v>820</v>
      </c>
      <c r="B2721" s="1" t="s">
        <v>2378</v>
      </c>
      <c r="C2721" s="1" t="s">
        <v>387</v>
      </c>
      <c r="D2721" s="1" t="s">
        <v>6808</v>
      </c>
      <c r="E2721" s="1">
        <v>331</v>
      </c>
      <c r="F2721" s="1" t="s">
        <v>8</v>
      </c>
      <c r="G2721" s="1" t="s">
        <v>13</v>
      </c>
      <c r="H2721" s="1" t="s">
        <v>10</v>
      </c>
    </row>
    <row r="2722" spans="1:8" x14ac:dyDescent="0.3">
      <c r="A2722" s="1">
        <v>836</v>
      </c>
      <c r="B2722" s="1" t="s">
        <v>2385</v>
      </c>
      <c r="C2722" s="1" t="s">
        <v>2386</v>
      </c>
      <c r="D2722" s="1" t="s">
        <v>2387</v>
      </c>
      <c r="E2722" s="1">
        <v>1652.99</v>
      </c>
      <c r="F2722" s="1" t="s">
        <v>8</v>
      </c>
      <c r="G2722" s="1" t="s">
        <v>9</v>
      </c>
      <c r="H2722" s="1" t="s">
        <v>10</v>
      </c>
    </row>
    <row r="2723" spans="1:8" x14ac:dyDescent="0.3">
      <c r="A2723" s="1">
        <v>836</v>
      </c>
      <c r="B2723" s="1" t="s">
        <v>2385</v>
      </c>
      <c r="C2723" s="1" t="s">
        <v>2388</v>
      </c>
      <c r="D2723" s="1" t="s">
        <v>2389</v>
      </c>
      <c r="E2723" s="1">
        <v>36.07</v>
      </c>
      <c r="F2723" s="1" t="s">
        <v>8</v>
      </c>
      <c r="G2723" s="1" t="s">
        <v>9</v>
      </c>
      <c r="H2723" s="1" t="s">
        <v>10</v>
      </c>
    </row>
    <row r="2724" spans="1:8" x14ac:dyDescent="0.3">
      <c r="A2724" s="1">
        <v>836</v>
      </c>
      <c r="B2724" s="1" t="s">
        <v>2385</v>
      </c>
      <c r="C2724" s="1" t="s">
        <v>2390</v>
      </c>
      <c r="D2724" s="1" t="s">
        <v>2391</v>
      </c>
      <c r="E2724" s="1">
        <v>58.19</v>
      </c>
      <c r="F2724" s="1" t="s">
        <v>8</v>
      </c>
      <c r="G2724" s="1" t="s">
        <v>9</v>
      </c>
      <c r="H2724" s="1" t="s">
        <v>10</v>
      </c>
    </row>
    <row r="2725" spans="1:8" x14ac:dyDescent="0.3">
      <c r="A2725" s="1">
        <v>836</v>
      </c>
      <c r="B2725" s="1" t="s">
        <v>2385</v>
      </c>
      <c r="C2725" s="1" t="s">
        <v>2394</v>
      </c>
      <c r="D2725" s="1" t="s">
        <v>2395</v>
      </c>
      <c r="E2725" s="1">
        <v>234.74</v>
      </c>
      <c r="F2725" s="1" t="s">
        <v>8</v>
      </c>
      <c r="G2725" s="1" t="s">
        <v>9</v>
      </c>
      <c r="H2725" s="1" t="s">
        <v>10</v>
      </c>
    </row>
    <row r="2726" spans="1:8" x14ac:dyDescent="0.3">
      <c r="A2726" s="1">
        <v>836</v>
      </c>
      <c r="B2726" s="1" t="s">
        <v>2385</v>
      </c>
      <c r="C2726" s="1" t="s">
        <v>2392</v>
      </c>
      <c r="D2726" s="1" t="s">
        <v>2393</v>
      </c>
      <c r="E2726" s="1">
        <v>25.93</v>
      </c>
      <c r="F2726" s="1" t="s">
        <v>8</v>
      </c>
      <c r="G2726" s="1" t="s">
        <v>9</v>
      </c>
      <c r="H2726" s="1" t="s">
        <v>10</v>
      </c>
    </row>
    <row r="2727" spans="1:8" x14ac:dyDescent="0.3">
      <c r="A2727" s="1">
        <v>836</v>
      </c>
      <c r="B2727" s="1" t="s">
        <v>2385</v>
      </c>
      <c r="C2727" s="1" t="s">
        <v>2396</v>
      </c>
      <c r="D2727" s="1" t="s">
        <v>2397</v>
      </c>
      <c r="E2727" s="1">
        <v>191.59</v>
      </c>
      <c r="F2727" s="1" t="s">
        <v>8</v>
      </c>
      <c r="G2727" s="1" t="s">
        <v>9</v>
      </c>
      <c r="H2727" s="1" t="s">
        <v>10</v>
      </c>
    </row>
    <row r="2728" spans="1:8" x14ac:dyDescent="0.3">
      <c r="A2728" s="1">
        <v>836</v>
      </c>
      <c r="B2728" s="1" t="s">
        <v>2385</v>
      </c>
      <c r="C2728" s="1" t="s">
        <v>2398</v>
      </c>
      <c r="D2728" s="1" t="s">
        <v>2399</v>
      </c>
      <c r="E2728" s="1">
        <v>268.69</v>
      </c>
      <c r="F2728" s="1" t="s">
        <v>8</v>
      </c>
      <c r="G2728" s="1" t="s">
        <v>9</v>
      </c>
      <c r="H2728" s="1" t="s">
        <v>10</v>
      </c>
    </row>
    <row r="2729" spans="1:8" x14ac:dyDescent="0.3">
      <c r="A2729" s="1">
        <v>836</v>
      </c>
      <c r="B2729" s="1" t="s">
        <v>2385</v>
      </c>
      <c r="C2729" s="1" t="s">
        <v>2400</v>
      </c>
      <c r="D2729" s="1" t="s">
        <v>2401</v>
      </c>
      <c r="E2729" s="1">
        <v>248.27</v>
      </c>
      <c r="F2729" s="1" t="s">
        <v>8</v>
      </c>
      <c r="G2729" s="1" t="s">
        <v>9</v>
      </c>
      <c r="H2729" s="1" t="s">
        <v>10</v>
      </c>
    </row>
    <row r="2730" spans="1:8" x14ac:dyDescent="0.3">
      <c r="A2730" s="1">
        <v>836</v>
      </c>
      <c r="B2730" s="1" t="s">
        <v>2385</v>
      </c>
      <c r="C2730" s="1" t="s">
        <v>2402</v>
      </c>
      <c r="D2730" s="1" t="s">
        <v>2403</v>
      </c>
      <c r="E2730" s="1">
        <v>109.27</v>
      </c>
      <c r="F2730" s="1" t="s">
        <v>8</v>
      </c>
      <c r="G2730" s="1" t="s">
        <v>9</v>
      </c>
      <c r="H2730" s="1" t="s">
        <v>10</v>
      </c>
    </row>
    <row r="2731" spans="1:8" x14ac:dyDescent="0.3">
      <c r="A2731" s="1">
        <v>836</v>
      </c>
      <c r="B2731" s="1" t="s">
        <v>2385</v>
      </c>
      <c r="C2731" s="1" t="s">
        <v>2404</v>
      </c>
      <c r="D2731" s="1" t="s">
        <v>2405</v>
      </c>
      <c r="E2731" s="1">
        <v>56.5</v>
      </c>
      <c r="F2731" s="1" t="s">
        <v>8</v>
      </c>
      <c r="G2731" s="1" t="s">
        <v>9</v>
      </c>
      <c r="H2731" s="1" t="s">
        <v>10</v>
      </c>
    </row>
    <row r="2732" spans="1:8" x14ac:dyDescent="0.3">
      <c r="A2732" s="1">
        <v>836</v>
      </c>
      <c r="B2732" s="1" t="s">
        <v>2385</v>
      </c>
      <c r="C2732" s="1" t="s">
        <v>2406</v>
      </c>
      <c r="D2732" s="1" t="s">
        <v>2407</v>
      </c>
      <c r="E2732" s="1">
        <v>81.19</v>
      </c>
      <c r="F2732" s="1" t="s">
        <v>8</v>
      </c>
      <c r="G2732" s="1" t="s">
        <v>9</v>
      </c>
      <c r="H2732" s="1" t="s">
        <v>10</v>
      </c>
    </row>
    <row r="2733" spans="1:8" x14ac:dyDescent="0.3">
      <c r="A2733" s="1">
        <v>836</v>
      </c>
      <c r="B2733" s="1" t="s">
        <v>2385</v>
      </c>
      <c r="C2733" s="1" t="s">
        <v>2408</v>
      </c>
      <c r="D2733" s="1" t="s">
        <v>2409</v>
      </c>
      <c r="E2733" s="1">
        <v>591.23</v>
      </c>
      <c r="F2733" s="1" t="s">
        <v>8</v>
      </c>
      <c r="G2733" s="1" t="s">
        <v>9</v>
      </c>
      <c r="H2733" s="1" t="s">
        <v>10</v>
      </c>
    </row>
    <row r="2734" spans="1:8" x14ac:dyDescent="0.3">
      <c r="A2734" s="1">
        <v>836</v>
      </c>
      <c r="B2734" s="1" t="s">
        <v>2385</v>
      </c>
      <c r="C2734" s="1" t="s">
        <v>2410</v>
      </c>
      <c r="D2734" s="1" t="s">
        <v>2411</v>
      </c>
      <c r="E2734" s="1">
        <v>3258.32</v>
      </c>
      <c r="F2734" s="1" t="s">
        <v>8</v>
      </c>
      <c r="G2734" s="1" t="s">
        <v>9</v>
      </c>
      <c r="H2734" s="1" t="s">
        <v>10</v>
      </c>
    </row>
    <row r="2735" spans="1:8" x14ac:dyDescent="0.3">
      <c r="A2735" s="1">
        <v>836</v>
      </c>
      <c r="B2735" s="1" t="s">
        <v>2385</v>
      </c>
      <c r="C2735" s="1" t="s">
        <v>2412</v>
      </c>
      <c r="D2735" s="1" t="s">
        <v>2413</v>
      </c>
      <c r="E2735" s="1">
        <v>389.8</v>
      </c>
      <c r="F2735" s="1" t="s">
        <v>8</v>
      </c>
      <c r="G2735" s="1" t="s">
        <v>9</v>
      </c>
      <c r="H2735" s="1" t="s">
        <v>10</v>
      </c>
    </row>
    <row r="2736" spans="1:8" x14ac:dyDescent="0.3">
      <c r="A2736" s="1">
        <v>836</v>
      </c>
      <c r="B2736" s="1" t="s">
        <v>2385</v>
      </c>
      <c r="C2736" s="1" t="s">
        <v>2416</v>
      </c>
      <c r="D2736" s="1" t="s">
        <v>2417</v>
      </c>
      <c r="E2736" s="1">
        <v>125.85</v>
      </c>
      <c r="F2736" s="1" t="s">
        <v>8</v>
      </c>
      <c r="G2736" s="1" t="s">
        <v>9</v>
      </c>
      <c r="H2736" s="1" t="s">
        <v>10</v>
      </c>
    </row>
    <row r="2737" spans="1:8" x14ac:dyDescent="0.3">
      <c r="A2737" s="1">
        <v>836</v>
      </c>
      <c r="B2737" s="1" t="s">
        <v>2385</v>
      </c>
      <c r="C2737" s="1" t="s">
        <v>2418</v>
      </c>
      <c r="D2737" s="1" t="s">
        <v>2419</v>
      </c>
      <c r="E2737" s="1">
        <v>64.87</v>
      </c>
      <c r="F2737" s="1" t="s">
        <v>8</v>
      </c>
      <c r="G2737" s="1" t="s">
        <v>9</v>
      </c>
      <c r="H2737" s="1" t="s">
        <v>10</v>
      </c>
    </row>
    <row r="2738" spans="1:8" x14ac:dyDescent="0.3">
      <c r="A2738" s="1">
        <v>836</v>
      </c>
      <c r="B2738" s="1" t="s">
        <v>2385</v>
      </c>
      <c r="C2738" s="1" t="s">
        <v>2414</v>
      </c>
      <c r="D2738" s="1" t="s">
        <v>2415</v>
      </c>
      <c r="E2738" s="1">
        <v>52.62</v>
      </c>
      <c r="F2738" s="1" t="s">
        <v>8</v>
      </c>
      <c r="G2738" s="1" t="s">
        <v>9</v>
      </c>
      <c r="H2738" s="1" t="s">
        <v>10</v>
      </c>
    </row>
    <row r="2739" spans="1:8" x14ac:dyDescent="0.3">
      <c r="A2739" s="1">
        <v>836</v>
      </c>
      <c r="B2739" s="1" t="s">
        <v>2385</v>
      </c>
      <c r="C2739" s="1" t="s">
        <v>2420</v>
      </c>
      <c r="D2739" s="1" t="s">
        <v>2421</v>
      </c>
      <c r="E2739" s="1">
        <v>110.91</v>
      </c>
      <c r="F2739" s="1" t="s">
        <v>8</v>
      </c>
      <c r="G2739" s="1" t="s">
        <v>9</v>
      </c>
      <c r="H2739" s="1" t="s">
        <v>10</v>
      </c>
    </row>
    <row r="2740" spans="1:8" x14ac:dyDescent="0.3">
      <c r="A2740" s="1">
        <v>836</v>
      </c>
      <c r="B2740" s="1" t="s">
        <v>2385</v>
      </c>
      <c r="C2740" s="1" t="s">
        <v>2422</v>
      </c>
      <c r="D2740" s="1" t="s">
        <v>2423</v>
      </c>
      <c r="E2740" s="1">
        <v>1028.97</v>
      </c>
      <c r="F2740" s="1" t="s">
        <v>8</v>
      </c>
      <c r="G2740" s="1" t="s">
        <v>9</v>
      </c>
      <c r="H2740" s="1" t="s">
        <v>10</v>
      </c>
    </row>
    <row r="2741" spans="1:8" x14ac:dyDescent="0.3">
      <c r="A2741" s="1">
        <v>836</v>
      </c>
      <c r="B2741" s="1" t="s">
        <v>2385</v>
      </c>
      <c r="C2741" s="1" t="s">
        <v>2424</v>
      </c>
      <c r="D2741" s="1" t="s">
        <v>2425</v>
      </c>
      <c r="E2741" s="1">
        <v>198.91</v>
      </c>
      <c r="F2741" s="1" t="s">
        <v>8</v>
      </c>
      <c r="G2741" s="1" t="s">
        <v>9</v>
      </c>
      <c r="H2741" s="1" t="s">
        <v>10</v>
      </c>
    </row>
    <row r="2742" spans="1:8" x14ac:dyDescent="0.3">
      <c r="A2742" s="1">
        <v>836</v>
      </c>
      <c r="B2742" s="1" t="s">
        <v>2385</v>
      </c>
      <c r="C2742" s="1" t="s">
        <v>2426</v>
      </c>
      <c r="D2742" s="1" t="s">
        <v>2427</v>
      </c>
      <c r="E2742" s="1">
        <v>496.73</v>
      </c>
      <c r="F2742" s="1" t="s">
        <v>8</v>
      </c>
      <c r="G2742" s="1" t="s">
        <v>9</v>
      </c>
      <c r="H2742" s="1" t="s">
        <v>10</v>
      </c>
    </row>
    <row r="2743" spans="1:8" x14ac:dyDescent="0.3">
      <c r="A2743" s="1">
        <v>836</v>
      </c>
      <c r="B2743" s="1" t="s">
        <v>2385</v>
      </c>
      <c r="C2743" s="1" t="s">
        <v>2428</v>
      </c>
      <c r="D2743" s="1" t="s">
        <v>2429</v>
      </c>
      <c r="E2743" s="1">
        <v>699.64</v>
      </c>
      <c r="F2743" s="1" t="s">
        <v>8</v>
      </c>
      <c r="G2743" s="1" t="s">
        <v>9</v>
      </c>
      <c r="H2743" s="1" t="s">
        <v>10</v>
      </c>
    </row>
    <row r="2744" spans="1:8" x14ac:dyDescent="0.3">
      <c r="A2744" s="1">
        <v>836</v>
      </c>
      <c r="B2744" s="1" t="s">
        <v>2385</v>
      </c>
      <c r="C2744" s="1" t="s">
        <v>2430</v>
      </c>
      <c r="D2744" s="1" t="s">
        <v>2431</v>
      </c>
      <c r="E2744" s="1">
        <v>1485.99</v>
      </c>
      <c r="F2744" s="1" t="s">
        <v>8</v>
      </c>
      <c r="G2744" s="1" t="s">
        <v>9</v>
      </c>
      <c r="H2744" s="1" t="s">
        <v>10</v>
      </c>
    </row>
    <row r="2745" spans="1:8" x14ac:dyDescent="0.3">
      <c r="A2745" s="1">
        <v>836</v>
      </c>
      <c r="B2745" s="1" t="s">
        <v>2385</v>
      </c>
      <c r="C2745" s="1" t="s">
        <v>2432</v>
      </c>
      <c r="D2745" s="1" t="s">
        <v>2433</v>
      </c>
      <c r="E2745" s="1">
        <v>51.56</v>
      </c>
      <c r="F2745" s="1" t="s">
        <v>8</v>
      </c>
      <c r="G2745" s="1" t="s">
        <v>9</v>
      </c>
      <c r="H2745" s="1" t="s">
        <v>10</v>
      </c>
    </row>
    <row r="2746" spans="1:8" x14ac:dyDescent="0.3">
      <c r="A2746" s="1">
        <v>836</v>
      </c>
      <c r="B2746" s="1" t="s">
        <v>2385</v>
      </c>
      <c r="C2746" s="1" t="s">
        <v>2434</v>
      </c>
      <c r="D2746" s="1" t="s">
        <v>2435</v>
      </c>
      <c r="E2746" s="1">
        <v>380.43</v>
      </c>
      <c r="F2746" s="1" t="s">
        <v>8</v>
      </c>
      <c r="G2746" s="1" t="s">
        <v>9</v>
      </c>
      <c r="H2746" s="1" t="s">
        <v>10</v>
      </c>
    </row>
    <row r="2747" spans="1:8" x14ac:dyDescent="0.3">
      <c r="A2747" s="1">
        <v>836</v>
      </c>
      <c r="B2747" s="1" t="s">
        <v>2385</v>
      </c>
      <c r="C2747" s="1" t="s">
        <v>2436</v>
      </c>
      <c r="D2747" s="1" t="s">
        <v>2437</v>
      </c>
      <c r="E2747" s="1">
        <v>79.430000000000007</v>
      </c>
      <c r="F2747" s="1" t="s">
        <v>8</v>
      </c>
      <c r="G2747" s="1" t="s">
        <v>9</v>
      </c>
      <c r="H2747" s="1" t="s">
        <v>10</v>
      </c>
    </row>
    <row r="2748" spans="1:8" x14ac:dyDescent="0.3">
      <c r="A2748" s="1">
        <v>836</v>
      </c>
      <c r="B2748" s="1" t="s">
        <v>2385</v>
      </c>
      <c r="C2748" s="1" t="s">
        <v>2438</v>
      </c>
      <c r="D2748" s="1" t="s">
        <v>2439</v>
      </c>
      <c r="E2748" s="1">
        <v>741.37</v>
      </c>
      <c r="F2748" s="1" t="s">
        <v>8</v>
      </c>
      <c r="G2748" s="1" t="s">
        <v>9</v>
      </c>
      <c r="H2748" s="1" t="s">
        <v>10</v>
      </c>
    </row>
    <row r="2749" spans="1:8" x14ac:dyDescent="0.3">
      <c r="A2749" s="1">
        <v>836</v>
      </c>
      <c r="B2749" s="1" t="s">
        <v>2385</v>
      </c>
      <c r="C2749" s="1" t="s">
        <v>2440</v>
      </c>
      <c r="D2749" s="1" t="s">
        <v>2441</v>
      </c>
      <c r="E2749" s="1">
        <v>821.69</v>
      </c>
      <c r="F2749" s="1" t="s">
        <v>8</v>
      </c>
      <c r="G2749" s="1" t="s">
        <v>9</v>
      </c>
      <c r="H2749" s="1" t="s">
        <v>10</v>
      </c>
    </row>
    <row r="2750" spans="1:8" x14ac:dyDescent="0.3">
      <c r="A2750" s="1">
        <v>836</v>
      </c>
      <c r="B2750" s="1" t="s">
        <v>2385</v>
      </c>
      <c r="C2750" s="1" t="s">
        <v>2442</v>
      </c>
      <c r="D2750" s="1" t="s">
        <v>2443</v>
      </c>
      <c r="E2750" s="1">
        <v>24.64</v>
      </c>
      <c r="F2750" s="1" t="s">
        <v>8</v>
      </c>
      <c r="G2750" s="1" t="s">
        <v>9</v>
      </c>
      <c r="H2750" s="1" t="s">
        <v>10</v>
      </c>
    </row>
    <row r="2751" spans="1:8" x14ac:dyDescent="0.3">
      <c r="A2751" s="1">
        <v>836</v>
      </c>
      <c r="B2751" s="1" t="s">
        <v>2385</v>
      </c>
      <c r="C2751" s="1" t="s">
        <v>2444</v>
      </c>
      <c r="D2751" s="1" t="s">
        <v>2445</v>
      </c>
      <c r="E2751" s="1">
        <v>273.08999999999997</v>
      </c>
      <c r="F2751" s="1" t="s">
        <v>8</v>
      </c>
      <c r="G2751" s="1" t="s">
        <v>9</v>
      </c>
      <c r="H2751" s="1" t="s">
        <v>10</v>
      </c>
    </row>
    <row r="2752" spans="1:8" x14ac:dyDescent="0.3">
      <c r="A2752" s="1">
        <v>836</v>
      </c>
      <c r="B2752" s="1" t="s">
        <v>2385</v>
      </c>
      <c r="C2752" s="1" t="s">
        <v>2446</v>
      </c>
      <c r="D2752" s="1" t="s">
        <v>2447</v>
      </c>
      <c r="E2752" s="1">
        <v>4254.3500000000004</v>
      </c>
      <c r="F2752" s="1" t="s">
        <v>8</v>
      </c>
      <c r="G2752" s="1" t="s">
        <v>9</v>
      </c>
      <c r="H2752" s="1" t="s">
        <v>10</v>
      </c>
    </row>
    <row r="2753" spans="1:8" x14ac:dyDescent="0.3">
      <c r="A2753" s="1">
        <v>836</v>
      </c>
      <c r="B2753" s="1" t="s">
        <v>2385</v>
      </c>
      <c r="C2753" s="1" t="s">
        <v>2448</v>
      </c>
      <c r="D2753" s="1" t="s">
        <v>2449</v>
      </c>
      <c r="E2753" s="1">
        <v>38.18</v>
      </c>
      <c r="F2753" s="1" t="s">
        <v>8</v>
      </c>
      <c r="G2753" s="1" t="s">
        <v>9</v>
      </c>
      <c r="H2753" s="1" t="s">
        <v>10</v>
      </c>
    </row>
    <row r="2754" spans="1:8" x14ac:dyDescent="0.3">
      <c r="A2754" s="1">
        <v>836</v>
      </c>
      <c r="B2754" s="1" t="s">
        <v>2385</v>
      </c>
      <c r="C2754" s="1" t="s">
        <v>2450</v>
      </c>
      <c r="D2754" s="1" t="s">
        <v>2451</v>
      </c>
      <c r="E2754" s="1">
        <v>36.03</v>
      </c>
      <c r="F2754" s="1" t="s">
        <v>8</v>
      </c>
      <c r="G2754" s="1" t="s">
        <v>9</v>
      </c>
      <c r="H2754" s="1" t="s">
        <v>10</v>
      </c>
    </row>
    <row r="2755" spans="1:8" x14ac:dyDescent="0.3">
      <c r="A2755" s="1">
        <v>836</v>
      </c>
      <c r="B2755" s="1" t="s">
        <v>2385</v>
      </c>
      <c r="C2755" s="1" t="s">
        <v>2452</v>
      </c>
      <c r="D2755" s="1" t="s">
        <v>2453</v>
      </c>
      <c r="E2755" s="1">
        <v>597.1</v>
      </c>
      <c r="F2755" s="1" t="s">
        <v>8</v>
      </c>
      <c r="G2755" s="1" t="s">
        <v>9</v>
      </c>
      <c r="H2755" s="1" t="s">
        <v>10</v>
      </c>
    </row>
    <row r="2756" spans="1:8" x14ac:dyDescent="0.3">
      <c r="A2756" s="1">
        <v>836</v>
      </c>
      <c r="B2756" s="1" t="s">
        <v>2385</v>
      </c>
      <c r="C2756" s="1" t="s">
        <v>2454</v>
      </c>
      <c r="D2756" s="1" t="s">
        <v>2455</v>
      </c>
      <c r="E2756" s="1">
        <v>430.66</v>
      </c>
      <c r="F2756" s="1" t="s">
        <v>8</v>
      </c>
      <c r="G2756" s="1" t="s">
        <v>9</v>
      </c>
      <c r="H2756" s="1" t="s">
        <v>10</v>
      </c>
    </row>
    <row r="2757" spans="1:8" x14ac:dyDescent="0.3">
      <c r="A2757" s="1">
        <v>836</v>
      </c>
      <c r="B2757" s="1" t="s">
        <v>2385</v>
      </c>
      <c r="C2757" s="1" t="s">
        <v>2456</v>
      </c>
      <c r="D2757" s="1" t="s">
        <v>2457</v>
      </c>
      <c r="E2757" s="1">
        <v>175.82</v>
      </c>
      <c r="F2757" s="1" t="s">
        <v>8</v>
      </c>
      <c r="G2757" s="1" t="s">
        <v>9</v>
      </c>
      <c r="H2757" s="1" t="s">
        <v>10</v>
      </c>
    </row>
    <row r="2758" spans="1:8" x14ac:dyDescent="0.3">
      <c r="A2758" s="1">
        <v>836</v>
      </c>
      <c r="B2758" s="1" t="s">
        <v>2385</v>
      </c>
      <c r="C2758" s="1" t="s">
        <v>6809</v>
      </c>
      <c r="D2758" s="1" t="s">
        <v>6810</v>
      </c>
      <c r="E2758" s="1">
        <v>27</v>
      </c>
      <c r="F2758" s="1" t="s">
        <v>8</v>
      </c>
      <c r="G2758" s="1" t="s">
        <v>13</v>
      </c>
      <c r="H2758" s="1" t="s">
        <v>10</v>
      </c>
    </row>
    <row r="2759" spans="1:8" x14ac:dyDescent="0.3">
      <c r="A2759" s="1">
        <v>836</v>
      </c>
      <c r="B2759" s="1" t="s">
        <v>2385</v>
      </c>
      <c r="C2759" s="1" t="s">
        <v>6811</v>
      </c>
      <c r="D2759" s="1" t="s">
        <v>6812</v>
      </c>
      <c r="E2759" s="1">
        <v>1771.55</v>
      </c>
      <c r="F2759" s="1" t="s">
        <v>8</v>
      </c>
      <c r="G2759" s="1" t="s">
        <v>9</v>
      </c>
      <c r="H2759" s="1" t="s">
        <v>10</v>
      </c>
    </row>
    <row r="2760" spans="1:8" x14ac:dyDescent="0.3">
      <c r="A2760" s="1">
        <v>836</v>
      </c>
      <c r="B2760" s="1" t="s">
        <v>2385</v>
      </c>
      <c r="C2760" s="1" t="s">
        <v>6813</v>
      </c>
      <c r="D2760" s="1" t="s">
        <v>6814</v>
      </c>
      <c r="E2760" s="1">
        <v>1566.35</v>
      </c>
      <c r="F2760" s="1" t="s">
        <v>8</v>
      </c>
      <c r="G2760" s="1" t="s">
        <v>9</v>
      </c>
      <c r="H2760" s="1" t="s">
        <v>10</v>
      </c>
    </row>
    <row r="2761" spans="1:8" x14ac:dyDescent="0.3">
      <c r="A2761" s="1">
        <v>836</v>
      </c>
      <c r="B2761" s="1" t="s">
        <v>2385</v>
      </c>
      <c r="C2761" s="1" t="s">
        <v>6815</v>
      </c>
      <c r="D2761" s="1" t="s">
        <v>6816</v>
      </c>
      <c r="E2761" s="1">
        <v>362.02</v>
      </c>
      <c r="F2761" s="1" t="s">
        <v>8</v>
      </c>
      <c r="G2761" s="1" t="s">
        <v>9</v>
      </c>
      <c r="H2761" s="1" t="s">
        <v>10</v>
      </c>
    </row>
    <row r="2762" spans="1:8" x14ac:dyDescent="0.3">
      <c r="A2762" s="1">
        <v>836</v>
      </c>
      <c r="B2762" s="1" t="s">
        <v>2385</v>
      </c>
      <c r="C2762" s="1" t="s">
        <v>6817</v>
      </c>
      <c r="D2762" s="1" t="s">
        <v>6818</v>
      </c>
      <c r="E2762" s="1">
        <v>961.81</v>
      </c>
      <c r="F2762" s="1" t="s">
        <v>8</v>
      </c>
      <c r="G2762" s="1" t="s">
        <v>9</v>
      </c>
      <c r="H2762" s="1" t="s">
        <v>10</v>
      </c>
    </row>
    <row r="2763" spans="1:8" x14ac:dyDescent="0.3">
      <c r="A2763" s="1">
        <v>836</v>
      </c>
      <c r="B2763" s="1" t="s">
        <v>2385</v>
      </c>
      <c r="C2763" s="1" t="s">
        <v>6819</v>
      </c>
      <c r="D2763" s="1" t="s">
        <v>6820</v>
      </c>
      <c r="E2763" s="1">
        <v>317.18</v>
      </c>
      <c r="F2763" s="1" t="s">
        <v>8</v>
      </c>
      <c r="G2763" s="1" t="s">
        <v>9</v>
      </c>
      <c r="H2763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Views>
    <sheetView workbookViewId="0">
      <selection activeCell="A28" sqref="A28"/>
    </sheetView>
  </sheetViews>
  <sheetFormatPr defaultRowHeight="14.4" x14ac:dyDescent="0.3"/>
  <cols>
    <col min="1" max="1" width="16.21875" bestFit="1" customWidth="1"/>
    <col min="2" max="2" width="15.109375" bestFit="1" customWidth="1"/>
    <col min="3" max="3" width="21.6640625" bestFit="1" customWidth="1"/>
    <col min="4" max="4" width="46" bestFit="1" customWidth="1"/>
    <col min="5" max="5" width="15.33203125" bestFit="1" customWidth="1"/>
    <col min="6" max="6" width="24.33203125" bestFit="1" customWidth="1"/>
    <col min="7" max="7" width="14.88671875" bestFit="1" customWidth="1"/>
  </cols>
  <sheetData>
    <row r="1" spans="1:7" x14ac:dyDescent="0.3">
      <c r="A1" s="1" t="s">
        <v>6824</v>
      </c>
      <c r="B1" s="1" t="s">
        <v>2458</v>
      </c>
      <c r="C1" s="1" t="s">
        <v>6825</v>
      </c>
      <c r="D1" s="1" t="s">
        <v>6826</v>
      </c>
      <c r="E1" s="1" t="s">
        <v>6827</v>
      </c>
      <c r="F1" s="1" t="s">
        <v>6828</v>
      </c>
      <c r="G1" s="1" t="s">
        <v>6829</v>
      </c>
    </row>
    <row r="2" spans="1:7" x14ac:dyDescent="0.3">
      <c r="A2" s="1">
        <v>204</v>
      </c>
      <c r="B2" s="1" t="s">
        <v>56</v>
      </c>
      <c r="C2" s="1" t="s">
        <v>6830</v>
      </c>
      <c r="D2" s="1" t="s">
        <v>6831</v>
      </c>
      <c r="E2" s="1">
        <v>336.4</v>
      </c>
      <c r="F2" s="1" t="s">
        <v>8</v>
      </c>
      <c r="G2" s="1" t="s">
        <v>10</v>
      </c>
    </row>
    <row r="3" spans="1:7" x14ac:dyDescent="0.3">
      <c r="A3" s="1">
        <v>204</v>
      </c>
      <c r="B3" s="1" t="s">
        <v>56</v>
      </c>
      <c r="C3" s="1" t="s">
        <v>6832</v>
      </c>
      <c r="D3" s="1" t="s">
        <v>6833</v>
      </c>
      <c r="E3" s="1">
        <v>610.1</v>
      </c>
      <c r="F3" s="1" t="s">
        <v>8</v>
      </c>
      <c r="G3" s="1" t="s">
        <v>10</v>
      </c>
    </row>
    <row r="4" spans="1:7" x14ac:dyDescent="0.3">
      <c r="A4" s="1">
        <v>204</v>
      </c>
      <c r="B4" s="1" t="s">
        <v>56</v>
      </c>
      <c r="C4" s="1" t="s">
        <v>6834</v>
      </c>
      <c r="D4" s="1" t="s">
        <v>6835</v>
      </c>
      <c r="E4" s="1">
        <v>491.53</v>
      </c>
      <c r="F4" s="1" t="s">
        <v>8</v>
      </c>
      <c r="G4" s="1" t="s">
        <v>10</v>
      </c>
    </row>
    <row r="5" spans="1:7" x14ac:dyDescent="0.3">
      <c r="A5" s="1">
        <v>204</v>
      </c>
      <c r="B5" s="1" t="s">
        <v>56</v>
      </c>
      <c r="C5" s="1" t="s">
        <v>6836</v>
      </c>
      <c r="D5" s="1" t="s">
        <v>6837</v>
      </c>
      <c r="E5" s="1">
        <v>2364.9299999999998</v>
      </c>
      <c r="F5" s="1" t="s">
        <v>11</v>
      </c>
      <c r="G5" s="1" t="s">
        <v>10</v>
      </c>
    </row>
    <row r="6" spans="1:7" x14ac:dyDescent="0.3">
      <c r="A6" s="1">
        <v>204</v>
      </c>
      <c r="B6" s="1" t="s">
        <v>56</v>
      </c>
      <c r="C6" s="1" t="s">
        <v>6838</v>
      </c>
      <c r="D6" s="1" t="s">
        <v>6839</v>
      </c>
      <c r="E6" s="1">
        <v>652.74</v>
      </c>
      <c r="F6" s="1" t="s">
        <v>8</v>
      </c>
      <c r="G6" s="1" t="s">
        <v>10</v>
      </c>
    </row>
    <row r="7" spans="1:7" x14ac:dyDescent="0.3">
      <c r="A7" s="1">
        <v>204</v>
      </c>
      <c r="B7" s="1" t="s">
        <v>56</v>
      </c>
      <c r="C7" s="1" t="s">
        <v>6840</v>
      </c>
      <c r="D7" s="1" t="s">
        <v>6841</v>
      </c>
      <c r="E7" s="1">
        <v>1511.1</v>
      </c>
      <c r="F7" s="1" t="s">
        <v>8</v>
      </c>
      <c r="G7" s="1" t="s">
        <v>10</v>
      </c>
    </row>
    <row r="8" spans="1:7" x14ac:dyDescent="0.3">
      <c r="A8" s="1">
        <v>204</v>
      </c>
      <c r="B8" s="1" t="s">
        <v>56</v>
      </c>
      <c r="C8" s="1" t="s">
        <v>6842</v>
      </c>
      <c r="D8" s="1" t="s">
        <v>6843</v>
      </c>
      <c r="E8" s="1">
        <v>318.39999999999998</v>
      </c>
      <c r="F8" s="1" t="s">
        <v>8</v>
      </c>
      <c r="G8" s="1" t="s">
        <v>10</v>
      </c>
    </row>
    <row r="9" spans="1:7" x14ac:dyDescent="0.3">
      <c r="A9" s="1">
        <v>204</v>
      </c>
      <c r="B9" s="1" t="s">
        <v>56</v>
      </c>
      <c r="C9" s="1" t="s">
        <v>6844</v>
      </c>
      <c r="D9" s="1" t="s">
        <v>6845</v>
      </c>
      <c r="E9" s="1">
        <v>1546.9</v>
      </c>
      <c r="F9" s="1" t="s">
        <v>8</v>
      </c>
      <c r="G9" s="1" t="s">
        <v>10</v>
      </c>
    </row>
    <row r="10" spans="1:7" x14ac:dyDescent="0.3">
      <c r="A10" s="1">
        <v>204</v>
      </c>
      <c r="B10" s="1" t="s">
        <v>56</v>
      </c>
      <c r="C10" s="1" t="s">
        <v>6846</v>
      </c>
      <c r="D10" s="1" t="s">
        <v>6847</v>
      </c>
      <c r="E10" s="1">
        <v>1747.42</v>
      </c>
      <c r="F10" s="1" t="s">
        <v>8</v>
      </c>
      <c r="G10" s="1" t="s">
        <v>10</v>
      </c>
    </row>
    <row r="11" spans="1:7" x14ac:dyDescent="0.3">
      <c r="A11" s="1">
        <v>426</v>
      </c>
      <c r="B11" s="1" t="s">
        <v>433</v>
      </c>
      <c r="C11" s="1" t="s">
        <v>6848</v>
      </c>
      <c r="D11" s="1" t="s">
        <v>6849</v>
      </c>
      <c r="E11" s="1">
        <v>372.26</v>
      </c>
      <c r="F11" s="1" t="s">
        <v>8</v>
      </c>
      <c r="G11" s="1" t="s">
        <v>10</v>
      </c>
    </row>
    <row r="12" spans="1:7" x14ac:dyDescent="0.3">
      <c r="A12" s="1">
        <v>426</v>
      </c>
      <c r="B12" s="1" t="s">
        <v>433</v>
      </c>
      <c r="C12" s="1" t="s">
        <v>6850</v>
      </c>
      <c r="D12" s="1" t="s">
        <v>6851</v>
      </c>
      <c r="E12" s="1">
        <v>303.61</v>
      </c>
      <c r="F12" s="1" t="s">
        <v>8</v>
      </c>
      <c r="G12" s="1" t="s">
        <v>10</v>
      </c>
    </row>
    <row r="13" spans="1:7" x14ac:dyDescent="0.3">
      <c r="A13" s="1">
        <v>426</v>
      </c>
      <c r="B13" s="1" t="s">
        <v>433</v>
      </c>
      <c r="C13" s="1" t="s">
        <v>6852</v>
      </c>
      <c r="D13" s="1" t="s">
        <v>6853</v>
      </c>
      <c r="E13" s="1">
        <v>572.39</v>
      </c>
      <c r="F13" s="1" t="s">
        <v>8</v>
      </c>
      <c r="G13" s="1" t="s">
        <v>10</v>
      </c>
    </row>
    <row r="14" spans="1:7" x14ac:dyDescent="0.3">
      <c r="A14" s="1">
        <v>426</v>
      </c>
      <c r="B14" s="1" t="s">
        <v>433</v>
      </c>
      <c r="C14" s="1" t="s">
        <v>6854</v>
      </c>
      <c r="D14" s="1" t="s">
        <v>6855</v>
      </c>
      <c r="E14" s="1">
        <v>193.76</v>
      </c>
      <c r="F14" s="1" t="s">
        <v>8</v>
      </c>
      <c r="G14" s="1" t="s">
        <v>10</v>
      </c>
    </row>
    <row r="15" spans="1:7" x14ac:dyDescent="0.3">
      <c r="A15" s="1">
        <v>426</v>
      </c>
      <c r="B15" s="1" t="s">
        <v>433</v>
      </c>
      <c r="C15" s="1" t="s">
        <v>6856</v>
      </c>
      <c r="D15" s="1" t="s">
        <v>6857</v>
      </c>
      <c r="E15" s="1">
        <v>542.24</v>
      </c>
      <c r="F15" s="1" t="s">
        <v>8</v>
      </c>
      <c r="G15" s="1" t="s">
        <v>10</v>
      </c>
    </row>
    <row r="16" spans="1:7" x14ac:dyDescent="0.3">
      <c r="A16" s="1">
        <v>426</v>
      </c>
      <c r="B16" s="1" t="s">
        <v>433</v>
      </c>
      <c r="C16" s="1" t="s">
        <v>6858</v>
      </c>
      <c r="D16" s="1" t="s">
        <v>6859</v>
      </c>
      <c r="E16" s="1">
        <v>354.87</v>
      </c>
      <c r="F16" s="1" t="s">
        <v>8</v>
      </c>
      <c r="G16" s="1" t="s">
        <v>10</v>
      </c>
    </row>
    <row r="17" spans="1:7" x14ac:dyDescent="0.3">
      <c r="A17" s="1">
        <v>426</v>
      </c>
      <c r="B17" s="1" t="s">
        <v>433</v>
      </c>
      <c r="C17" s="1" t="s">
        <v>6860</v>
      </c>
      <c r="D17" s="1" t="s">
        <v>6861</v>
      </c>
      <c r="E17" s="1">
        <v>327.88</v>
      </c>
      <c r="F17" s="1" t="s">
        <v>8</v>
      </c>
      <c r="G17" s="1" t="s">
        <v>10</v>
      </c>
    </row>
    <row r="18" spans="1:7" x14ac:dyDescent="0.3">
      <c r="A18" s="1">
        <v>426</v>
      </c>
      <c r="B18" s="1" t="s">
        <v>433</v>
      </c>
      <c r="C18" s="1" t="s">
        <v>6862</v>
      </c>
      <c r="D18" s="1" t="s">
        <v>6863</v>
      </c>
      <c r="E18" s="1">
        <v>313.60000000000002</v>
      </c>
      <c r="F18" s="1" t="s">
        <v>8</v>
      </c>
      <c r="G18" s="1" t="s">
        <v>10</v>
      </c>
    </row>
    <row r="19" spans="1:7" x14ac:dyDescent="0.3">
      <c r="A19" s="1">
        <v>426</v>
      </c>
      <c r="B19" s="1" t="s">
        <v>433</v>
      </c>
      <c r="C19" s="1" t="s">
        <v>6864</v>
      </c>
      <c r="D19" s="1" t="s">
        <v>6865</v>
      </c>
      <c r="E19" s="1">
        <v>280.12</v>
      </c>
      <c r="F19" s="1" t="s">
        <v>8</v>
      </c>
      <c r="G19" s="1" t="s">
        <v>10</v>
      </c>
    </row>
    <row r="20" spans="1:7" x14ac:dyDescent="0.3">
      <c r="A20" s="1">
        <v>426</v>
      </c>
      <c r="B20" s="1" t="s">
        <v>433</v>
      </c>
      <c r="C20" s="1" t="s">
        <v>6866</v>
      </c>
      <c r="D20" s="1" t="s">
        <v>6867</v>
      </c>
      <c r="E20" s="1">
        <v>274.74</v>
      </c>
      <c r="F20" s="1" t="s">
        <v>8</v>
      </c>
      <c r="G20" s="1" t="s">
        <v>10</v>
      </c>
    </row>
    <row r="21" spans="1:7" x14ac:dyDescent="0.3">
      <c r="A21" s="1">
        <v>426</v>
      </c>
      <c r="B21" s="1" t="s">
        <v>433</v>
      </c>
      <c r="C21" s="1" t="s">
        <v>6868</v>
      </c>
      <c r="D21" s="1" t="s">
        <v>6869</v>
      </c>
      <c r="E21" s="1">
        <v>684.87</v>
      </c>
      <c r="F21" s="1" t="s">
        <v>8</v>
      </c>
      <c r="G21" s="1" t="s">
        <v>10</v>
      </c>
    </row>
    <row r="22" spans="1:7" x14ac:dyDescent="0.3">
      <c r="A22" s="1">
        <v>426</v>
      </c>
      <c r="B22" s="1" t="s">
        <v>433</v>
      </c>
      <c r="C22" s="1" t="s">
        <v>6870</v>
      </c>
      <c r="D22" s="1" t="s">
        <v>6871</v>
      </c>
      <c r="E22" s="1">
        <v>541</v>
      </c>
      <c r="F22" s="1" t="s">
        <v>8</v>
      </c>
      <c r="G22" s="1" t="s">
        <v>10</v>
      </c>
    </row>
    <row r="23" spans="1:7" x14ac:dyDescent="0.3">
      <c r="A23" s="1">
        <v>426</v>
      </c>
      <c r="B23" s="1" t="s">
        <v>433</v>
      </c>
      <c r="C23" s="1" t="s">
        <v>6872</v>
      </c>
      <c r="D23" s="1" t="s">
        <v>6873</v>
      </c>
      <c r="E23" s="1">
        <v>163.55000000000001</v>
      </c>
      <c r="F23" s="1" t="s">
        <v>8</v>
      </c>
      <c r="G23" s="1" t="s">
        <v>10</v>
      </c>
    </row>
    <row r="24" spans="1:7" x14ac:dyDescent="0.3">
      <c r="A24" s="1">
        <v>426</v>
      </c>
      <c r="B24" s="1" t="s">
        <v>433</v>
      </c>
      <c r="C24" s="1" t="s">
        <v>6874</v>
      </c>
      <c r="D24" s="1" t="s">
        <v>6875</v>
      </c>
      <c r="E24" s="1">
        <v>575.72</v>
      </c>
      <c r="F24" s="1" t="s">
        <v>8</v>
      </c>
      <c r="G24" s="1" t="s">
        <v>10</v>
      </c>
    </row>
    <row r="25" spans="1:7" x14ac:dyDescent="0.3">
      <c r="A25" s="1">
        <v>426</v>
      </c>
      <c r="B25" s="1" t="s">
        <v>433</v>
      </c>
      <c r="C25" s="1" t="s">
        <v>6876</v>
      </c>
      <c r="D25" s="1" t="s">
        <v>6877</v>
      </c>
      <c r="E25" s="1">
        <v>289.10000000000002</v>
      </c>
      <c r="F25" s="1" t="s">
        <v>8</v>
      </c>
      <c r="G25" s="1" t="s">
        <v>10</v>
      </c>
    </row>
    <row r="26" spans="1:7" x14ac:dyDescent="0.3">
      <c r="A26" s="1">
        <v>472</v>
      </c>
      <c r="B26" s="1" t="s">
        <v>576</v>
      </c>
      <c r="C26" s="1" t="s">
        <v>6878</v>
      </c>
      <c r="D26" s="1" t="s">
        <v>6879</v>
      </c>
      <c r="E26" s="1">
        <v>187.1</v>
      </c>
      <c r="F26" s="1" t="s">
        <v>8</v>
      </c>
      <c r="G26" s="1" t="s">
        <v>10</v>
      </c>
    </row>
    <row r="27" spans="1:7" x14ac:dyDescent="0.3">
      <c r="A27" s="1">
        <v>472</v>
      </c>
      <c r="B27" s="1" t="s">
        <v>576</v>
      </c>
      <c r="C27" s="1" t="s">
        <v>6880</v>
      </c>
      <c r="D27" s="1" t="s">
        <v>6881</v>
      </c>
      <c r="E27" s="1">
        <v>85.52</v>
      </c>
      <c r="F27" s="1" t="s">
        <v>8</v>
      </c>
      <c r="G27" s="1" t="s">
        <v>10</v>
      </c>
    </row>
    <row r="28" spans="1:7" x14ac:dyDescent="0.3">
      <c r="A28" s="1">
        <v>472</v>
      </c>
      <c r="B28" s="1" t="s">
        <v>576</v>
      </c>
      <c r="C28" s="1" t="s">
        <v>998</v>
      </c>
      <c r="D28" s="1" t="s">
        <v>999</v>
      </c>
      <c r="E28" s="1">
        <v>37.020000000000003</v>
      </c>
      <c r="F28" s="1" t="s">
        <v>8</v>
      </c>
      <c r="G28" s="1" t="s">
        <v>10</v>
      </c>
    </row>
    <row r="29" spans="1:7" x14ac:dyDescent="0.3">
      <c r="A29" s="1">
        <v>472</v>
      </c>
      <c r="B29" s="1" t="s">
        <v>576</v>
      </c>
      <c r="C29" s="1" t="s">
        <v>6882</v>
      </c>
      <c r="D29" s="1" t="s">
        <v>6883</v>
      </c>
      <c r="E29" s="1">
        <v>36.76</v>
      </c>
      <c r="F29" s="1" t="s">
        <v>8</v>
      </c>
      <c r="G29" s="1" t="s">
        <v>10</v>
      </c>
    </row>
    <row r="30" spans="1:7" x14ac:dyDescent="0.3">
      <c r="A30" s="1">
        <v>472</v>
      </c>
      <c r="B30" s="1" t="s">
        <v>576</v>
      </c>
      <c r="C30" s="1" t="s">
        <v>6884</v>
      </c>
      <c r="D30" s="1" t="s">
        <v>6885</v>
      </c>
      <c r="E30" s="1">
        <v>66.290000000000006</v>
      </c>
      <c r="F30" s="1" t="s">
        <v>8</v>
      </c>
      <c r="G30" s="1" t="s">
        <v>10</v>
      </c>
    </row>
    <row r="31" spans="1:7" x14ac:dyDescent="0.3">
      <c r="A31" s="1">
        <v>472</v>
      </c>
      <c r="B31" s="1" t="s">
        <v>576</v>
      </c>
      <c r="C31" s="1" t="s">
        <v>693</v>
      </c>
      <c r="D31" s="1" t="s">
        <v>694</v>
      </c>
      <c r="E31" s="1">
        <v>69.900000000000006</v>
      </c>
      <c r="F31" s="1" t="s">
        <v>8</v>
      </c>
      <c r="G31" s="1" t="s">
        <v>10</v>
      </c>
    </row>
    <row r="32" spans="1:7" x14ac:dyDescent="0.3">
      <c r="A32" s="1">
        <v>472</v>
      </c>
      <c r="B32" s="1" t="s">
        <v>576</v>
      </c>
      <c r="C32" s="1" t="s">
        <v>6886</v>
      </c>
      <c r="D32" s="1" t="s">
        <v>6887</v>
      </c>
      <c r="E32" s="1">
        <v>4.5</v>
      </c>
      <c r="F32" s="1" t="s">
        <v>8</v>
      </c>
      <c r="G32" s="1" t="s">
        <v>10</v>
      </c>
    </row>
    <row r="33" spans="1:7" x14ac:dyDescent="0.3">
      <c r="A33" s="1">
        <v>472</v>
      </c>
      <c r="B33" s="1" t="s">
        <v>576</v>
      </c>
      <c r="C33" s="1" t="s">
        <v>6888</v>
      </c>
      <c r="D33" s="1" t="s">
        <v>6889</v>
      </c>
      <c r="E33" s="1">
        <v>38.07</v>
      </c>
      <c r="F33" s="1" t="s">
        <v>8</v>
      </c>
      <c r="G33" s="1" t="s">
        <v>10</v>
      </c>
    </row>
    <row r="34" spans="1:7" x14ac:dyDescent="0.3">
      <c r="A34" s="1">
        <v>472</v>
      </c>
      <c r="B34" s="1" t="s">
        <v>576</v>
      </c>
      <c r="C34" s="1" t="s">
        <v>731</v>
      </c>
      <c r="D34" s="1" t="s">
        <v>732</v>
      </c>
      <c r="E34" s="1">
        <v>37.020000000000003</v>
      </c>
      <c r="F34" s="1" t="s">
        <v>8</v>
      </c>
      <c r="G34" s="1" t="s">
        <v>10</v>
      </c>
    </row>
    <row r="35" spans="1:7" x14ac:dyDescent="0.3">
      <c r="A35" s="1">
        <v>472</v>
      </c>
      <c r="B35" s="1" t="s">
        <v>576</v>
      </c>
      <c r="C35" s="1" t="s">
        <v>6890</v>
      </c>
      <c r="D35" s="1" t="s">
        <v>6891</v>
      </c>
      <c r="E35" s="1">
        <v>13.5</v>
      </c>
      <c r="F35" s="1" t="s">
        <v>8</v>
      </c>
      <c r="G35" s="1" t="s">
        <v>10</v>
      </c>
    </row>
    <row r="36" spans="1:7" x14ac:dyDescent="0.3">
      <c r="A36" s="1">
        <v>472</v>
      </c>
      <c r="B36" s="1" t="s">
        <v>576</v>
      </c>
      <c r="C36" s="1" t="s">
        <v>765</v>
      </c>
      <c r="D36" s="1" t="s">
        <v>766</v>
      </c>
      <c r="E36" s="1">
        <v>64.62</v>
      </c>
      <c r="F36" s="1" t="s">
        <v>8</v>
      </c>
      <c r="G36" s="1" t="s">
        <v>10</v>
      </c>
    </row>
    <row r="37" spans="1:7" x14ac:dyDescent="0.3">
      <c r="A37" s="1">
        <v>472</v>
      </c>
      <c r="B37" s="1" t="s">
        <v>576</v>
      </c>
      <c r="C37" s="1" t="s">
        <v>771</v>
      </c>
      <c r="D37" s="1" t="s">
        <v>772</v>
      </c>
      <c r="E37" s="1">
        <v>4.5</v>
      </c>
      <c r="F37" s="1" t="s">
        <v>8</v>
      </c>
      <c r="G37" s="1" t="s">
        <v>10</v>
      </c>
    </row>
    <row r="38" spans="1:7" x14ac:dyDescent="0.3">
      <c r="A38" s="1">
        <v>472</v>
      </c>
      <c r="B38" s="1" t="s">
        <v>576</v>
      </c>
      <c r="C38" s="1" t="s">
        <v>775</v>
      </c>
      <c r="D38" s="1" t="s">
        <v>776</v>
      </c>
      <c r="E38" s="1">
        <v>38.6</v>
      </c>
      <c r="F38" s="1" t="s">
        <v>8</v>
      </c>
      <c r="G38" s="1" t="s">
        <v>10</v>
      </c>
    </row>
    <row r="39" spans="1:7" x14ac:dyDescent="0.3">
      <c r="A39" s="1">
        <v>472</v>
      </c>
      <c r="B39" s="1" t="s">
        <v>576</v>
      </c>
      <c r="C39" s="1" t="s">
        <v>6892</v>
      </c>
      <c r="D39" s="1" t="s">
        <v>6893</v>
      </c>
      <c r="E39" s="1">
        <v>317.5</v>
      </c>
      <c r="F39" s="1" t="s">
        <v>8</v>
      </c>
      <c r="G39" s="1" t="s">
        <v>10</v>
      </c>
    </row>
    <row r="40" spans="1:7" x14ac:dyDescent="0.3">
      <c r="A40" s="1">
        <v>472</v>
      </c>
      <c r="B40" s="1" t="s">
        <v>576</v>
      </c>
      <c r="C40" s="1" t="s">
        <v>6894</v>
      </c>
      <c r="D40" s="1" t="s">
        <v>6895</v>
      </c>
      <c r="E40" s="1">
        <v>62.8</v>
      </c>
      <c r="F40" s="1" t="s">
        <v>8</v>
      </c>
      <c r="G40" s="1" t="s">
        <v>10</v>
      </c>
    </row>
    <row r="41" spans="1:7" x14ac:dyDescent="0.3">
      <c r="A41" s="1">
        <v>472</v>
      </c>
      <c r="B41" s="1" t="s">
        <v>576</v>
      </c>
      <c r="C41" s="1" t="s">
        <v>6896</v>
      </c>
      <c r="D41" s="1" t="s">
        <v>6897</v>
      </c>
      <c r="E41" s="1">
        <v>139.5</v>
      </c>
      <c r="F41" s="1" t="s">
        <v>8</v>
      </c>
      <c r="G41" s="1" t="s">
        <v>10</v>
      </c>
    </row>
    <row r="42" spans="1:7" x14ac:dyDescent="0.3">
      <c r="A42" s="1">
        <v>472</v>
      </c>
      <c r="B42" s="1" t="s">
        <v>576</v>
      </c>
      <c r="C42" s="1" t="s">
        <v>1297</v>
      </c>
      <c r="D42" s="1" t="s">
        <v>1298</v>
      </c>
      <c r="E42" s="1">
        <v>71.28</v>
      </c>
      <c r="F42" s="1" t="s">
        <v>8</v>
      </c>
      <c r="G42" s="1" t="s">
        <v>10</v>
      </c>
    </row>
    <row r="43" spans="1:7" x14ac:dyDescent="0.3">
      <c r="A43" s="1">
        <v>472</v>
      </c>
      <c r="B43" s="1" t="s">
        <v>576</v>
      </c>
      <c r="C43" s="1" t="s">
        <v>6898</v>
      </c>
      <c r="D43" s="1" t="s">
        <v>6899</v>
      </c>
      <c r="E43" s="1">
        <v>80.91</v>
      </c>
      <c r="F43" s="1" t="s">
        <v>8</v>
      </c>
      <c r="G43" s="1" t="s">
        <v>10</v>
      </c>
    </row>
    <row r="44" spans="1:7" x14ac:dyDescent="0.3">
      <c r="A44" s="1">
        <v>482</v>
      </c>
      <c r="B44" s="1" t="s">
        <v>672</v>
      </c>
      <c r="C44" s="1" t="s">
        <v>6900</v>
      </c>
      <c r="D44" s="1" t="s">
        <v>6901</v>
      </c>
      <c r="E44" s="1">
        <v>289.89999999999998</v>
      </c>
      <c r="F44" s="1" t="s">
        <v>8</v>
      </c>
      <c r="G44" s="1" t="s">
        <v>10</v>
      </c>
    </row>
    <row r="45" spans="1:7" x14ac:dyDescent="0.3">
      <c r="A45" s="1">
        <v>482</v>
      </c>
      <c r="B45" s="1" t="s">
        <v>672</v>
      </c>
      <c r="C45" s="1" t="s">
        <v>992</v>
      </c>
      <c r="D45" s="1" t="s">
        <v>993</v>
      </c>
      <c r="E45" s="1">
        <v>38.82</v>
      </c>
      <c r="F45" s="1" t="s">
        <v>8</v>
      </c>
      <c r="G45" s="1" t="s">
        <v>10</v>
      </c>
    </row>
    <row r="46" spans="1:7" x14ac:dyDescent="0.3">
      <c r="A46" s="1">
        <v>482</v>
      </c>
      <c r="B46" s="1" t="s">
        <v>672</v>
      </c>
      <c r="C46" s="1" t="s">
        <v>6902</v>
      </c>
      <c r="D46" s="1" t="s">
        <v>6903</v>
      </c>
      <c r="E46" s="1">
        <v>269.89999999999998</v>
      </c>
      <c r="F46" s="1" t="s">
        <v>8</v>
      </c>
      <c r="G46" s="1" t="s">
        <v>10</v>
      </c>
    </row>
    <row r="47" spans="1:7" x14ac:dyDescent="0.3">
      <c r="A47" s="1">
        <v>482</v>
      </c>
      <c r="B47" s="1" t="s">
        <v>672</v>
      </c>
      <c r="C47" s="1" t="s">
        <v>6904</v>
      </c>
      <c r="D47" s="1" t="s">
        <v>6905</v>
      </c>
      <c r="E47" s="1">
        <v>259.89999999999998</v>
      </c>
      <c r="F47" s="1" t="s">
        <v>8</v>
      </c>
      <c r="G47" s="1" t="s">
        <v>10</v>
      </c>
    </row>
    <row r="48" spans="1:7" x14ac:dyDescent="0.3">
      <c r="A48" s="1">
        <v>482</v>
      </c>
      <c r="B48" s="1" t="s">
        <v>672</v>
      </c>
      <c r="C48" s="1" t="s">
        <v>6906</v>
      </c>
      <c r="D48" s="1" t="s">
        <v>6907</v>
      </c>
      <c r="E48" s="1">
        <v>282.54000000000002</v>
      </c>
      <c r="F48" s="1" t="s">
        <v>8</v>
      </c>
      <c r="G48" s="1" t="s">
        <v>10</v>
      </c>
    </row>
    <row r="49" spans="1:7" x14ac:dyDescent="0.3">
      <c r="A49" s="1">
        <v>482</v>
      </c>
      <c r="B49" s="1" t="s">
        <v>672</v>
      </c>
      <c r="C49" s="1" t="s">
        <v>6908</v>
      </c>
      <c r="D49" s="1" t="s">
        <v>6909</v>
      </c>
      <c r="E49" s="1">
        <v>174.8</v>
      </c>
      <c r="F49" s="1" t="s">
        <v>8</v>
      </c>
      <c r="G49" s="1" t="s">
        <v>10</v>
      </c>
    </row>
    <row r="50" spans="1:7" x14ac:dyDescent="0.3">
      <c r="A50" s="1">
        <v>482</v>
      </c>
      <c r="B50" s="1" t="s">
        <v>672</v>
      </c>
      <c r="C50" s="1" t="s">
        <v>6910</v>
      </c>
      <c r="D50" s="1" t="s">
        <v>6911</v>
      </c>
      <c r="E50" s="1">
        <v>249.9</v>
      </c>
      <c r="F50" s="1" t="s">
        <v>8</v>
      </c>
      <c r="G50" s="1" t="s">
        <v>10</v>
      </c>
    </row>
    <row r="51" spans="1:7" x14ac:dyDescent="0.3">
      <c r="A51" s="1">
        <v>482</v>
      </c>
      <c r="B51" s="1" t="s">
        <v>672</v>
      </c>
      <c r="C51" s="1" t="s">
        <v>6912</v>
      </c>
      <c r="D51" s="1" t="s">
        <v>6913</v>
      </c>
      <c r="E51" s="1">
        <v>171.77</v>
      </c>
      <c r="F51" s="1" t="s">
        <v>8</v>
      </c>
      <c r="G51" s="1" t="s">
        <v>10</v>
      </c>
    </row>
    <row r="52" spans="1:7" x14ac:dyDescent="0.3">
      <c r="A52" s="1">
        <v>482</v>
      </c>
      <c r="B52" s="1" t="s">
        <v>672</v>
      </c>
      <c r="C52" s="1" t="s">
        <v>820</v>
      </c>
      <c r="D52" s="1" t="s">
        <v>821</v>
      </c>
      <c r="E52" s="1">
        <v>434.71</v>
      </c>
      <c r="F52" s="1" t="s">
        <v>8</v>
      </c>
      <c r="G52" s="1" t="s">
        <v>10</v>
      </c>
    </row>
    <row r="53" spans="1:7" x14ac:dyDescent="0.3">
      <c r="A53" s="1">
        <v>482</v>
      </c>
      <c r="B53" s="1" t="s">
        <v>672</v>
      </c>
      <c r="C53" s="1" t="s">
        <v>996</v>
      </c>
      <c r="D53" s="1" t="s">
        <v>997</v>
      </c>
      <c r="E53" s="1">
        <v>2439.3200000000002</v>
      </c>
      <c r="F53" s="1" t="s">
        <v>8</v>
      </c>
      <c r="G53" s="1" t="s">
        <v>10</v>
      </c>
    </row>
    <row r="54" spans="1:7" x14ac:dyDescent="0.3">
      <c r="A54" s="1">
        <v>482</v>
      </c>
      <c r="B54" s="1" t="s">
        <v>672</v>
      </c>
      <c r="C54" s="1" t="s">
        <v>6914</v>
      </c>
      <c r="D54" s="1" t="s">
        <v>6915</v>
      </c>
      <c r="E54" s="1">
        <v>269.8</v>
      </c>
      <c r="F54" s="1" t="s">
        <v>8</v>
      </c>
      <c r="G54" s="1" t="s">
        <v>10</v>
      </c>
    </row>
    <row r="55" spans="1:7" x14ac:dyDescent="0.3">
      <c r="A55" s="1">
        <v>482</v>
      </c>
      <c r="B55" s="1" t="s">
        <v>672</v>
      </c>
      <c r="C55" s="1" t="s">
        <v>6916</v>
      </c>
      <c r="D55" s="1" t="s">
        <v>6917</v>
      </c>
      <c r="E55" s="1">
        <v>241.53</v>
      </c>
      <c r="F55" s="1" t="s">
        <v>8</v>
      </c>
      <c r="G55" s="1" t="s">
        <v>10</v>
      </c>
    </row>
    <row r="56" spans="1:7" x14ac:dyDescent="0.3">
      <c r="A56" s="1">
        <v>482</v>
      </c>
      <c r="B56" s="1" t="s">
        <v>672</v>
      </c>
      <c r="C56" s="1" t="s">
        <v>6918</v>
      </c>
      <c r="D56" s="1" t="s">
        <v>6919</v>
      </c>
      <c r="E56" s="1">
        <v>111.53</v>
      </c>
      <c r="F56" s="1" t="s">
        <v>8</v>
      </c>
      <c r="G56" s="1" t="s">
        <v>10</v>
      </c>
    </row>
    <row r="57" spans="1:7" x14ac:dyDescent="0.3">
      <c r="A57" s="1">
        <v>482</v>
      </c>
      <c r="B57" s="1" t="s">
        <v>672</v>
      </c>
      <c r="C57" s="1" t="s">
        <v>6920</v>
      </c>
      <c r="D57" s="1" t="s">
        <v>6921</v>
      </c>
      <c r="E57" s="1">
        <v>391.8</v>
      </c>
      <c r="F57" s="1" t="s">
        <v>8</v>
      </c>
      <c r="G57" s="1" t="s">
        <v>10</v>
      </c>
    </row>
    <row r="58" spans="1:7" x14ac:dyDescent="0.3">
      <c r="A58" s="1">
        <v>482</v>
      </c>
      <c r="B58" s="1" t="s">
        <v>672</v>
      </c>
      <c r="C58" s="1" t="s">
        <v>6922</v>
      </c>
      <c r="D58" s="1" t="s">
        <v>6923</v>
      </c>
      <c r="E58" s="1">
        <v>79.900000000000006</v>
      </c>
      <c r="F58" s="1" t="s">
        <v>8</v>
      </c>
      <c r="G58" s="1" t="s">
        <v>10</v>
      </c>
    </row>
    <row r="59" spans="1:7" x14ac:dyDescent="0.3">
      <c r="A59" s="1">
        <v>482</v>
      </c>
      <c r="B59" s="1" t="s">
        <v>672</v>
      </c>
      <c r="C59" s="1" t="s">
        <v>6924</v>
      </c>
      <c r="D59" s="1" t="s">
        <v>6925</v>
      </c>
      <c r="E59" s="1">
        <v>94.9</v>
      </c>
      <c r="F59" s="1" t="s">
        <v>8</v>
      </c>
      <c r="G59" s="1" t="s">
        <v>10</v>
      </c>
    </row>
    <row r="60" spans="1:7" x14ac:dyDescent="0.3">
      <c r="A60" s="1">
        <v>482</v>
      </c>
      <c r="B60" s="1" t="s">
        <v>672</v>
      </c>
      <c r="C60" s="1" t="s">
        <v>6926</v>
      </c>
      <c r="D60" s="1" t="s">
        <v>6927</v>
      </c>
      <c r="E60" s="1">
        <v>175.46</v>
      </c>
      <c r="F60" s="1" t="s">
        <v>8</v>
      </c>
      <c r="G60" s="1" t="s">
        <v>10</v>
      </c>
    </row>
    <row r="61" spans="1:7" x14ac:dyDescent="0.3">
      <c r="A61" s="1">
        <v>482</v>
      </c>
      <c r="B61" s="1" t="s">
        <v>672</v>
      </c>
      <c r="C61" s="1" t="s">
        <v>6928</v>
      </c>
      <c r="D61" s="1" t="s">
        <v>6929</v>
      </c>
      <c r="E61" s="1">
        <v>289.89999999999998</v>
      </c>
      <c r="F61" s="1" t="s">
        <v>8</v>
      </c>
      <c r="G61" s="1" t="s">
        <v>10</v>
      </c>
    </row>
    <row r="62" spans="1:7" x14ac:dyDescent="0.3">
      <c r="A62" s="1">
        <v>482</v>
      </c>
      <c r="B62" s="1" t="s">
        <v>672</v>
      </c>
      <c r="C62" s="1" t="s">
        <v>6930</v>
      </c>
      <c r="D62" s="1" t="s">
        <v>6931</v>
      </c>
      <c r="E62" s="1">
        <v>279.89999999999998</v>
      </c>
      <c r="F62" s="1" t="s">
        <v>8</v>
      </c>
      <c r="G62" s="1" t="s">
        <v>10</v>
      </c>
    </row>
    <row r="63" spans="1:7" x14ac:dyDescent="0.3">
      <c r="A63" s="1">
        <v>482</v>
      </c>
      <c r="B63" s="1" t="s">
        <v>672</v>
      </c>
      <c r="C63" s="1" t="s">
        <v>6932</v>
      </c>
      <c r="D63" s="1" t="s">
        <v>6933</v>
      </c>
      <c r="E63" s="1">
        <v>259.89999999999998</v>
      </c>
      <c r="F63" s="1" t="s">
        <v>8</v>
      </c>
      <c r="G63" s="1" t="s">
        <v>10</v>
      </c>
    </row>
    <row r="64" spans="1:7" x14ac:dyDescent="0.3">
      <c r="A64" s="1">
        <v>482</v>
      </c>
      <c r="B64" s="1" t="s">
        <v>672</v>
      </c>
      <c r="C64" s="1" t="s">
        <v>6934</v>
      </c>
      <c r="D64" s="1" t="s">
        <v>6935</v>
      </c>
      <c r="E64" s="1">
        <v>259.89999999999998</v>
      </c>
      <c r="F64" s="1" t="s">
        <v>8</v>
      </c>
      <c r="G64" s="1" t="s">
        <v>10</v>
      </c>
    </row>
    <row r="65" spans="1:7" x14ac:dyDescent="0.3">
      <c r="A65" s="1">
        <v>482</v>
      </c>
      <c r="B65" s="1" t="s">
        <v>672</v>
      </c>
      <c r="C65" s="1" t="s">
        <v>6936</v>
      </c>
      <c r="D65" s="1" t="s">
        <v>6937</v>
      </c>
      <c r="E65" s="1">
        <v>639.80999999999995</v>
      </c>
      <c r="F65" s="1" t="s">
        <v>8</v>
      </c>
      <c r="G65" s="1" t="s">
        <v>10</v>
      </c>
    </row>
    <row r="66" spans="1:7" x14ac:dyDescent="0.3">
      <c r="A66" s="1">
        <v>482</v>
      </c>
      <c r="B66" s="1" t="s">
        <v>672</v>
      </c>
      <c r="C66" s="1" t="s">
        <v>6938</v>
      </c>
      <c r="D66" s="1" t="s">
        <v>6939</v>
      </c>
      <c r="E66" s="1">
        <v>271.89999999999998</v>
      </c>
      <c r="F66" s="1" t="s">
        <v>8</v>
      </c>
      <c r="G66" s="1" t="s">
        <v>10</v>
      </c>
    </row>
    <row r="67" spans="1:7" x14ac:dyDescent="0.3">
      <c r="A67" s="1">
        <v>482</v>
      </c>
      <c r="B67" s="1" t="s">
        <v>672</v>
      </c>
      <c r="C67" s="1" t="s">
        <v>6940</v>
      </c>
      <c r="D67" s="1" t="s">
        <v>6941</v>
      </c>
      <c r="E67" s="1">
        <v>223.91</v>
      </c>
      <c r="F67" s="1" t="s">
        <v>8</v>
      </c>
      <c r="G67" s="1" t="s">
        <v>10</v>
      </c>
    </row>
    <row r="68" spans="1:7" x14ac:dyDescent="0.3">
      <c r="A68" s="1">
        <v>482</v>
      </c>
      <c r="B68" s="1" t="s">
        <v>672</v>
      </c>
      <c r="C68" s="1" t="s">
        <v>6942</v>
      </c>
      <c r="D68" s="1" t="s">
        <v>6943</v>
      </c>
      <c r="E68" s="1">
        <v>374.8</v>
      </c>
      <c r="F68" s="1" t="s">
        <v>8</v>
      </c>
      <c r="G68" s="1" t="s">
        <v>10</v>
      </c>
    </row>
    <row r="69" spans="1:7" x14ac:dyDescent="0.3">
      <c r="A69" s="1">
        <v>482</v>
      </c>
      <c r="B69" s="1" t="s">
        <v>672</v>
      </c>
      <c r="C69" s="1" t="s">
        <v>6944</v>
      </c>
      <c r="D69" s="1" t="s">
        <v>6945</v>
      </c>
      <c r="E69" s="1">
        <v>64.95</v>
      </c>
      <c r="F69" s="1" t="s">
        <v>8</v>
      </c>
      <c r="G69" s="1" t="s">
        <v>10</v>
      </c>
    </row>
    <row r="70" spans="1:7" x14ac:dyDescent="0.3">
      <c r="A70" s="1">
        <v>482</v>
      </c>
      <c r="B70" s="1" t="s">
        <v>672</v>
      </c>
      <c r="C70" s="1" t="s">
        <v>6946</v>
      </c>
      <c r="D70" s="1" t="s">
        <v>6947</v>
      </c>
      <c r="E70" s="1">
        <v>259.89999999999998</v>
      </c>
      <c r="F70" s="1" t="s">
        <v>8</v>
      </c>
      <c r="G70" s="1" t="s">
        <v>10</v>
      </c>
    </row>
    <row r="71" spans="1:7" x14ac:dyDescent="0.3">
      <c r="A71" s="1">
        <v>482</v>
      </c>
      <c r="B71" s="1" t="s">
        <v>672</v>
      </c>
      <c r="C71" s="1" t="s">
        <v>6948</v>
      </c>
      <c r="D71" s="1" t="s">
        <v>6949</v>
      </c>
      <c r="E71" s="1">
        <v>239.9</v>
      </c>
      <c r="F71" s="1" t="s">
        <v>8</v>
      </c>
      <c r="G71" s="1" t="s">
        <v>10</v>
      </c>
    </row>
    <row r="72" spans="1:7" x14ac:dyDescent="0.3">
      <c r="A72" s="1">
        <v>482</v>
      </c>
      <c r="B72" s="1" t="s">
        <v>672</v>
      </c>
      <c r="C72" s="1" t="s">
        <v>6950</v>
      </c>
      <c r="D72" s="1" t="s">
        <v>6951</v>
      </c>
      <c r="E72" s="1">
        <v>251.82</v>
      </c>
      <c r="F72" s="1" t="s">
        <v>8</v>
      </c>
      <c r="G72" s="1" t="s">
        <v>10</v>
      </c>
    </row>
    <row r="73" spans="1:7" x14ac:dyDescent="0.3">
      <c r="A73" s="1">
        <v>482</v>
      </c>
      <c r="B73" s="1" t="s">
        <v>672</v>
      </c>
      <c r="C73" s="1" t="s">
        <v>6952</v>
      </c>
      <c r="D73" s="1" t="s">
        <v>6953</v>
      </c>
      <c r="E73" s="1">
        <v>1</v>
      </c>
      <c r="F73" s="1" t="s">
        <v>8</v>
      </c>
      <c r="G73" s="1" t="s">
        <v>10</v>
      </c>
    </row>
    <row r="74" spans="1:7" x14ac:dyDescent="0.3">
      <c r="A74" s="1">
        <v>482</v>
      </c>
      <c r="B74" s="1" t="s">
        <v>672</v>
      </c>
      <c r="C74" s="1" t="s">
        <v>6954</v>
      </c>
      <c r="D74" s="1" t="s">
        <v>6955</v>
      </c>
      <c r="E74" s="1">
        <v>169.9</v>
      </c>
      <c r="F74" s="1" t="s">
        <v>8</v>
      </c>
      <c r="G74" s="1" t="s">
        <v>10</v>
      </c>
    </row>
    <row r="75" spans="1:7" x14ac:dyDescent="0.3">
      <c r="A75" s="1">
        <v>482</v>
      </c>
      <c r="B75" s="1" t="s">
        <v>672</v>
      </c>
      <c r="C75" s="1" t="s">
        <v>6956</v>
      </c>
      <c r="D75" s="1" t="s">
        <v>6957</v>
      </c>
      <c r="E75" s="1">
        <v>305.91000000000003</v>
      </c>
      <c r="F75" s="1" t="s">
        <v>8</v>
      </c>
      <c r="G75" s="1" t="s">
        <v>10</v>
      </c>
    </row>
    <row r="76" spans="1:7" x14ac:dyDescent="0.3">
      <c r="A76" s="1">
        <v>482</v>
      </c>
      <c r="B76" s="1" t="s">
        <v>672</v>
      </c>
      <c r="C76" s="1" t="s">
        <v>1074</v>
      </c>
      <c r="D76" s="1" t="s">
        <v>1075</v>
      </c>
      <c r="E76" s="1">
        <v>94.9</v>
      </c>
      <c r="F76" s="1" t="s">
        <v>8</v>
      </c>
      <c r="G76" s="1" t="s">
        <v>10</v>
      </c>
    </row>
    <row r="77" spans="1:7" x14ac:dyDescent="0.3">
      <c r="A77" s="1">
        <v>482</v>
      </c>
      <c r="B77" s="1" t="s">
        <v>672</v>
      </c>
      <c r="C77" s="1" t="s">
        <v>546</v>
      </c>
      <c r="D77" s="1" t="s">
        <v>547</v>
      </c>
      <c r="E77" s="1">
        <v>20.64</v>
      </c>
      <c r="F77" s="1" t="s">
        <v>8</v>
      </c>
      <c r="G77" s="1" t="s">
        <v>10</v>
      </c>
    </row>
    <row r="78" spans="1:7" x14ac:dyDescent="0.3">
      <c r="A78" s="1">
        <v>482</v>
      </c>
      <c r="B78" s="1" t="s">
        <v>672</v>
      </c>
      <c r="C78" s="1" t="s">
        <v>6958</v>
      </c>
      <c r="D78" s="1" t="s">
        <v>6959</v>
      </c>
      <c r="E78" s="1">
        <v>519.80999999999995</v>
      </c>
      <c r="F78" s="1" t="s">
        <v>8</v>
      </c>
      <c r="G78" s="1" t="s">
        <v>10</v>
      </c>
    </row>
    <row r="79" spans="1:7" x14ac:dyDescent="0.3">
      <c r="A79" s="1">
        <v>482</v>
      </c>
      <c r="B79" s="1" t="s">
        <v>672</v>
      </c>
      <c r="C79" s="1" t="s">
        <v>6960</v>
      </c>
      <c r="D79" s="1" t="s">
        <v>6961</v>
      </c>
      <c r="E79" s="1">
        <v>659.71</v>
      </c>
      <c r="F79" s="1" t="s">
        <v>8</v>
      </c>
      <c r="G79" s="1" t="s">
        <v>10</v>
      </c>
    </row>
    <row r="80" spans="1:7" x14ac:dyDescent="0.3">
      <c r="A80" s="1">
        <v>482</v>
      </c>
      <c r="B80" s="1" t="s">
        <v>672</v>
      </c>
      <c r="C80" s="1" t="s">
        <v>6962</v>
      </c>
      <c r="D80" s="1" t="s">
        <v>6963</v>
      </c>
      <c r="E80" s="1">
        <v>259.89999999999998</v>
      </c>
      <c r="F80" s="1" t="s">
        <v>8</v>
      </c>
      <c r="G80" s="1" t="s">
        <v>10</v>
      </c>
    </row>
    <row r="81" spans="1:7" x14ac:dyDescent="0.3">
      <c r="A81" s="1">
        <v>482</v>
      </c>
      <c r="B81" s="1" t="s">
        <v>672</v>
      </c>
      <c r="C81" s="1" t="s">
        <v>6964</v>
      </c>
      <c r="D81" s="1" t="s">
        <v>6965</v>
      </c>
      <c r="E81" s="1">
        <v>289.89999999999998</v>
      </c>
      <c r="F81" s="1" t="s">
        <v>8</v>
      </c>
      <c r="G81" s="1" t="s">
        <v>10</v>
      </c>
    </row>
    <row r="82" spans="1:7" x14ac:dyDescent="0.3">
      <c r="A82" s="1">
        <v>482</v>
      </c>
      <c r="B82" s="1" t="s">
        <v>672</v>
      </c>
      <c r="C82" s="1" t="s">
        <v>6966</v>
      </c>
      <c r="D82" s="1" t="s">
        <v>6967</v>
      </c>
      <c r="E82" s="1">
        <v>199.9</v>
      </c>
      <c r="F82" s="1" t="s">
        <v>8</v>
      </c>
      <c r="G82" s="1" t="s">
        <v>10</v>
      </c>
    </row>
    <row r="83" spans="1:7" x14ac:dyDescent="0.3">
      <c r="A83" s="1">
        <v>482</v>
      </c>
      <c r="B83" s="1" t="s">
        <v>672</v>
      </c>
      <c r="C83" s="1" t="s">
        <v>6968</v>
      </c>
      <c r="D83" s="1" t="s">
        <v>6969</v>
      </c>
      <c r="E83" s="1">
        <v>258.45</v>
      </c>
      <c r="F83" s="1" t="s">
        <v>8</v>
      </c>
      <c r="G83" s="1" t="s">
        <v>10</v>
      </c>
    </row>
    <row r="84" spans="1:7" x14ac:dyDescent="0.3">
      <c r="A84" s="1">
        <v>482</v>
      </c>
      <c r="B84" s="1" t="s">
        <v>672</v>
      </c>
      <c r="C84" s="1" t="s">
        <v>6970</v>
      </c>
      <c r="D84" s="1" t="s">
        <v>6971</v>
      </c>
      <c r="E84" s="1">
        <v>259.89999999999998</v>
      </c>
      <c r="F84" s="1" t="s">
        <v>8</v>
      </c>
      <c r="G84" s="1" t="s">
        <v>10</v>
      </c>
    </row>
    <row r="85" spans="1:7" x14ac:dyDescent="0.3">
      <c r="A85" s="1">
        <v>482</v>
      </c>
      <c r="B85" s="1" t="s">
        <v>672</v>
      </c>
      <c r="C85" s="1" t="s">
        <v>6972</v>
      </c>
      <c r="D85" s="1" t="s">
        <v>6973</v>
      </c>
      <c r="E85" s="1">
        <v>79.900000000000006</v>
      </c>
      <c r="F85" s="1" t="s">
        <v>8</v>
      </c>
      <c r="G85" s="1" t="s">
        <v>10</v>
      </c>
    </row>
    <row r="86" spans="1:7" x14ac:dyDescent="0.3">
      <c r="A86" s="1">
        <v>482</v>
      </c>
      <c r="B86" s="1" t="s">
        <v>672</v>
      </c>
      <c r="C86" s="1" t="s">
        <v>6974</v>
      </c>
      <c r="D86" s="1" t="s">
        <v>6975</v>
      </c>
      <c r="E86" s="1">
        <v>289.89999999999998</v>
      </c>
      <c r="F86" s="1" t="s">
        <v>8</v>
      </c>
      <c r="G86" s="1" t="s">
        <v>10</v>
      </c>
    </row>
    <row r="87" spans="1:7" x14ac:dyDescent="0.3">
      <c r="A87" s="1">
        <v>482</v>
      </c>
      <c r="B87" s="1" t="s">
        <v>672</v>
      </c>
      <c r="C87" s="1" t="s">
        <v>6976</v>
      </c>
      <c r="D87" s="1" t="s">
        <v>6977</v>
      </c>
      <c r="E87" s="1">
        <v>379.8</v>
      </c>
      <c r="F87" s="1" t="s">
        <v>8</v>
      </c>
      <c r="G87" s="1" t="s">
        <v>10</v>
      </c>
    </row>
    <row r="88" spans="1:7" x14ac:dyDescent="0.3">
      <c r="A88" s="1">
        <v>482</v>
      </c>
      <c r="B88" s="1" t="s">
        <v>672</v>
      </c>
      <c r="C88" s="1" t="s">
        <v>6978</v>
      </c>
      <c r="D88" s="1" t="s">
        <v>6979</v>
      </c>
      <c r="E88" s="1">
        <v>959.5</v>
      </c>
      <c r="F88" s="1" t="s">
        <v>8</v>
      </c>
      <c r="G88" s="1" t="s">
        <v>10</v>
      </c>
    </row>
    <row r="89" spans="1:7" x14ac:dyDescent="0.3">
      <c r="A89" s="1">
        <v>482</v>
      </c>
      <c r="B89" s="1" t="s">
        <v>672</v>
      </c>
      <c r="C89" s="1" t="s">
        <v>822</v>
      </c>
      <c r="D89" s="1" t="s">
        <v>823</v>
      </c>
      <c r="E89" s="1">
        <v>35.94</v>
      </c>
      <c r="F89" s="1" t="s">
        <v>8</v>
      </c>
      <c r="G89" s="1" t="s">
        <v>10</v>
      </c>
    </row>
    <row r="90" spans="1:7" x14ac:dyDescent="0.3">
      <c r="A90" s="1">
        <v>482</v>
      </c>
      <c r="B90" s="1" t="s">
        <v>672</v>
      </c>
      <c r="C90" s="1" t="s">
        <v>6980</v>
      </c>
      <c r="D90" s="1" t="s">
        <v>6981</v>
      </c>
      <c r="E90" s="1">
        <v>149.9</v>
      </c>
      <c r="F90" s="1" t="s">
        <v>8</v>
      </c>
      <c r="G90" s="1" t="s">
        <v>10</v>
      </c>
    </row>
    <row r="91" spans="1:7" x14ac:dyDescent="0.3">
      <c r="A91" s="1">
        <v>482</v>
      </c>
      <c r="B91" s="1" t="s">
        <v>672</v>
      </c>
      <c r="C91" s="1" t="s">
        <v>6982</v>
      </c>
      <c r="D91" s="1" t="s">
        <v>6983</v>
      </c>
      <c r="E91" s="1">
        <v>530.91</v>
      </c>
      <c r="F91" s="1" t="s">
        <v>8</v>
      </c>
      <c r="G91" s="1" t="s">
        <v>10</v>
      </c>
    </row>
    <row r="92" spans="1:7" x14ac:dyDescent="0.3">
      <c r="A92" s="1">
        <v>482</v>
      </c>
      <c r="B92" s="1" t="s">
        <v>672</v>
      </c>
      <c r="C92" s="1" t="s">
        <v>6984</v>
      </c>
      <c r="D92" s="1" t="s">
        <v>6985</v>
      </c>
      <c r="E92" s="1">
        <v>129.9</v>
      </c>
      <c r="F92" s="1" t="s">
        <v>8</v>
      </c>
      <c r="G92" s="1" t="s">
        <v>10</v>
      </c>
    </row>
    <row r="93" spans="1:7" x14ac:dyDescent="0.3">
      <c r="A93" s="1">
        <v>482</v>
      </c>
      <c r="B93" s="1" t="s">
        <v>672</v>
      </c>
      <c r="C93" s="1" t="s">
        <v>6986</v>
      </c>
      <c r="D93" s="1" t="s">
        <v>6987</v>
      </c>
      <c r="E93" s="1">
        <v>304.89999999999998</v>
      </c>
      <c r="F93" s="1" t="s">
        <v>8</v>
      </c>
      <c r="G93" s="1" t="s">
        <v>10</v>
      </c>
    </row>
    <row r="94" spans="1:7" x14ac:dyDescent="0.3">
      <c r="A94" s="1">
        <v>482</v>
      </c>
      <c r="B94" s="1" t="s">
        <v>672</v>
      </c>
      <c r="C94" s="1" t="s">
        <v>6988</v>
      </c>
      <c r="D94" s="1" t="s">
        <v>6989</v>
      </c>
      <c r="E94" s="1">
        <v>0.01</v>
      </c>
      <c r="F94" s="1" t="s">
        <v>8</v>
      </c>
      <c r="G94" s="1" t="s">
        <v>10</v>
      </c>
    </row>
    <row r="95" spans="1:7" x14ac:dyDescent="0.3">
      <c r="A95" s="1">
        <v>482</v>
      </c>
      <c r="B95" s="1" t="s">
        <v>672</v>
      </c>
      <c r="C95" s="1" t="s">
        <v>6990</v>
      </c>
      <c r="D95" s="1" t="s">
        <v>6991</v>
      </c>
      <c r="E95" s="1">
        <v>559.80999999999995</v>
      </c>
      <c r="F95" s="1" t="s">
        <v>8</v>
      </c>
      <c r="G95" s="1" t="s">
        <v>10</v>
      </c>
    </row>
    <row r="96" spans="1:7" x14ac:dyDescent="0.3">
      <c r="A96" s="1">
        <v>482</v>
      </c>
      <c r="B96" s="1" t="s">
        <v>672</v>
      </c>
      <c r="C96" s="1" t="s">
        <v>6992</v>
      </c>
      <c r="D96" s="1" t="s">
        <v>6993</v>
      </c>
      <c r="E96" s="1">
        <v>279.89999999999998</v>
      </c>
      <c r="F96" s="1" t="s">
        <v>8</v>
      </c>
      <c r="G96" s="1" t="s">
        <v>10</v>
      </c>
    </row>
    <row r="97" spans="1:7" x14ac:dyDescent="0.3">
      <c r="A97" s="1">
        <v>482</v>
      </c>
      <c r="B97" s="1" t="s">
        <v>672</v>
      </c>
      <c r="C97" s="1" t="s">
        <v>6994</v>
      </c>
      <c r="D97" s="1" t="s">
        <v>6995</v>
      </c>
      <c r="E97" s="1">
        <v>249.9</v>
      </c>
      <c r="F97" s="1" t="s">
        <v>8</v>
      </c>
      <c r="G97" s="1" t="s">
        <v>10</v>
      </c>
    </row>
    <row r="98" spans="1:7" x14ac:dyDescent="0.3">
      <c r="A98" s="1">
        <v>482</v>
      </c>
      <c r="B98" s="1" t="s">
        <v>672</v>
      </c>
      <c r="C98" s="1" t="s">
        <v>6996</v>
      </c>
      <c r="D98" s="1" t="s">
        <v>6997</v>
      </c>
      <c r="E98" s="1">
        <v>159.9</v>
      </c>
      <c r="F98" s="1" t="s">
        <v>8</v>
      </c>
      <c r="G98" s="1" t="s">
        <v>10</v>
      </c>
    </row>
    <row r="99" spans="1:7" x14ac:dyDescent="0.3">
      <c r="A99" s="1">
        <v>482</v>
      </c>
      <c r="B99" s="1" t="s">
        <v>672</v>
      </c>
      <c r="C99" s="1" t="s">
        <v>6998</v>
      </c>
      <c r="D99" s="1" t="s">
        <v>6999</v>
      </c>
      <c r="E99" s="1">
        <v>305.91000000000003</v>
      </c>
      <c r="F99" s="1" t="s">
        <v>8</v>
      </c>
      <c r="G99" s="1" t="s">
        <v>10</v>
      </c>
    </row>
    <row r="100" spans="1:7" x14ac:dyDescent="0.3">
      <c r="A100" s="1">
        <v>482</v>
      </c>
      <c r="B100" s="1" t="s">
        <v>672</v>
      </c>
      <c r="C100" s="1" t="s">
        <v>7000</v>
      </c>
      <c r="D100" s="1" t="s">
        <v>7001</v>
      </c>
      <c r="E100" s="1">
        <v>337.18</v>
      </c>
      <c r="F100" s="1" t="s">
        <v>8</v>
      </c>
      <c r="G100" s="1" t="s">
        <v>10</v>
      </c>
    </row>
    <row r="101" spans="1:7" x14ac:dyDescent="0.3">
      <c r="A101" s="1">
        <v>482</v>
      </c>
      <c r="B101" s="1" t="s">
        <v>672</v>
      </c>
      <c r="C101" s="1" t="s">
        <v>7002</v>
      </c>
      <c r="D101" s="1" t="s">
        <v>7003</v>
      </c>
      <c r="E101" s="1">
        <v>249.9</v>
      </c>
      <c r="F101" s="1" t="s">
        <v>8</v>
      </c>
      <c r="G101" s="1" t="s">
        <v>10</v>
      </c>
    </row>
    <row r="102" spans="1:7" x14ac:dyDescent="0.3">
      <c r="A102" s="1">
        <v>482</v>
      </c>
      <c r="B102" s="1" t="s">
        <v>672</v>
      </c>
      <c r="C102" s="1" t="s">
        <v>7004</v>
      </c>
      <c r="D102" s="1" t="s">
        <v>7005</v>
      </c>
      <c r="E102" s="1">
        <v>335.97</v>
      </c>
      <c r="F102" s="1" t="s">
        <v>8</v>
      </c>
      <c r="G102" s="1" t="s">
        <v>10</v>
      </c>
    </row>
    <row r="103" spans="1:7" x14ac:dyDescent="0.3">
      <c r="A103" s="1">
        <v>482</v>
      </c>
      <c r="B103" s="1" t="s">
        <v>672</v>
      </c>
      <c r="C103" s="1" t="s">
        <v>7006</v>
      </c>
      <c r="D103" s="1" t="s">
        <v>7007</v>
      </c>
      <c r="E103" s="1">
        <v>549.79999999999995</v>
      </c>
      <c r="F103" s="1" t="s">
        <v>8</v>
      </c>
      <c r="G103" s="1" t="s">
        <v>10</v>
      </c>
    </row>
    <row r="104" spans="1:7" x14ac:dyDescent="0.3">
      <c r="A104" s="1">
        <v>482</v>
      </c>
      <c r="B104" s="1" t="s">
        <v>672</v>
      </c>
      <c r="C104" s="1" t="s">
        <v>7008</v>
      </c>
      <c r="D104" s="1" t="s">
        <v>7009</v>
      </c>
      <c r="E104" s="1">
        <v>559.9</v>
      </c>
      <c r="F104" s="1" t="s">
        <v>8</v>
      </c>
      <c r="G104" s="1" t="s">
        <v>10</v>
      </c>
    </row>
    <row r="105" spans="1:7" x14ac:dyDescent="0.3">
      <c r="A105" s="1">
        <v>482</v>
      </c>
      <c r="B105" s="1" t="s">
        <v>672</v>
      </c>
      <c r="C105" s="1" t="s">
        <v>7010</v>
      </c>
      <c r="D105" s="1" t="s">
        <v>7011</v>
      </c>
      <c r="E105" s="1">
        <v>164.9</v>
      </c>
      <c r="F105" s="1" t="s">
        <v>8</v>
      </c>
      <c r="G105" s="1" t="s">
        <v>10</v>
      </c>
    </row>
    <row r="106" spans="1:7" x14ac:dyDescent="0.3">
      <c r="A106" s="1">
        <v>482</v>
      </c>
      <c r="B106" s="1" t="s">
        <v>672</v>
      </c>
      <c r="C106" s="1" t="s">
        <v>7012</v>
      </c>
      <c r="D106" s="1" t="s">
        <v>7013</v>
      </c>
      <c r="E106" s="1">
        <v>86.91</v>
      </c>
      <c r="F106" s="1" t="s">
        <v>8</v>
      </c>
      <c r="G106" s="1" t="s">
        <v>10</v>
      </c>
    </row>
    <row r="107" spans="1:7" x14ac:dyDescent="0.3">
      <c r="A107" s="1">
        <v>482</v>
      </c>
      <c r="B107" s="1" t="s">
        <v>672</v>
      </c>
      <c r="C107" s="1" t="s">
        <v>7014</v>
      </c>
      <c r="D107" s="1" t="s">
        <v>7015</v>
      </c>
      <c r="E107" s="1">
        <v>114.9</v>
      </c>
      <c r="F107" s="1" t="s">
        <v>8</v>
      </c>
      <c r="G107" s="1" t="s">
        <v>10</v>
      </c>
    </row>
    <row r="108" spans="1:7" x14ac:dyDescent="0.3">
      <c r="A108" s="1">
        <v>482</v>
      </c>
      <c r="B108" s="1" t="s">
        <v>672</v>
      </c>
      <c r="C108" s="1" t="s">
        <v>7016</v>
      </c>
      <c r="D108" s="1" t="s">
        <v>7017</v>
      </c>
      <c r="E108" s="1">
        <v>259.89999999999998</v>
      </c>
      <c r="F108" s="1" t="s">
        <v>8</v>
      </c>
      <c r="G108" s="1" t="s">
        <v>10</v>
      </c>
    </row>
    <row r="109" spans="1:7" x14ac:dyDescent="0.3">
      <c r="A109" s="1">
        <v>482</v>
      </c>
      <c r="B109" s="1" t="s">
        <v>672</v>
      </c>
      <c r="C109" s="1" t="s">
        <v>7018</v>
      </c>
      <c r="D109" s="1" t="s">
        <v>7019</v>
      </c>
      <c r="E109" s="1">
        <v>559.80999999999995</v>
      </c>
      <c r="F109" s="1" t="s">
        <v>8</v>
      </c>
      <c r="G109" s="1" t="s">
        <v>10</v>
      </c>
    </row>
    <row r="110" spans="1:7" x14ac:dyDescent="0.3">
      <c r="A110" s="1">
        <v>482</v>
      </c>
      <c r="B110" s="1" t="s">
        <v>672</v>
      </c>
      <c r="C110" s="1" t="s">
        <v>1377</v>
      </c>
      <c r="D110" s="1" t="s">
        <v>7020</v>
      </c>
      <c r="E110" s="1">
        <v>0.01</v>
      </c>
      <c r="F110" s="1" t="s">
        <v>8</v>
      </c>
      <c r="G110" s="1" t="s">
        <v>10</v>
      </c>
    </row>
    <row r="111" spans="1:7" x14ac:dyDescent="0.3">
      <c r="A111" s="1">
        <v>482</v>
      </c>
      <c r="B111" s="1" t="s">
        <v>672</v>
      </c>
      <c r="C111" s="1" t="s">
        <v>7021</v>
      </c>
      <c r="D111" s="1" t="s">
        <v>7022</v>
      </c>
      <c r="E111" s="1">
        <v>333.3</v>
      </c>
      <c r="F111" s="1" t="s">
        <v>8</v>
      </c>
      <c r="G111" s="1" t="s">
        <v>10</v>
      </c>
    </row>
    <row r="112" spans="1:7" x14ac:dyDescent="0.3">
      <c r="A112" s="1">
        <v>482</v>
      </c>
      <c r="B112" s="1" t="s">
        <v>672</v>
      </c>
      <c r="C112" s="1" t="s">
        <v>826</v>
      </c>
      <c r="D112" s="1" t="s">
        <v>827</v>
      </c>
      <c r="E112" s="1">
        <v>63.97</v>
      </c>
      <c r="F112" s="1" t="s">
        <v>8</v>
      </c>
      <c r="G112" s="1" t="s">
        <v>10</v>
      </c>
    </row>
    <row r="113" spans="1:7" x14ac:dyDescent="0.3">
      <c r="A113" s="1">
        <v>482</v>
      </c>
      <c r="B113" s="1" t="s">
        <v>672</v>
      </c>
      <c r="C113" s="1" t="s">
        <v>7023</v>
      </c>
      <c r="D113" s="1" t="s">
        <v>7024</v>
      </c>
      <c r="E113" s="1">
        <v>264.89999999999998</v>
      </c>
      <c r="F113" s="1" t="s">
        <v>8</v>
      </c>
      <c r="G113" s="1" t="s">
        <v>10</v>
      </c>
    </row>
    <row r="114" spans="1:7" x14ac:dyDescent="0.3">
      <c r="A114" s="1">
        <v>482</v>
      </c>
      <c r="B114" s="1" t="s">
        <v>672</v>
      </c>
      <c r="C114" s="1" t="s">
        <v>7025</v>
      </c>
      <c r="D114" s="1" t="s">
        <v>7026</v>
      </c>
      <c r="E114" s="1">
        <v>259.89999999999998</v>
      </c>
      <c r="F114" s="1" t="s">
        <v>8</v>
      </c>
      <c r="G114" s="1" t="s">
        <v>10</v>
      </c>
    </row>
    <row r="115" spans="1:7" x14ac:dyDescent="0.3">
      <c r="A115" s="1">
        <v>482</v>
      </c>
      <c r="B115" s="1" t="s">
        <v>672</v>
      </c>
      <c r="C115" s="1" t="s">
        <v>7027</v>
      </c>
      <c r="D115" s="1" t="s">
        <v>7028</v>
      </c>
      <c r="E115" s="1">
        <v>856.17</v>
      </c>
      <c r="F115" s="1" t="s">
        <v>8</v>
      </c>
      <c r="G115" s="1" t="s">
        <v>10</v>
      </c>
    </row>
    <row r="116" spans="1:7" x14ac:dyDescent="0.3">
      <c r="A116" s="1">
        <v>482</v>
      </c>
      <c r="B116" s="1" t="s">
        <v>672</v>
      </c>
      <c r="C116" s="1" t="s">
        <v>7029</v>
      </c>
      <c r="D116" s="1" t="s">
        <v>7030</v>
      </c>
      <c r="E116" s="1">
        <v>4.5</v>
      </c>
      <c r="F116" s="1" t="s">
        <v>8</v>
      </c>
      <c r="G116" s="1" t="s">
        <v>10</v>
      </c>
    </row>
    <row r="117" spans="1:7" x14ac:dyDescent="0.3">
      <c r="A117" s="1">
        <v>482</v>
      </c>
      <c r="B117" s="1" t="s">
        <v>672</v>
      </c>
      <c r="C117" s="1" t="s">
        <v>7031</v>
      </c>
      <c r="D117" s="1" t="s">
        <v>7032</v>
      </c>
      <c r="E117" s="1">
        <v>154.9</v>
      </c>
      <c r="F117" s="1" t="s">
        <v>8</v>
      </c>
      <c r="G117" s="1" t="s">
        <v>10</v>
      </c>
    </row>
    <row r="118" spans="1:7" x14ac:dyDescent="0.3">
      <c r="A118" s="1">
        <v>482</v>
      </c>
      <c r="B118" s="1" t="s">
        <v>672</v>
      </c>
      <c r="C118" s="1" t="s">
        <v>7033</v>
      </c>
      <c r="D118" s="1" t="s">
        <v>7034</v>
      </c>
      <c r="E118" s="1">
        <v>152.91</v>
      </c>
      <c r="F118" s="1" t="s">
        <v>8</v>
      </c>
      <c r="G118" s="1" t="s">
        <v>10</v>
      </c>
    </row>
    <row r="119" spans="1:7" x14ac:dyDescent="0.3">
      <c r="A119" s="1">
        <v>482</v>
      </c>
      <c r="B119" s="1" t="s">
        <v>672</v>
      </c>
      <c r="C119" s="1" t="s">
        <v>1164</v>
      </c>
      <c r="D119" s="1" t="s">
        <v>1165</v>
      </c>
      <c r="E119" s="1">
        <v>62.39</v>
      </c>
      <c r="F119" s="1" t="s">
        <v>8</v>
      </c>
      <c r="G119" s="1" t="s">
        <v>10</v>
      </c>
    </row>
    <row r="120" spans="1:7" x14ac:dyDescent="0.3">
      <c r="A120" s="1">
        <v>482</v>
      </c>
      <c r="B120" s="1" t="s">
        <v>672</v>
      </c>
      <c r="C120" s="1" t="s">
        <v>1295</v>
      </c>
      <c r="D120" s="1" t="s">
        <v>1296</v>
      </c>
      <c r="E120" s="1">
        <v>3546.63</v>
      </c>
      <c r="F120" s="1" t="s">
        <v>8</v>
      </c>
      <c r="G120" s="1" t="s">
        <v>10</v>
      </c>
    </row>
    <row r="121" spans="1:7" x14ac:dyDescent="0.3">
      <c r="A121" s="1">
        <v>482</v>
      </c>
      <c r="B121" s="1" t="s">
        <v>672</v>
      </c>
      <c r="C121" s="1" t="s">
        <v>7035</v>
      </c>
      <c r="D121" s="1" t="s">
        <v>7036</v>
      </c>
      <c r="E121" s="1">
        <v>89.1</v>
      </c>
      <c r="F121" s="1" t="s">
        <v>8</v>
      </c>
      <c r="G121" s="1" t="s">
        <v>10</v>
      </c>
    </row>
    <row r="122" spans="1:7" x14ac:dyDescent="0.3">
      <c r="A122" s="1">
        <v>482</v>
      </c>
      <c r="B122" s="1" t="s">
        <v>672</v>
      </c>
      <c r="C122" s="1" t="s">
        <v>7037</v>
      </c>
      <c r="D122" s="1" t="s">
        <v>7038</v>
      </c>
      <c r="E122" s="1">
        <v>559.9</v>
      </c>
      <c r="F122" s="1" t="s">
        <v>8</v>
      </c>
      <c r="G122" s="1" t="s">
        <v>10</v>
      </c>
    </row>
    <row r="123" spans="1:7" x14ac:dyDescent="0.3">
      <c r="A123" s="1">
        <v>482</v>
      </c>
      <c r="B123" s="1" t="s">
        <v>672</v>
      </c>
      <c r="C123" s="1" t="s">
        <v>7039</v>
      </c>
      <c r="D123" s="1" t="s">
        <v>7040</v>
      </c>
      <c r="E123" s="1">
        <v>164.9</v>
      </c>
      <c r="F123" s="1" t="s">
        <v>8</v>
      </c>
      <c r="G123" s="1" t="s">
        <v>10</v>
      </c>
    </row>
    <row r="124" spans="1:7" x14ac:dyDescent="0.3">
      <c r="A124" s="1">
        <v>482</v>
      </c>
      <c r="B124" s="1" t="s">
        <v>672</v>
      </c>
      <c r="C124" s="1" t="s">
        <v>7041</v>
      </c>
      <c r="D124" s="1" t="s">
        <v>7042</v>
      </c>
      <c r="E124" s="1">
        <v>339.9</v>
      </c>
      <c r="F124" s="1" t="s">
        <v>8</v>
      </c>
      <c r="G124" s="1" t="s">
        <v>10</v>
      </c>
    </row>
    <row r="125" spans="1:7" x14ac:dyDescent="0.3">
      <c r="A125" s="1">
        <v>482</v>
      </c>
      <c r="B125" s="1" t="s">
        <v>672</v>
      </c>
      <c r="C125" s="1" t="s">
        <v>7043</v>
      </c>
      <c r="D125" s="1" t="s">
        <v>7044</v>
      </c>
      <c r="E125" s="1">
        <v>259.89999999999998</v>
      </c>
      <c r="F125" s="1" t="s">
        <v>8</v>
      </c>
      <c r="G125" s="1" t="s">
        <v>10</v>
      </c>
    </row>
    <row r="126" spans="1:7" x14ac:dyDescent="0.3">
      <c r="A126" s="1">
        <v>482</v>
      </c>
      <c r="B126" s="1" t="s">
        <v>672</v>
      </c>
      <c r="C126" s="1" t="s">
        <v>7045</v>
      </c>
      <c r="D126" s="1" t="s">
        <v>7046</v>
      </c>
      <c r="E126" s="1">
        <v>339.9</v>
      </c>
      <c r="F126" s="1" t="s">
        <v>8</v>
      </c>
      <c r="G126" s="1" t="s">
        <v>10</v>
      </c>
    </row>
    <row r="127" spans="1:7" x14ac:dyDescent="0.3">
      <c r="A127" s="1">
        <v>482</v>
      </c>
      <c r="B127" s="1" t="s">
        <v>672</v>
      </c>
      <c r="C127" s="1" t="s">
        <v>7047</v>
      </c>
      <c r="D127" s="1" t="s">
        <v>7048</v>
      </c>
      <c r="E127" s="1">
        <v>259.89999999999998</v>
      </c>
      <c r="F127" s="1" t="s">
        <v>8</v>
      </c>
      <c r="G127" s="1" t="s">
        <v>10</v>
      </c>
    </row>
    <row r="128" spans="1:7" x14ac:dyDescent="0.3">
      <c r="A128" s="1">
        <v>482</v>
      </c>
      <c r="B128" s="1" t="s">
        <v>672</v>
      </c>
      <c r="C128" s="1" t="s">
        <v>7049</v>
      </c>
      <c r="D128" s="1" t="s">
        <v>7050</v>
      </c>
      <c r="E128" s="1">
        <v>519.79999999999995</v>
      </c>
      <c r="F128" s="1" t="s">
        <v>8</v>
      </c>
      <c r="G128" s="1" t="s">
        <v>10</v>
      </c>
    </row>
    <row r="129" spans="1:7" x14ac:dyDescent="0.3">
      <c r="A129" s="1">
        <v>482</v>
      </c>
      <c r="B129" s="1" t="s">
        <v>672</v>
      </c>
      <c r="C129" s="1" t="s">
        <v>7051</v>
      </c>
      <c r="D129" s="1" t="s">
        <v>7052</v>
      </c>
      <c r="E129" s="1">
        <v>129.80000000000001</v>
      </c>
      <c r="F129" s="1" t="s">
        <v>8</v>
      </c>
      <c r="G129" s="1" t="s">
        <v>10</v>
      </c>
    </row>
    <row r="130" spans="1:7" x14ac:dyDescent="0.3">
      <c r="A130" s="1">
        <v>482</v>
      </c>
      <c r="B130" s="1" t="s">
        <v>672</v>
      </c>
      <c r="C130" s="1" t="s">
        <v>7053</v>
      </c>
      <c r="D130" s="1" t="s">
        <v>7054</v>
      </c>
      <c r="E130" s="1">
        <v>29.9</v>
      </c>
      <c r="F130" s="1" t="s">
        <v>8</v>
      </c>
      <c r="G130" s="1" t="s">
        <v>10</v>
      </c>
    </row>
    <row r="131" spans="1:7" x14ac:dyDescent="0.3">
      <c r="A131" s="1">
        <v>482</v>
      </c>
      <c r="B131" s="1" t="s">
        <v>672</v>
      </c>
      <c r="C131" s="1" t="s">
        <v>7055</v>
      </c>
      <c r="D131" s="1" t="s">
        <v>7056</v>
      </c>
      <c r="E131" s="1">
        <v>259.8</v>
      </c>
      <c r="F131" s="1" t="s">
        <v>8</v>
      </c>
      <c r="G131" s="1" t="s">
        <v>10</v>
      </c>
    </row>
    <row r="132" spans="1:7" x14ac:dyDescent="0.3">
      <c r="A132" s="1">
        <v>482</v>
      </c>
      <c r="B132" s="1" t="s">
        <v>672</v>
      </c>
      <c r="C132" s="1" t="s">
        <v>7057</v>
      </c>
      <c r="D132" s="1" t="s">
        <v>7058</v>
      </c>
      <c r="E132" s="1">
        <v>0.01</v>
      </c>
      <c r="F132" s="1" t="s">
        <v>8</v>
      </c>
      <c r="G132" s="1" t="s">
        <v>10</v>
      </c>
    </row>
    <row r="133" spans="1:7" x14ac:dyDescent="0.3">
      <c r="A133" s="1">
        <v>482</v>
      </c>
      <c r="B133" s="1" t="s">
        <v>672</v>
      </c>
      <c r="C133" s="1" t="s">
        <v>7059</v>
      </c>
      <c r="D133" s="1" t="s">
        <v>7060</v>
      </c>
      <c r="E133" s="1">
        <v>0.01</v>
      </c>
      <c r="F133" s="1" t="s">
        <v>8</v>
      </c>
      <c r="G133" s="1" t="s">
        <v>10</v>
      </c>
    </row>
    <row r="134" spans="1:7" x14ac:dyDescent="0.3">
      <c r="A134" s="1">
        <v>482</v>
      </c>
      <c r="B134" s="1" t="s">
        <v>672</v>
      </c>
      <c r="C134" s="1" t="s">
        <v>7061</v>
      </c>
      <c r="D134" s="1" t="s">
        <v>7062</v>
      </c>
      <c r="E134" s="1">
        <v>0.01</v>
      </c>
      <c r="F134" s="1" t="s">
        <v>8</v>
      </c>
      <c r="G134" s="1" t="s">
        <v>10</v>
      </c>
    </row>
    <row r="135" spans="1:7" x14ac:dyDescent="0.3">
      <c r="A135" s="1">
        <v>482</v>
      </c>
      <c r="B135" s="1" t="s">
        <v>672</v>
      </c>
      <c r="C135" s="1" t="s">
        <v>7063</v>
      </c>
      <c r="D135" s="1" t="s">
        <v>7064</v>
      </c>
      <c r="E135" s="1">
        <v>19.899999999999999</v>
      </c>
      <c r="F135" s="1" t="s">
        <v>8</v>
      </c>
      <c r="G135" s="1" t="s">
        <v>10</v>
      </c>
    </row>
    <row r="136" spans="1:7" x14ac:dyDescent="0.3">
      <c r="A136" s="1">
        <v>482</v>
      </c>
      <c r="B136" s="1" t="s">
        <v>672</v>
      </c>
      <c r="C136" s="1" t="s">
        <v>7065</v>
      </c>
      <c r="D136" s="1" t="s">
        <v>7066</v>
      </c>
      <c r="E136" s="1">
        <v>0.01</v>
      </c>
      <c r="F136" s="1" t="s">
        <v>8</v>
      </c>
      <c r="G136" s="1" t="s">
        <v>10</v>
      </c>
    </row>
    <row r="137" spans="1:7" x14ac:dyDescent="0.3">
      <c r="A137" s="1">
        <v>482</v>
      </c>
      <c r="B137" s="1" t="s">
        <v>672</v>
      </c>
      <c r="C137" s="1" t="s">
        <v>7067</v>
      </c>
      <c r="D137" s="1" t="s">
        <v>7068</v>
      </c>
      <c r="E137" s="1">
        <v>29.9</v>
      </c>
      <c r="F137" s="1" t="s">
        <v>8</v>
      </c>
      <c r="G137" s="1" t="s">
        <v>10</v>
      </c>
    </row>
    <row r="138" spans="1:7" x14ac:dyDescent="0.3">
      <c r="A138" s="1">
        <v>482</v>
      </c>
      <c r="B138" s="1" t="s">
        <v>672</v>
      </c>
      <c r="C138" s="1" t="s">
        <v>7069</v>
      </c>
      <c r="D138" s="1" t="s">
        <v>7070</v>
      </c>
      <c r="E138" s="1">
        <v>0.01</v>
      </c>
      <c r="F138" s="1" t="s">
        <v>8</v>
      </c>
      <c r="G138" s="1" t="s">
        <v>10</v>
      </c>
    </row>
    <row r="139" spans="1:7" x14ac:dyDescent="0.3">
      <c r="A139" s="1">
        <v>482</v>
      </c>
      <c r="B139" s="1" t="s">
        <v>672</v>
      </c>
      <c r="C139" s="1" t="s">
        <v>7071</v>
      </c>
      <c r="D139" s="1" t="s">
        <v>7072</v>
      </c>
      <c r="E139" s="1">
        <v>197.91</v>
      </c>
      <c r="F139" s="1" t="s">
        <v>8</v>
      </c>
      <c r="G139" s="1" t="s">
        <v>10</v>
      </c>
    </row>
    <row r="140" spans="1:7" x14ac:dyDescent="0.3">
      <c r="A140" s="1">
        <v>482</v>
      </c>
      <c r="B140" s="1" t="s">
        <v>672</v>
      </c>
      <c r="C140" s="1" t="s">
        <v>7073</v>
      </c>
      <c r="D140" s="1" t="s">
        <v>7074</v>
      </c>
      <c r="E140" s="1">
        <v>339.9</v>
      </c>
      <c r="F140" s="1" t="s">
        <v>8</v>
      </c>
      <c r="G140" s="1" t="s">
        <v>10</v>
      </c>
    </row>
    <row r="141" spans="1:7" x14ac:dyDescent="0.3">
      <c r="A141" s="1">
        <v>482</v>
      </c>
      <c r="B141" s="1" t="s">
        <v>672</v>
      </c>
      <c r="C141" s="1" t="s">
        <v>7075</v>
      </c>
      <c r="D141" s="1" t="s">
        <v>7076</v>
      </c>
      <c r="E141" s="1">
        <v>0.01</v>
      </c>
      <c r="F141" s="1" t="s">
        <v>8</v>
      </c>
      <c r="G141" s="1" t="s">
        <v>10</v>
      </c>
    </row>
    <row r="142" spans="1:7" x14ac:dyDescent="0.3">
      <c r="A142" s="1">
        <v>482</v>
      </c>
      <c r="B142" s="1" t="s">
        <v>672</v>
      </c>
      <c r="C142" s="1" t="s">
        <v>7077</v>
      </c>
      <c r="D142" s="1" t="s">
        <v>7078</v>
      </c>
      <c r="E142" s="1">
        <v>413.91</v>
      </c>
      <c r="F142" s="1" t="s">
        <v>8</v>
      </c>
      <c r="G142" s="1" t="s">
        <v>10</v>
      </c>
    </row>
    <row r="143" spans="1:7" x14ac:dyDescent="0.3">
      <c r="A143" s="1">
        <v>482</v>
      </c>
      <c r="B143" s="1" t="s">
        <v>672</v>
      </c>
      <c r="C143" s="1" t="s">
        <v>7079</v>
      </c>
      <c r="D143" s="1" t="s">
        <v>7080</v>
      </c>
      <c r="E143" s="1">
        <v>94.9</v>
      </c>
      <c r="F143" s="1" t="s">
        <v>8</v>
      </c>
      <c r="G143" s="1" t="s">
        <v>10</v>
      </c>
    </row>
    <row r="144" spans="1:7" x14ac:dyDescent="0.3">
      <c r="A144" s="1">
        <v>482</v>
      </c>
      <c r="B144" s="1" t="s">
        <v>672</v>
      </c>
      <c r="C144" s="1" t="s">
        <v>7081</v>
      </c>
      <c r="D144" s="1" t="s">
        <v>7082</v>
      </c>
      <c r="E144" s="1">
        <v>498.8</v>
      </c>
      <c r="F144" s="1" t="s">
        <v>8</v>
      </c>
      <c r="G144" s="1" t="s">
        <v>10</v>
      </c>
    </row>
    <row r="145" spans="1:7" x14ac:dyDescent="0.3">
      <c r="A145" s="1">
        <v>482</v>
      </c>
      <c r="B145" s="1" t="s">
        <v>672</v>
      </c>
      <c r="C145" s="1" t="s">
        <v>7083</v>
      </c>
      <c r="D145" s="1" t="s">
        <v>7084</v>
      </c>
      <c r="E145" s="1">
        <v>359.8</v>
      </c>
      <c r="F145" s="1" t="s">
        <v>8</v>
      </c>
      <c r="G145" s="1" t="s">
        <v>10</v>
      </c>
    </row>
    <row r="146" spans="1:7" x14ac:dyDescent="0.3">
      <c r="A146" s="1">
        <v>482</v>
      </c>
      <c r="B146" s="1" t="s">
        <v>672</v>
      </c>
      <c r="C146" s="1" t="s">
        <v>1197</v>
      </c>
      <c r="D146" s="1" t="s">
        <v>1198</v>
      </c>
      <c r="E146" s="1">
        <v>76</v>
      </c>
      <c r="F146" s="1" t="s">
        <v>8</v>
      </c>
      <c r="G146" s="1" t="s">
        <v>10</v>
      </c>
    </row>
    <row r="147" spans="1:7" x14ac:dyDescent="0.3">
      <c r="A147" s="1">
        <v>482</v>
      </c>
      <c r="B147" s="1" t="s">
        <v>672</v>
      </c>
      <c r="C147" s="1" t="s">
        <v>7085</v>
      </c>
      <c r="D147" s="1" t="s">
        <v>7086</v>
      </c>
      <c r="E147" s="1">
        <v>622.9</v>
      </c>
      <c r="F147" s="1" t="s">
        <v>8</v>
      </c>
      <c r="G147" s="1" t="s">
        <v>10</v>
      </c>
    </row>
    <row r="148" spans="1:7" x14ac:dyDescent="0.3">
      <c r="A148" s="1">
        <v>482</v>
      </c>
      <c r="B148" s="1" t="s">
        <v>672</v>
      </c>
      <c r="C148" s="1" t="s">
        <v>7087</v>
      </c>
      <c r="D148" s="1" t="s">
        <v>7088</v>
      </c>
      <c r="E148" s="1">
        <v>99.9</v>
      </c>
      <c r="F148" s="1" t="s">
        <v>8</v>
      </c>
      <c r="G148" s="1" t="s">
        <v>10</v>
      </c>
    </row>
    <row r="149" spans="1:7" x14ac:dyDescent="0.3">
      <c r="A149" s="1">
        <v>482</v>
      </c>
      <c r="B149" s="1" t="s">
        <v>672</v>
      </c>
      <c r="C149" s="1" t="s">
        <v>7089</v>
      </c>
      <c r="D149" s="1" t="s">
        <v>7090</v>
      </c>
      <c r="E149" s="1">
        <v>259.89999999999998</v>
      </c>
      <c r="F149" s="1" t="s">
        <v>8</v>
      </c>
      <c r="G149" s="1" t="s">
        <v>10</v>
      </c>
    </row>
    <row r="150" spans="1:7" x14ac:dyDescent="0.3">
      <c r="A150" s="1">
        <v>482</v>
      </c>
      <c r="B150" s="1" t="s">
        <v>672</v>
      </c>
      <c r="C150" s="1" t="s">
        <v>7091</v>
      </c>
      <c r="D150" s="1" t="s">
        <v>7092</v>
      </c>
      <c r="E150" s="1">
        <v>114.9</v>
      </c>
      <c r="F150" s="1" t="s">
        <v>8</v>
      </c>
      <c r="G150" s="1" t="s">
        <v>10</v>
      </c>
    </row>
    <row r="151" spans="1:7" x14ac:dyDescent="0.3">
      <c r="A151" s="1">
        <v>482</v>
      </c>
      <c r="B151" s="1" t="s">
        <v>672</v>
      </c>
      <c r="C151" s="1" t="s">
        <v>7093</v>
      </c>
      <c r="D151" s="1" t="s">
        <v>7094</v>
      </c>
      <c r="E151" s="1">
        <v>124.9</v>
      </c>
      <c r="F151" s="1" t="s">
        <v>8</v>
      </c>
      <c r="G151" s="1" t="s">
        <v>10</v>
      </c>
    </row>
    <row r="152" spans="1:7" x14ac:dyDescent="0.3">
      <c r="A152" s="1">
        <v>482</v>
      </c>
      <c r="B152" s="1" t="s">
        <v>672</v>
      </c>
      <c r="C152" s="1" t="s">
        <v>7095</v>
      </c>
      <c r="D152" s="1" t="s">
        <v>7096</v>
      </c>
      <c r="E152" s="1">
        <v>433.25</v>
      </c>
      <c r="F152" s="1" t="s">
        <v>8</v>
      </c>
      <c r="G152" s="1" t="s">
        <v>10</v>
      </c>
    </row>
    <row r="153" spans="1:7" x14ac:dyDescent="0.3">
      <c r="A153" s="1">
        <v>482</v>
      </c>
      <c r="B153" s="1" t="s">
        <v>672</v>
      </c>
      <c r="C153" s="1" t="s">
        <v>7097</v>
      </c>
      <c r="D153" s="1" t="s">
        <v>7098</v>
      </c>
      <c r="E153" s="1">
        <v>279.89999999999998</v>
      </c>
      <c r="F153" s="1" t="s">
        <v>8</v>
      </c>
      <c r="G153" s="1" t="s">
        <v>10</v>
      </c>
    </row>
    <row r="154" spans="1:7" x14ac:dyDescent="0.3">
      <c r="A154" s="1">
        <v>482</v>
      </c>
      <c r="B154" s="1" t="s">
        <v>672</v>
      </c>
      <c r="C154" s="1" t="s">
        <v>828</v>
      </c>
      <c r="D154" s="1" t="s">
        <v>829</v>
      </c>
      <c r="E154" s="1">
        <v>37.020000000000003</v>
      </c>
      <c r="F154" s="1" t="s">
        <v>8</v>
      </c>
      <c r="G154" s="1" t="s">
        <v>10</v>
      </c>
    </row>
    <row r="155" spans="1:7" x14ac:dyDescent="0.3">
      <c r="A155" s="1">
        <v>482</v>
      </c>
      <c r="B155" s="1" t="s">
        <v>672</v>
      </c>
      <c r="C155" s="1" t="s">
        <v>7099</v>
      </c>
      <c r="D155" s="1" t="s">
        <v>7100</v>
      </c>
      <c r="E155" s="1">
        <v>369.8</v>
      </c>
      <c r="F155" s="1" t="s">
        <v>8</v>
      </c>
      <c r="G155" s="1" t="s">
        <v>10</v>
      </c>
    </row>
    <row r="156" spans="1:7" x14ac:dyDescent="0.3">
      <c r="A156" s="1">
        <v>482</v>
      </c>
      <c r="B156" s="1" t="s">
        <v>672</v>
      </c>
      <c r="C156" s="1" t="s">
        <v>1978</v>
      </c>
      <c r="D156" s="1" t="s">
        <v>7101</v>
      </c>
      <c r="E156" s="1">
        <v>259.89999999999998</v>
      </c>
      <c r="F156" s="1" t="s">
        <v>8</v>
      </c>
      <c r="G156" s="1" t="s">
        <v>10</v>
      </c>
    </row>
    <row r="157" spans="1:7" x14ac:dyDescent="0.3">
      <c r="A157" s="1">
        <v>482</v>
      </c>
      <c r="B157" s="1" t="s">
        <v>672</v>
      </c>
      <c r="C157" s="1" t="s">
        <v>1541</v>
      </c>
      <c r="D157" s="1" t="s">
        <v>7102</v>
      </c>
      <c r="E157" s="1">
        <v>749.8</v>
      </c>
      <c r="F157" s="1" t="s">
        <v>8</v>
      </c>
      <c r="G157" s="1" t="s">
        <v>10</v>
      </c>
    </row>
    <row r="158" spans="1:7" x14ac:dyDescent="0.3">
      <c r="A158" s="1">
        <v>482</v>
      </c>
      <c r="B158" s="1" t="s">
        <v>672</v>
      </c>
      <c r="C158" s="1" t="s">
        <v>249</v>
      </c>
      <c r="D158" s="1" t="s">
        <v>7103</v>
      </c>
      <c r="E158" s="1">
        <v>719.8</v>
      </c>
      <c r="F158" s="1" t="s">
        <v>8</v>
      </c>
      <c r="G158" s="1" t="s">
        <v>10</v>
      </c>
    </row>
    <row r="159" spans="1:7" x14ac:dyDescent="0.3">
      <c r="A159" s="1">
        <v>482</v>
      </c>
      <c r="B159" s="1" t="s">
        <v>672</v>
      </c>
      <c r="C159" s="1" t="s">
        <v>7104</v>
      </c>
      <c r="D159" s="1" t="s">
        <v>7105</v>
      </c>
      <c r="E159" s="1">
        <v>259.89999999999998</v>
      </c>
      <c r="F159" s="1" t="s">
        <v>8</v>
      </c>
      <c r="G159" s="1" t="s">
        <v>10</v>
      </c>
    </row>
    <row r="160" spans="1:7" x14ac:dyDescent="0.3">
      <c r="A160" s="1">
        <v>482</v>
      </c>
      <c r="B160" s="1" t="s">
        <v>672</v>
      </c>
      <c r="C160" s="1" t="s">
        <v>7106</v>
      </c>
      <c r="D160" s="1" t="s">
        <v>7107</v>
      </c>
      <c r="E160" s="1">
        <v>1184.54</v>
      </c>
      <c r="F160" s="1" t="s">
        <v>8</v>
      </c>
      <c r="G160" s="1" t="s">
        <v>10</v>
      </c>
    </row>
    <row r="161" spans="1:7" x14ac:dyDescent="0.3">
      <c r="A161" s="1">
        <v>482</v>
      </c>
      <c r="B161" s="1" t="s">
        <v>672</v>
      </c>
      <c r="C161" s="1" t="s">
        <v>830</v>
      </c>
      <c r="D161" s="1" t="s">
        <v>831</v>
      </c>
      <c r="E161" s="1">
        <v>23.36</v>
      </c>
      <c r="F161" s="1" t="s">
        <v>8</v>
      </c>
      <c r="G161" s="1" t="s">
        <v>10</v>
      </c>
    </row>
    <row r="162" spans="1:7" x14ac:dyDescent="0.3">
      <c r="A162" s="1">
        <v>482</v>
      </c>
      <c r="B162" s="1" t="s">
        <v>672</v>
      </c>
      <c r="C162" s="1" t="s">
        <v>1426</v>
      </c>
      <c r="D162" s="1" t="s">
        <v>7108</v>
      </c>
      <c r="E162" s="1">
        <v>269.89999999999998</v>
      </c>
      <c r="F162" s="1" t="s">
        <v>8</v>
      </c>
      <c r="G162" s="1" t="s">
        <v>10</v>
      </c>
    </row>
    <row r="163" spans="1:7" x14ac:dyDescent="0.3">
      <c r="A163" s="1">
        <v>482</v>
      </c>
      <c r="B163" s="1" t="s">
        <v>672</v>
      </c>
      <c r="C163" s="1" t="s">
        <v>7109</v>
      </c>
      <c r="D163" s="1" t="s">
        <v>7110</v>
      </c>
      <c r="E163" s="1">
        <v>35.15</v>
      </c>
      <c r="F163" s="1" t="s">
        <v>8</v>
      </c>
      <c r="G163" s="1" t="s">
        <v>10</v>
      </c>
    </row>
    <row r="164" spans="1:7" x14ac:dyDescent="0.3">
      <c r="A164" s="1">
        <v>482</v>
      </c>
      <c r="B164" s="1" t="s">
        <v>672</v>
      </c>
      <c r="C164" s="1" t="s">
        <v>7111</v>
      </c>
      <c r="D164" s="1" t="s">
        <v>7112</v>
      </c>
      <c r="E164" s="1">
        <v>639.71</v>
      </c>
      <c r="F164" s="1" t="s">
        <v>8</v>
      </c>
      <c r="G164" s="1" t="s">
        <v>10</v>
      </c>
    </row>
    <row r="165" spans="1:7" x14ac:dyDescent="0.3">
      <c r="A165" s="1">
        <v>482</v>
      </c>
      <c r="B165" s="1" t="s">
        <v>672</v>
      </c>
      <c r="C165" s="1" t="s">
        <v>7113</v>
      </c>
      <c r="D165" s="1" t="s">
        <v>7114</v>
      </c>
      <c r="E165" s="1">
        <v>424.8</v>
      </c>
      <c r="F165" s="1" t="s">
        <v>8</v>
      </c>
      <c r="G165" s="1" t="s">
        <v>10</v>
      </c>
    </row>
    <row r="166" spans="1:7" x14ac:dyDescent="0.3">
      <c r="A166" s="1">
        <v>482</v>
      </c>
      <c r="B166" s="1" t="s">
        <v>672</v>
      </c>
      <c r="C166" s="1" t="s">
        <v>7115</v>
      </c>
      <c r="D166" s="1" t="s">
        <v>7116</v>
      </c>
      <c r="E166" s="1">
        <v>299.89999999999998</v>
      </c>
      <c r="F166" s="1" t="s">
        <v>8</v>
      </c>
      <c r="G166" s="1" t="s">
        <v>10</v>
      </c>
    </row>
    <row r="167" spans="1:7" x14ac:dyDescent="0.3">
      <c r="A167" s="1">
        <v>482</v>
      </c>
      <c r="B167" s="1" t="s">
        <v>672</v>
      </c>
      <c r="C167" s="1" t="s">
        <v>7117</v>
      </c>
      <c r="D167" s="1" t="s">
        <v>7118</v>
      </c>
      <c r="E167" s="1">
        <v>244.9</v>
      </c>
      <c r="F167" s="1" t="s">
        <v>8</v>
      </c>
      <c r="G167" s="1" t="s">
        <v>10</v>
      </c>
    </row>
    <row r="168" spans="1:7" x14ac:dyDescent="0.3">
      <c r="A168" s="1">
        <v>482</v>
      </c>
      <c r="B168" s="1" t="s">
        <v>672</v>
      </c>
      <c r="C168" s="1" t="s">
        <v>7119</v>
      </c>
      <c r="D168" s="1" t="s">
        <v>7120</v>
      </c>
      <c r="E168" s="1">
        <v>339.9</v>
      </c>
      <c r="F168" s="1" t="s">
        <v>8</v>
      </c>
      <c r="G168" s="1" t="s">
        <v>10</v>
      </c>
    </row>
    <row r="169" spans="1:7" x14ac:dyDescent="0.3">
      <c r="A169" s="1">
        <v>482</v>
      </c>
      <c r="B169" s="1" t="s">
        <v>672</v>
      </c>
      <c r="C169" s="1" t="s">
        <v>7121</v>
      </c>
      <c r="D169" s="1" t="s">
        <v>7122</v>
      </c>
      <c r="E169" s="1">
        <v>35</v>
      </c>
      <c r="F169" s="1" t="s">
        <v>8</v>
      </c>
      <c r="G169" s="1" t="s">
        <v>10</v>
      </c>
    </row>
    <row r="170" spans="1:7" x14ac:dyDescent="0.3">
      <c r="A170" s="1">
        <v>482</v>
      </c>
      <c r="B170" s="1" t="s">
        <v>672</v>
      </c>
      <c r="C170" s="1" t="s">
        <v>7123</v>
      </c>
      <c r="D170" s="1" t="s">
        <v>7124</v>
      </c>
      <c r="E170" s="1">
        <v>339.9</v>
      </c>
      <c r="F170" s="1" t="s">
        <v>8</v>
      </c>
      <c r="G170" s="1" t="s">
        <v>10</v>
      </c>
    </row>
    <row r="171" spans="1:7" x14ac:dyDescent="0.3">
      <c r="A171" s="1">
        <v>482</v>
      </c>
      <c r="B171" s="1" t="s">
        <v>672</v>
      </c>
      <c r="C171" s="1" t="s">
        <v>7125</v>
      </c>
      <c r="D171" s="1" t="s">
        <v>7126</v>
      </c>
      <c r="E171" s="1">
        <v>194.8</v>
      </c>
      <c r="F171" s="1" t="s">
        <v>8</v>
      </c>
      <c r="G171" s="1" t="s">
        <v>10</v>
      </c>
    </row>
    <row r="172" spans="1:7" x14ac:dyDescent="0.3">
      <c r="A172" s="1">
        <v>482</v>
      </c>
      <c r="B172" s="1" t="s">
        <v>672</v>
      </c>
      <c r="C172" s="1" t="s">
        <v>6422</v>
      </c>
      <c r="D172" s="1" t="s">
        <v>7127</v>
      </c>
      <c r="E172" s="1">
        <v>829.8</v>
      </c>
      <c r="F172" s="1" t="s">
        <v>8</v>
      </c>
      <c r="G172" s="1" t="s">
        <v>10</v>
      </c>
    </row>
    <row r="173" spans="1:7" x14ac:dyDescent="0.3">
      <c r="A173" s="1">
        <v>482</v>
      </c>
      <c r="B173" s="1" t="s">
        <v>672</v>
      </c>
      <c r="C173" s="1" t="s">
        <v>7128</v>
      </c>
      <c r="D173" s="1" t="s">
        <v>7129</v>
      </c>
      <c r="E173" s="1">
        <v>174.9</v>
      </c>
      <c r="F173" s="1" t="s">
        <v>8</v>
      </c>
      <c r="G173" s="1" t="s">
        <v>10</v>
      </c>
    </row>
    <row r="174" spans="1:7" x14ac:dyDescent="0.3">
      <c r="A174" s="1">
        <v>482</v>
      </c>
      <c r="B174" s="1" t="s">
        <v>672</v>
      </c>
      <c r="C174" s="1" t="s">
        <v>7130</v>
      </c>
      <c r="D174" s="1" t="s">
        <v>7131</v>
      </c>
      <c r="E174" s="1">
        <v>299.8</v>
      </c>
      <c r="F174" s="1" t="s">
        <v>8</v>
      </c>
      <c r="G174" s="1" t="s">
        <v>10</v>
      </c>
    </row>
    <row r="175" spans="1:7" x14ac:dyDescent="0.3">
      <c r="A175" s="1">
        <v>482</v>
      </c>
      <c r="B175" s="1" t="s">
        <v>672</v>
      </c>
      <c r="C175" s="1" t="s">
        <v>7132</v>
      </c>
      <c r="D175" s="1" t="s">
        <v>7133</v>
      </c>
      <c r="E175" s="1">
        <v>339.9</v>
      </c>
      <c r="F175" s="1" t="s">
        <v>8</v>
      </c>
      <c r="G175" s="1" t="s">
        <v>10</v>
      </c>
    </row>
    <row r="176" spans="1:7" x14ac:dyDescent="0.3">
      <c r="A176" s="1">
        <v>482</v>
      </c>
      <c r="B176" s="1" t="s">
        <v>672</v>
      </c>
      <c r="C176" s="1" t="s">
        <v>7134</v>
      </c>
      <c r="D176" s="1" t="s">
        <v>7135</v>
      </c>
      <c r="E176" s="1">
        <v>38.200000000000003</v>
      </c>
      <c r="F176" s="1" t="s">
        <v>8</v>
      </c>
      <c r="G176" s="1" t="s">
        <v>10</v>
      </c>
    </row>
    <row r="177" spans="1:7" x14ac:dyDescent="0.3">
      <c r="A177" s="1">
        <v>482</v>
      </c>
      <c r="B177" s="1" t="s">
        <v>672</v>
      </c>
      <c r="C177" s="1" t="s">
        <v>7136</v>
      </c>
      <c r="D177" s="1" t="s">
        <v>7137</v>
      </c>
      <c r="E177" s="1">
        <v>259.89999999999998</v>
      </c>
      <c r="F177" s="1" t="s">
        <v>8</v>
      </c>
      <c r="G177" s="1" t="s">
        <v>10</v>
      </c>
    </row>
    <row r="178" spans="1:7" x14ac:dyDescent="0.3">
      <c r="A178" s="1">
        <v>482</v>
      </c>
      <c r="B178" s="1" t="s">
        <v>672</v>
      </c>
      <c r="C178" s="1" t="s">
        <v>7138</v>
      </c>
      <c r="D178" s="1" t="s">
        <v>7139</v>
      </c>
      <c r="E178" s="1">
        <v>149.9</v>
      </c>
      <c r="F178" s="1" t="s">
        <v>8</v>
      </c>
      <c r="G178" s="1" t="s">
        <v>10</v>
      </c>
    </row>
    <row r="179" spans="1:7" x14ac:dyDescent="0.3">
      <c r="A179" s="1">
        <v>482</v>
      </c>
      <c r="B179" s="1" t="s">
        <v>672</v>
      </c>
      <c r="C179" s="1" t="s">
        <v>7140</v>
      </c>
      <c r="D179" s="1" t="s">
        <v>7141</v>
      </c>
      <c r="E179" s="1">
        <v>164.9</v>
      </c>
      <c r="F179" s="1" t="s">
        <v>8</v>
      </c>
      <c r="G179" s="1" t="s">
        <v>10</v>
      </c>
    </row>
    <row r="180" spans="1:7" x14ac:dyDescent="0.3">
      <c r="A180" s="1">
        <v>482</v>
      </c>
      <c r="B180" s="1" t="s">
        <v>672</v>
      </c>
      <c r="C180" s="1" t="s">
        <v>7142</v>
      </c>
      <c r="D180" s="1" t="s">
        <v>7143</v>
      </c>
      <c r="E180" s="1">
        <v>479.9</v>
      </c>
      <c r="F180" s="1" t="s">
        <v>8</v>
      </c>
      <c r="G180" s="1" t="s">
        <v>10</v>
      </c>
    </row>
    <row r="181" spans="1:7" x14ac:dyDescent="0.3">
      <c r="A181" s="1">
        <v>482</v>
      </c>
      <c r="B181" s="1" t="s">
        <v>672</v>
      </c>
      <c r="C181" s="1" t="s">
        <v>7144</v>
      </c>
      <c r="D181" s="1" t="s">
        <v>7145</v>
      </c>
      <c r="E181" s="1">
        <v>339.9</v>
      </c>
      <c r="F181" s="1" t="s">
        <v>8</v>
      </c>
      <c r="G181" s="1" t="s">
        <v>10</v>
      </c>
    </row>
    <row r="182" spans="1:7" x14ac:dyDescent="0.3">
      <c r="A182" s="1">
        <v>482</v>
      </c>
      <c r="B182" s="1" t="s">
        <v>672</v>
      </c>
      <c r="C182" s="1" t="s">
        <v>7146</v>
      </c>
      <c r="D182" s="1" t="s">
        <v>7147</v>
      </c>
      <c r="E182" s="1">
        <v>289.89999999999998</v>
      </c>
      <c r="F182" s="1" t="s">
        <v>8</v>
      </c>
      <c r="G182" s="1" t="s">
        <v>10</v>
      </c>
    </row>
    <row r="183" spans="1:7" x14ac:dyDescent="0.3">
      <c r="A183" s="1">
        <v>482</v>
      </c>
      <c r="B183" s="1" t="s">
        <v>672</v>
      </c>
      <c r="C183" s="1" t="s">
        <v>7148</v>
      </c>
      <c r="D183" s="1" t="s">
        <v>7149</v>
      </c>
      <c r="E183" s="1">
        <v>209.9</v>
      </c>
      <c r="F183" s="1" t="s">
        <v>8</v>
      </c>
      <c r="G183" s="1" t="s">
        <v>10</v>
      </c>
    </row>
    <row r="184" spans="1:7" x14ac:dyDescent="0.3">
      <c r="A184" s="1">
        <v>482</v>
      </c>
      <c r="B184" s="1" t="s">
        <v>672</v>
      </c>
      <c r="C184" s="1" t="s">
        <v>7150</v>
      </c>
      <c r="D184" s="1" t="s">
        <v>7151</v>
      </c>
      <c r="E184" s="1">
        <v>168.9</v>
      </c>
      <c r="F184" s="1" t="s">
        <v>8</v>
      </c>
      <c r="G184" s="1" t="s">
        <v>10</v>
      </c>
    </row>
    <row r="185" spans="1:7" x14ac:dyDescent="0.3">
      <c r="A185" s="1">
        <v>482</v>
      </c>
      <c r="B185" s="1" t="s">
        <v>672</v>
      </c>
      <c r="C185" s="1" t="s">
        <v>1988</v>
      </c>
      <c r="D185" s="1" t="s">
        <v>7152</v>
      </c>
      <c r="E185" s="1">
        <v>709.71</v>
      </c>
      <c r="F185" s="1" t="s">
        <v>8</v>
      </c>
      <c r="G185" s="1" t="s">
        <v>10</v>
      </c>
    </row>
    <row r="186" spans="1:7" x14ac:dyDescent="0.3">
      <c r="A186" s="1">
        <v>482</v>
      </c>
      <c r="B186" s="1" t="s">
        <v>672</v>
      </c>
      <c r="C186" s="1" t="s">
        <v>7153</v>
      </c>
      <c r="D186" s="1" t="s">
        <v>7154</v>
      </c>
      <c r="E186" s="1">
        <v>252.83</v>
      </c>
      <c r="F186" s="1" t="s">
        <v>8</v>
      </c>
      <c r="G186" s="1" t="s">
        <v>10</v>
      </c>
    </row>
    <row r="187" spans="1:7" x14ac:dyDescent="0.3">
      <c r="A187" s="1">
        <v>482</v>
      </c>
      <c r="B187" s="1" t="s">
        <v>672</v>
      </c>
      <c r="C187" s="1" t="s">
        <v>7155</v>
      </c>
      <c r="D187" s="1" t="s">
        <v>7156</v>
      </c>
      <c r="E187" s="1">
        <v>339.9</v>
      </c>
      <c r="F187" s="1" t="s">
        <v>8</v>
      </c>
      <c r="G187" s="1" t="s">
        <v>10</v>
      </c>
    </row>
    <row r="188" spans="1:7" x14ac:dyDescent="0.3">
      <c r="A188" s="1">
        <v>482</v>
      </c>
      <c r="B188" s="1" t="s">
        <v>672</v>
      </c>
      <c r="C188" s="1" t="s">
        <v>832</v>
      </c>
      <c r="D188" s="1" t="s">
        <v>833</v>
      </c>
      <c r="E188" s="1">
        <v>70.95</v>
      </c>
      <c r="F188" s="1" t="s">
        <v>8</v>
      </c>
      <c r="G188" s="1" t="s">
        <v>10</v>
      </c>
    </row>
    <row r="189" spans="1:7" x14ac:dyDescent="0.3">
      <c r="A189" s="1">
        <v>482</v>
      </c>
      <c r="B189" s="1" t="s">
        <v>672</v>
      </c>
      <c r="C189" s="1" t="s">
        <v>1247</v>
      </c>
      <c r="D189" s="1" t="s">
        <v>1248</v>
      </c>
      <c r="E189" s="1">
        <v>28.89</v>
      </c>
      <c r="F189" s="1" t="s">
        <v>8</v>
      </c>
      <c r="G189" s="1" t="s">
        <v>10</v>
      </c>
    </row>
    <row r="190" spans="1:7" x14ac:dyDescent="0.3">
      <c r="A190" s="1">
        <v>482</v>
      </c>
      <c r="B190" s="1" t="s">
        <v>672</v>
      </c>
      <c r="C190" s="1" t="s">
        <v>7157</v>
      </c>
      <c r="D190" s="1" t="s">
        <v>7158</v>
      </c>
      <c r="E190" s="1">
        <v>339.9</v>
      </c>
      <c r="F190" s="1" t="s">
        <v>8</v>
      </c>
      <c r="G190" s="1" t="s">
        <v>10</v>
      </c>
    </row>
    <row r="191" spans="1:7" x14ac:dyDescent="0.3">
      <c r="A191" s="1">
        <v>482</v>
      </c>
      <c r="B191" s="1" t="s">
        <v>672</v>
      </c>
      <c r="C191" s="1" t="s">
        <v>7159</v>
      </c>
      <c r="D191" s="1" t="s">
        <v>7160</v>
      </c>
      <c r="E191" s="1">
        <v>234.9</v>
      </c>
      <c r="F191" s="1" t="s">
        <v>8</v>
      </c>
      <c r="G191" s="1" t="s">
        <v>10</v>
      </c>
    </row>
    <row r="192" spans="1:7" x14ac:dyDescent="0.3">
      <c r="A192" s="1">
        <v>482</v>
      </c>
      <c r="B192" s="1" t="s">
        <v>672</v>
      </c>
      <c r="C192" s="1" t="s">
        <v>7161</v>
      </c>
      <c r="D192" s="1" t="s">
        <v>7162</v>
      </c>
      <c r="E192" s="1">
        <v>492.66</v>
      </c>
      <c r="F192" s="1" t="s">
        <v>8</v>
      </c>
      <c r="G192" s="1" t="s">
        <v>10</v>
      </c>
    </row>
    <row r="193" spans="1:7" x14ac:dyDescent="0.3">
      <c r="A193" s="1">
        <v>482</v>
      </c>
      <c r="B193" s="1" t="s">
        <v>672</v>
      </c>
      <c r="C193" s="1" t="s">
        <v>1275</v>
      </c>
      <c r="D193" s="1" t="s">
        <v>1276</v>
      </c>
      <c r="E193" s="1">
        <v>72.7</v>
      </c>
      <c r="F193" s="1" t="s">
        <v>8</v>
      </c>
      <c r="G193" s="1" t="s">
        <v>10</v>
      </c>
    </row>
    <row r="194" spans="1:7" x14ac:dyDescent="0.3">
      <c r="A194" s="1">
        <v>482</v>
      </c>
      <c r="B194" s="1" t="s">
        <v>672</v>
      </c>
      <c r="C194" s="1" t="s">
        <v>7163</v>
      </c>
      <c r="D194" s="1" t="s">
        <v>7164</v>
      </c>
      <c r="E194" s="1">
        <v>199.9</v>
      </c>
      <c r="F194" s="1" t="s">
        <v>8</v>
      </c>
      <c r="G194" s="1" t="s">
        <v>10</v>
      </c>
    </row>
    <row r="195" spans="1:7" x14ac:dyDescent="0.3">
      <c r="A195" s="1">
        <v>482</v>
      </c>
      <c r="B195" s="1" t="s">
        <v>672</v>
      </c>
      <c r="C195" s="1" t="s">
        <v>7165</v>
      </c>
      <c r="D195" s="1" t="s">
        <v>7166</v>
      </c>
      <c r="E195" s="1">
        <v>121.6</v>
      </c>
      <c r="F195" s="1" t="s">
        <v>8</v>
      </c>
      <c r="G195" s="1" t="s">
        <v>10</v>
      </c>
    </row>
    <row r="196" spans="1:7" x14ac:dyDescent="0.3">
      <c r="A196" s="1">
        <v>482</v>
      </c>
      <c r="B196" s="1" t="s">
        <v>672</v>
      </c>
      <c r="C196" s="1" t="s">
        <v>7167</v>
      </c>
      <c r="D196" s="1" t="s">
        <v>7168</v>
      </c>
      <c r="E196" s="1">
        <v>558.86</v>
      </c>
      <c r="F196" s="1" t="s">
        <v>8</v>
      </c>
      <c r="G196" s="1" t="s">
        <v>10</v>
      </c>
    </row>
    <row r="197" spans="1:7" x14ac:dyDescent="0.3">
      <c r="A197" s="1">
        <v>482</v>
      </c>
      <c r="B197" s="1" t="s">
        <v>672</v>
      </c>
      <c r="C197" s="1" t="s">
        <v>7169</v>
      </c>
      <c r="D197" s="1" t="s">
        <v>7170</v>
      </c>
      <c r="E197" s="1">
        <v>599.91</v>
      </c>
      <c r="F197" s="1" t="s">
        <v>8</v>
      </c>
      <c r="G197" s="1" t="s">
        <v>10</v>
      </c>
    </row>
    <row r="198" spans="1:7" x14ac:dyDescent="0.3">
      <c r="A198" s="1">
        <v>482</v>
      </c>
      <c r="B198" s="1" t="s">
        <v>672</v>
      </c>
      <c r="C198" s="1" t="s">
        <v>7171</v>
      </c>
      <c r="D198" s="1" t="s">
        <v>7172</v>
      </c>
      <c r="E198" s="1">
        <v>179.9</v>
      </c>
      <c r="F198" s="1" t="s">
        <v>8</v>
      </c>
      <c r="G198" s="1" t="s">
        <v>10</v>
      </c>
    </row>
    <row r="199" spans="1:7" x14ac:dyDescent="0.3">
      <c r="A199" s="1">
        <v>482</v>
      </c>
      <c r="B199" s="1" t="s">
        <v>672</v>
      </c>
      <c r="C199" s="1" t="s">
        <v>7173</v>
      </c>
      <c r="D199" s="1" t="s">
        <v>7174</v>
      </c>
      <c r="E199" s="1">
        <v>134.94999999999999</v>
      </c>
      <c r="F199" s="1" t="s">
        <v>8</v>
      </c>
      <c r="G199" s="1" t="s">
        <v>10</v>
      </c>
    </row>
    <row r="200" spans="1:7" x14ac:dyDescent="0.3">
      <c r="A200" s="1">
        <v>482</v>
      </c>
      <c r="B200" s="1" t="s">
        <v>672</v>
      </c>
      <c r="C200" s="1" t="s">
        <v>7175</v>
      </c>
      <c r="D200" s="1" t="s">
        <v>7176</v>
      </c>
      <c r="E200" s="1">
        <v>289.89999999999998</v>
      </c>
      <c r="F200" s="1" t="s">
        <v>8</v>
      </c>
      <c r="G200" s="1" t="s">
        <v>10</v>
      </c>
    </row>
    <row r="201" spans="1:7" x14ac:dyDescent="0.3">
      <c r="A201" s="1">
        <v>482</v>
      </c>
      <c r="B201" s="1" t="s">
        <v>672</v>
      </c>
      <c r="C201" s="1" t="s">
        <v>7177</v>
      </c>
      <c r="D201" s="1" t="s">
        <v>7178</v>
      </c>
      <c r="E201" s="1">
        <v>146.93</v>
      </c>
      <c r="F201" s="1" t="s">
        <v>8</v>
      </c>
      <c r="G201" s="1" t="s">
        <v>10</v>
      </c>
    </row>
    <row r="202" spans="1:7" x14ac:dyDescent="0.3">
      <c r="A202" s="1">
        <v>482</v>
      </c>
      <c r="B202" s="1" t="s">
        <v>672</v>
      </c>
      <c r="C202" s="1" t="s">
        <v>7179</v>
      </c>
      <c r="D202" s="1" t="s">
        <v>7180</v>
      </c>
      <c r="E202" s="1">
        <v>654.75</v>
      </c>
      <c r="F202" s="1" t="s">
        <v>8</v>
      </c>
      <c r="G202" s="1" t="s">
        <v>10</v>
      </c>
    </row>
    <row r="203" spans="1:7" x14ac:dyDescent="0.3">
      <c r="A203" s="1">
        <v>482</v>
      </c>
      <c r="B203" s="1" t="s">
        <v>672</v>
      </c>
      <c r="C203" s="1" t="s">
        <v>7181</v>
      </c>
      <c r="D203" s="1" t="s">
        <v>7182</v>
      </c>
      <c r="E203" s="1">
        <v>141.58000000000001</v>
      </c>
      <c r="F203" s="1" t="s">
        <v>8</v>
      </c>
      <c r="G203" s="1" t="s">
        <v>10</v>
      </c>
    </row>
    <row r="204" spans="1:7" x14ac:dyDescent="0.3">
      <c r="A204" s="1">
        <v>482</v>
      </c>
      <c r="B204" s="1" t="s">
        <v>672</v>
      </c>
      <c r="C204" s="1" t="s">
        <v>7183</v>
      </c>
      <c r="D204" s="1" t="s">
        <v>7184</v>
      </c>
      <c r="E204" s="1">
        <v>299.85000000000002</v>
      </c>
      <c r="F204" s="1" t="s">
        <v>8</v>
      </c>
      <c r="G204" s="1" t="s">
        <v>10</v>
      </c>
    </row>
    <row r="205" spans="1:7" x14ac:dyDescent="0.3">
      <c r="A205" s="1">
        <v>482</v>
      </c>
      <c r="B205" s="1" t="s">
        <v>672</v>
      </c>
      <c r="C205" s="1" t="s">
        <v>7185</v>
      </c>
      <c r="D205" s="1" t="s">
        <v>7186</v>
      </c>
      <c r="E205" s="1">
        <v>124.9</v>
      </c>
      <c r="F205" s="1" t="s">
        <v>8</v>
      </c>
      <c r="G205" s="1" t="s">
        <v>10</v>
      </c>
    </row>
    <row r="206" spans="1:7" x14ac:dyDescent="0.3">
      <c r="A206" s="1">
        <v>482</v>
      </c>
      <c r="B206" s="1" t="s">
        <v>672</v>
      </c>
      <c r="C206" s="1" t="s">
        <v>7187</v>
      </c>
      <c r="D206" s="1" t="s">
        <v>7188</v>
      </c>
      <c r="E206" s="1">
        <v>335.79</v>
      </c>
      <c r="F206" s="1" t="s">
        <v>8</v>
      </c>
      <c r="G206" s="1" t="s">
        <v>10</v>
      </c>
    </row>
    <row r="207" spans="1:7" x14ac:dyDescent="0.3">
      <c r="A207" s="1">
        <v>482</v>
      </c>
      <c r="B207" s="1" t="s">
        <v>672</v>
      </c>
      <c r="C207" s="1" t="s">
        <v>7189</v>
      </c>
      <c r="D207" s="1" t="s">
        <v>7190</v>
      </c>
      <c r="E207" s="1">
        <v>144.9</v>
      </c>
      <c r="F207" s="1" t="s">
        <v>8</v>
      </c>
      <c r="G207" s="1" t="s">
        <v>10</v>
      </c>
    </row>
    <row r="208" spans="1:7" x14ac:dyDescent="0.3">
      <c r="A208" s="1">
        <v>482</v>
      </c>
      <c r="B208" s="1" t="s">
        <v>672</v>
      </c>
      <c r="C208" s="1" t="s">
        <v>7191</v>
      </c>
      <c r="D208" s="1" t="s">
        <v>7192</v>
      </c>
      <c r="E208" s="1">
        <v>139.94999999999999</v>
      </c>
      <c r="F208" s="1" t="s">
        <v>8</v>
      </c>
      <c r="G208" s="1" t="s">
        <v>10</v>
      </c>
    </row>
    <row r="209" spans="1:7" x14ac:dyDescent="0.3">
      <c r="A209" s="1">
        <v>482</v>
      </c>
      <c r="B209" s="1" t="s">
        <v>672</v>
      </c>
      <c r="C209" s="1" t="s">
        <v>7193</v>
      </c>
      <c r="D209" s="1" t="s">
        <v>7194</v>
      </c>
      <c r="E209" s="1">
        <v>111.92</v>
      </c>
      <c r="F209" s="1" t="s">
        <v>8</v>
      </c>
      <c r="G209" s="1" t="s">
        <v>10</v>
      </c>
    </row>
    <row r="210" spans="1:7" x14ac:dyDescent="0.3">
      <c r="A210" s="1">
        <v>482</v>
      </c>
      <c r="B210" s="1" t="s">
        <v>672</v>
      </c>
      <c r="C210" s="1" t="s">
        <v>7195</v>
      </c>
      <c r="D210" s="1" t="s">
        <v>7196</v>
      </c>
      <c r="E210" s="1">
        <v>374.85</v>
      </c>
      <c r="F210" s="1" t="s">
        <v>8</v>
      </c>
      <c r="G210" s="1" t="s">
        <v>10</v>
      </c>
    </row>
    <row r="211" spans="1:7" x14ac:dyDescent="0.3">
      <c r="A211" s="1">
        <v>482</v>
      </c>
      <c r="B211" s="1" t="s">
        <v>672</v>
      </c>
      <c r="C211" s="1" t="s">
        <v>7197</v>
      </c>
      <c r="D211" s="1" t="s">
        <v>7198</v>
      </c>
      <c r="E211" s="1">
        <v>200.94</v>
      </c>
      <c r="F211" s="1" t="s">
        <v>8</v>
      </c>
      <c r="G211" s="1" t="s">
        <v>10</v>
      </c>
    </row>
    <row r="212" spans="1:7" x14ac:dyDescent="0.3">
      <c r="A212" s="1">
        <v>482</v>
      </c>
      <c r="B212" s="1" t="s">
        <v>672</v>
      </c>
      <c r="C212" s="1" t="s">
        <v>7199</v>
      </c>
      <c r="D212" s="1" t="s">
        <v>7200</v>
      </c>
      <c r="E212" s="1">
        <v>507.79</v>
      </c>
      <c r="F212" s="1" t="s">
        <v>8</v>
      </c>
      <c r="G212" s="1" t="s">
        <v>10</v>
      </c>
    </row>
    <row r="213" spans="1:7" x14ac:dyDescent="0.3">
      <c r="A213" s="1">
        <v>482</v>
      </c>
      <c r="B213" s="1" t="s">
        <v>672</v>
      </c>
      <c r="C213" s="1" t="s">
        <v>7201</v>
      </c>
      <c r="D213" s="1" t="s">
        <v>7202</v>
      </c>
      <c r="E213" s="1">
        <v>119.95</v>
      </c>
      <c r="F213" s="1" t="s">
        <v>8</v>
      </c>
      <c r="G213" s="1" t="s">
        <v>10</v>
      </c>
    </row>
    <row r="214" spans="1:7" x14ac:dyDescent="0.3">
      <c r="A214" s="1">
        <v>482</v>
      </c>
      <c r="B214" s="1" t="s">
        <v>672</v>
      </c>
      <c r="C214" s="1" t="s">
        <v>4732</v>
      </c>
      <c r="D214" s="1" t="s">
        <v>4733</v>
      </c>
      <c r="E214" s="1">
        <v>859.39</v>
      </c>
      <c r="F214" s="1" t="s">
        <v>8</v>
      </c>
      <c r="G214" s="1" t="s">
        <v>10</v>
      </c>
    </row>
    <row r="215" spans="1:7" x14ac:dyDescent="0.3">
      <c r="A215" s="1">
        <v>482</v>
      </c>
      <c r="B215" s="1" t="s">
        <v>672</v>
      </c>
      <c r="C215" s="1" t="s">
        <v>7203</v>
      </c>
      <c r="D215" s="1" t="s">
        <v>7204</v>
      </c>
      <c r="E215" s="1">
        <v>1190.32</v>
      </c>
      <c r="F215" s="1" t="s">
        <v>8</v>
      </c>
      <c r="G215" s="1" t="s">
        <v>10</v>
      </c>
    </row>
    <row r="216" spans="1:7" x14ac:dyDescent="0.3">
      <c r="A216" s="1">
        <v>482</v>
      </c>
      <c r="B216" s="1" t="s">
        <v>672</v>
      </c>
      <c r="C216" s="1" t="s">
        <v>4734</v>
      </c>
      <c r="D216" s="1" t="s">
        <v>4735</v>
      </c>
      <c r="E216" s="1">
        <v>71.45</v>
      </c>
      <c r="F216" s="1" t="s">
        <v>8</v>
      </c>
      <c r="G216" s="1" t="s">
        <v>10</v>
      </c>
    </row>
    <row r="217" spans="1:7" x14ac:dyDescent="0.3">
      <c r="A217" s="1">
        <v>482</v>
      </c>
      <c r="B217" s="1" t="s">
        <v>672</v>
      </c>
      <c r="C217" s="1" t="s">
        <v>7205</v>
      </c>
      <c r="D217" s="1" t="s">
        <v>7206</v>
      </c>
      <c r="E217" s="1">
        <v>113.3</v>
      </c>
      <c r="F217" s="1" t="s">
        <v>8</v>
      </c>
      <c r="G217" s="1" t="s">
        <v>10</v>
      </c>
    </row>
    <row r="218" spans="1:7" x14ac:dyDescent="0.3">
      <c r="A218" s="1">
        <v>482</v>
      </c>
      <c r="B218" s="1" t="s">
        <v>672</v>
      </c>
      <c r="C218" s="1" t="s">
        <v>7207</v>
      </c>
      <c r="D218" s="1" t="s">
        <v>7208</v>
      </c>
      <c r="E218" s="1">
        <v>269.86</v>
      </c>
      <c r="F218" s="1" t="s">
        <v>8</v>
      </c>
      <c r="G218" s="1" t="s">
        <v>10</v>
      </c>
    </row>
    <row r="219" spans="1:7" x14ac:dyDescent="0.3">
      <c r="A219" s="1">
        <v>482</v>
      </c>
      <c r="B219" s="1" t="s">
        <v>672</v>
      </c>
      <c r="C219" s="1" t="s">
        <v>7209</v>
      </c>
      <c r="D219" s="1" t="s">
        <v>7210</v>
      </c>
      <c r="E219" s="1">
        <v>198.22</v>
      </c>
      <c r="F219" s="1" t="s">
        <v>8</v>
      </c>
      <c r="G219" s="1" t="s">
        <v>10</v>
      </c>
    </row>
    <row r="220" spans="1:7" x14ac:dyDescent="0.3">
      <c r="A220" s="1">
        <v>482</v>
      </c>
      <c r="B220" s="1" t="s">
        <v>672</v>
      </c>
      <c r="C220" s="1" t="s">
        <v>1588</v>
      </c>
      <c r="D220" s="1" t="s">
        <v>7211</v>
      </c>
      <c r="E220" s="1">
        <v>149.94999999999999</v>
      </c>
      <c r="F220" s="1" t="s">
        <v>8</v>
      </c>
      <c r="G220" s="1" t="s">
        <v>10</v>
      </c>
    </row>
    <row r="221" spans="1:7" x14ac:dyDescent="0.3">
      <c r="A221" s="1">
        <v>482</v>
      </c>
      <c r="B221" s="1" t="s">
        <v>672</v>
      </c>
      <c r="C221" s="1" t="s">
        <v>1599</v>
      </c>
      <c r="D221" s="1" t="s">
        <v>7212</v>
      </c>
      <c r="E221" s="1">
        <v>759.7</v>
      </c>
      <c r="F221" s="1" t="s">
        <v>8</v>
      </c>
      <c r="G221" s="1" t="s">
        <v>10</v>
      </c>
    </row>
    <row r="222" spans="1:7" x14ac:dyDescent="0.3">
      <c r="A222" s="1">
        <v>482</v>
      </c>
      <c r="B222" s="1" t="s">
        <v>672</v>
      </c>
      <c r="C222" s="1" t="s">
        <v>7213</v>
      </c>
      <c r="D222" s="1" t="s">
        <v>7214</v>
      </c>
      <c r="E222" s="1">
        <v>129.94999999999999</v>
      </c>
      <c r="F222" s="1" t="s">
        <v>8</v>
      </c>
      <c r="G222" s="1" t="s">
        <v>10</v>
      </c>
    </row>
    <row r="223" spans="1:7" x14ac:dyDescent="0.3">
      <c r="A223" s="1">
        <v>482</v>
      </c>
      <c r="B223" s="1" t="s">
        <v>672</v>
      </c>
      <c r="C223" s="1" t="s">
        <v>7215</v>
      </c>
      <c r="D223" s="1" t="s">
        <v>7216</v>
      </c>
      <c r="E223" s="1">
        <v>99.95</v>
      </c>
      <c r="F223" s="1" t="s">
        <v>8</v>
      </c>
      <c r="G223" s="1" t="s">
        <v>10</v>
      </c>
    </row>
    <row r="224" spans="1:7" x14ac:dyDescent="0.3">
      <c r="A224" s="1">
        <v>482</v>
      </c>
      <c r="B224" s="1" t="s">
        <v>672</v>
      </c>
      <c r="C224" s="1" t="s">
        <v>7217</v>
      </c>
      <c r="D224" s="1" t="s">
        <v>7218</v>
      </c>
      <c r="E224" s="1">
        <v>119.95</v>
      </c>
      <c r="F224" s="1" t="s">
        <v>8</v>
      </c>
      <c r="G224" s="1" t="s">
        <v>10</v>
      </c>
    </row>
    <row r="225" spans="1:7" x14ac:dyDescent="0.3">
      <c r="A225" s="1">
        <v>482</v>
      </c>
      <c r="B225" s="1" t="s">
        <v>672</v>
      </c>
      <c r="C225" s="1" t="s">
        <v>7219</v>
      </c>
      <c r="D225" s="1" t="s">
        <v>7220</v>
      </c>
      <c r="E225" s="1">
        <v>48.09</v>
      </c>
      <c r="F225" s="1" t="s">
        <v>8</v>
      </c>
      <c r="G225" s="1" t="s">
        <v>10</v>
      </c>
    </row>
    <row r="226" spans="1:7" x14ac:dyDescent="0.3">
      <c r="A226" s="1">
        <v>482</v>
      </c>
      <c r="B226" s="1" t="s">
        <v>672</v>
      </c>
      <c r="C226" s="1" t="s">
        <v>7221</v>
      </c>
      <c r="D226" s="1" t="s">
        <v>7222</v>
      </c>
      <c r="E226" s="1">
        <v>330.82</v>
      </c>
      <c r="F226" s="1" t="s">
        <v>8</v>
      </c>
      <c r="G226" s="1" t="s">
        <v>10</v>
      </c>
    </row>
    <row r="227" spans="1:7" x14ac:dyDescent="0.3">
      <c r="A227" s="1">
        <v>482</v>
      </c>
      <c r="B227" s="1" t="s">
        <v>672</v>
      </c>
      <c r="C227" s="1" t="s">
        <v>7223</v>
      </c>
      <c r="D227" s="1" t="s">
        <v>7224</v>
      </c>
      <c r="E227" s="1">
        <v>144.94999999999999</v>
      </c>
      <c r="F227" s="1" t="s">
        <v>8</v>
      </c>
      <c r="G227" s="1" t="s">
        <v>10</v>
      </c>
    </row>
    <row r="228" spans="1:7" x14ac:dyDescent="0.3">
      <c r="A228" s="1">
        <v>482</v>
      </c>
      <c r="B228" s="1" t="s">
        <v>672</v>
      </c>
      <c r="C228" s="1" t="s">
        <v>7225</v>
      </c>
      <c r="D228" s="1" t="s">
        <v>7226</v>
      </c>
      <c r="E228" s="1">
        <v>416.86</v>
      </c>
      <c r="F228" s="1" t="s">
        <v>8</v>
      </c>
      <c r="G228" s="1" t="s">
        <v>10</v>
      </c>
    </row>
    <row r="229" spans="1:7" x14ac:dyDescent="0.3">
      <c r="A229" s="1">
        <v>482</v>
      </c>
      <c r="B229" s="1" t="s">
        <v>672</v>
      </c>
      <c r="C229" s="1" t="s">
        <v>7227</v>
      </c>
      <c r="D229" s="1" t="s">
        <v>7228</v>
      </c>
      <c r="E229" s="1">
        <v>377.84</v>
      </c>
      <c r="F229" s="1" t="s">
        <v>8</v>
      </c>
      <c r="G229" s="1" t="s">
        <v>10</v>
      </c>
    </row>
    <row r="230" spans="1:7" x14ac:dyDescent="0.3">
      <c r="A230" s="1">
        <v>482</v>
      </c>
      <c r="B230" s="1" t="s">
        <v>672</v>
      </c>
      <c r="C230" s="1" t="s">
        <v>7229</v>
      </c>
      <c r="D230" s="1" t="s">
        <v>7230</v>
      </c>
      <c r="E230" s="1">
        <v>110.94</v>
      </c>
      <c r="F230" s="1" t="s">
        <v>8</v>
      </c>
      <c r="G230" s="1" t="s">
        <v>10</v>
      </c>
    </row>
    <row r="231" spans="1:7" x14ac:dyDescent="0.3">
      <c r="A231" s="1">
        <v>482</v>
      </c>
      <c r="B231" s="1" t="s">
        <v>672</v>
      </c>
      <c r="C231" s="1" t="s">
        <v>7231</v>
      </c>
      <c r="D231" s="1" t="s">
        <v>7232</v>
      </c>
      <c r="E231" s="1">
        <v>134.94999999999999</v>
      </c>
      <c r="F231" s="1" t="s">
        <v>8</v>
      </c>
      <c r="G231" s="1" t="s">
        <v>10</v>
      </c>
    </row>
    <row r="232" spans="1:7" x14ac:dyDescent="0.3">
      <c r="A232" s="1">
        <v>482</v>
      </c>
      <c r="B232" s="1" t="s">
        <v>672</v>
      </c>
      <c r="C232" s="1" t="s">
        <v>7233</v>
      </c>
      <c r="D232" s="1" t="s">
        <v>7234</v>
      </c>
      <c r="E232" s="1">
        <v>185.09</v>
      </c>
      <c r="F232" s="1" t="s">
        <v>8</v>
      </c>
      <c r="G232" s="1" t="s">
        <v>10</v>
      </c>
    </row>
    <row r="233" spans="1:7" x14ac:dyDescent="0.3">
      <c r="A233" s="1">
        <v>482</v>
      </c>
      <c r="B233" s="1" t="s">
        <v>672</v>
      </c>
      <c r="C233" s="1" t="s">
        <v>7235</v>
      </c>
      <c r="D233" s="1" t="s">
        <v>7236</v>
      </c>
      <c r="E233" s="1">
        <v>79.900000000000006</v>
      </c>
      <c r="F233" s="1" t="s">
        <v>8</v>
      </c>
      <c r="G233" s="1" t="s">
        <v>10</v>
      </c>
    </row>
    <row r="234" spans="1:7" x14ac:dyDescent="0.3">
      <c r="A234" s="1">
        <v>482</v>
      </c>
      <c r="B234" s="1" t="s">
        <v>672</v>
      </c>
      <c r="C234" s="1" t="s">
        <v>7237</v>
      </c>
      <c r="D234" s="1" t="s">
        <v>7238</v>
      </c>
      <c r="E234" s="1">
        <v>231.92</v>
      </c>
      <c r="F234" s="1" t="s">
        <v>8</v>
      </c>
      <c r="G234" s="1" t="s">
        <v>10</v>
      </c>
    </row>
    <row r="235" spans="1:7" x14ac:dyDescent="0.3">
      <c r="A235" s="1">
        <v>482</v>
      </c>
      <c r="B235" s="1" t="s">
        <v>672</v>
      </c>
      <c r="C235" s="1" t="s">
        <v>7239</v>
      </c>
      <c r="D235" s="1" t="s">
        <v>7240</v>
      </c>
      <c r="E235" s="1">
        <v>13.67</v>
      </c>
      <c r="F235" s="1" t="s">
        <v>8</v>
      </c>
      <c r="G235" s="1" t="s">
        <v>10</v>
      </c>
    </row>
    <row r="236" spans="1:7" x14ac:dyDescent="0.3">
      <c r="A236" s="1">
        <v>482</v>
      </c>
      <c r="B236" s="1" t="s">
        <v>672</v>
      </c>
      <c r="C236" s="1" t="s">
        <v>7241</v>
      </c>
      <c r="D236" s="1" t="s">
        <v>7242</v>
      </c>
      <c r="E236" s="1">
        <v>519.79999999999995</v>
      </c>
      <c r="F236" s="1" t="s">
        <v>8</v>
      </c>
      <c r="G236" s="1" t="s">
        <v>10</v>
      </c>
    </row>
    <row r="237" spans="1:7" x14ac:dyDescent="0.3">
      <c r="A237" s="1">
        <v>482</v>
      </c>
      <c r="B237" s="1" t="s">
        <v>672</v>
      </c>
      <c r="C237" s="1" t="s">
        <v>7243</v>
      </c>
      <c r="D237" s="1" t="s">
        <v>7244</v>
      </c>
      <c r="E237" s="1">
        <v>47.97</v>
      </c>
      <c r="F237" s="1" t="s">
        <v>8</v>
      </c>
      <c r="G237" s="1" t="s">
        <v>10</v>
      </c>
    </row>
    <row r="238" spans="1:7" x14ac:dyDescent="0.3">
      <c r="A238" s="1">
        <v>482</v>
      </c>
      <c r="B238" s="1" t="s">
        <v>672</v>
      </c>
      <c r="C238" s="1" t="s">
        <v>7245</v>
      </c>
      <c r="D238" s="1" t="s">
        <v>7246</v>
      </c>
      <c r="E238" s="1">
        <v>209.91</v>
      </c>
      <c r="F238" s="1" t="s">
        <v>8</v>
      </c>
      <c r="G238" s="1" t="s">
        <v>10</v>
      </c>
    </row>
    <row r="239" spans="1:7" x14ac:dyDescent="0.3">
      <c r="A239" s="1">
        <v>482</v>
      </c>
      <c r="B239" s="1" t="s">
        <v>672</v>
      </c>
      <c r="C239" s="1" t="s">
        <v>57</v>
      </c>
      <c r="D239" s="1" t="s">
        <v>7247</v>
      </c>
      <c r="E239" s="1">
        <v>255.92</v>
      </c>
      <c r="F239" s="1" t="s">
        <v>8</v>
      </c>
      <c r="G239" s="1" t="s">
        <v>10</v>
      </c>
    </row>
    <row r="240" spans="1:7" x14ac:dyDescent="0.3">
      <c r="A240" s="1">
        <v>482</v>
      </c>
      <c r="B240" s="1" t="s">
        <v>672</v>
      </c>
      <c r="C240" s="1" t="s">
        <v>7248</v>
      </c>
      <c r="D240" s="1" t="s">
        <v>7249</v>
      </c>
      <c r="E240" s="1">
        <v>1085.67</v>
      </c>
      <c r="F240" s="1" t="s">
        <v>8</v>
      </c>
      <c r="G240" s="1" t="s">
        <v>10</v>
      </c>
    </row>
    <row r="241" spans="1:7" x14ac:dyDescent="0.3">
      <c r="A241" s="1">
        <v>482</v>
      </c>
      <c r="B241" s="1" t="s">
        <v>672</v>
      </c>
      <c r="C241" s="1" t="s">
        <v>7250</v>
      </c>
      <c r="D241" s="1" t="s">
        <v>7251</v>
      </c>
      <c r="E241" s="1">
        <v>215.92</v>
      </c>
      <c r="F241" s="1" t="s">
        <v>8</v>
      </c>
      <c r="G241" s="1" t="s">
        <v>10</v>
      </c>
    </row>
    <row r="242" spans="1:7" x14ac:dyDescent="0.3">
      <c r="A242" s="1">
        <v>482</v>
      </c>
      <c r="B242" s="1" t="s">
        <v>672</v>
      </c>
      <c r="C242" s="1" t="s">
        <v>7252</v>
      </c>
      <c r="D242" s="1" t="s">
        <v>7253</v>
      </c>
      <c r="E242" s="1">
        <v>260.92</v>
      </c>
      <c r="F242" s="1" t="s">
        <v>8</v>
      </c>
      <c r="G242" s="1" t="s">
        <v>10</v>
      </c>
    </row>
    <row r="243" spans="1:7" x14ac:dyDescent="0.3">
      <c r="A243" s="1">
        <v>482</v>
      </c>
      <c r="B243" s="1" t="s">
        <v>672</v>
      </c>
      <c r="C243" s="1" t="s">
        <v>7254</v>
      </c>
      <c r="D243" s="1" t="s">
        <v>7255</v>
      </c>
      <c r="E243" s="1">
        <v>224.85</v>
      </c>
      <c r="F243" s="1" t="s">
        <v>8</v>
      </c>
      <c r="G243" s="1" t="s">
        <v>10</v>
      </c>
    </row>
    <row r="244" spans="1:7" x14ac:dyDescent="0.3">
      <c r="A244" s="1">
        <v>485</v>
      </c>
      <c r="B244" s="1" t="s">
        <v>991</v>
      </c>
      <c r="C244" s="1" t="s">
        <v>7256</v>
      </c>
      <c r="D244" s="1" t="s">
        <v>7257</v>
      </c>
      <c r="E244" s="1">
        <v>124.4</v>
      </c>
      <c r="F244" s="1" t="s">
        <v>8</v>
      </c>
      <c r="G244" s="1" t="s">
        <v>10</v>
      </c>
    </row>
    <row r="245" spans="1:7" x14ac:dyDescent="0.3">
      <c r="A245" s="1">
        <v>485</v>
      </c>
      <c r="B245" s="1" t="s">
        <v>991</v>
      </c>
      <c r="C245" s="1" t="s">
        <v>7258</v>
      </c>
      <c r="D245" s="1" t="s">
        <v>7259</v>
      </c>
      <c r="E245" s="1">
        <v>1618.56</v>
      </c>
      <c r="F245" s="1" t="s">
        <v>8</v>
      </c>
      <c r="G245" s="1" t="s">
        <v>10</v>
      </c>
    </row>
    <row r="246" spans="1:7" x14ac:dyDescent="0.3">
      <c r="A246" s="1">
        <v>485</v>
      </c>
      <c r="B246" s="1" t="s">
        <v>991</v>
      </c>
      <c r="C246" s="1" t="s">
        <v>839</v>
      </c>
      <c r="D246" s="1" t="s">
        <v>840</v>
      </c>
      <c r="E246" s="1">
        <v>38.6</v>
      </c>
      <c r="F246" s="1" t="s">
        <v>8</v>
      </c>
      <c r="G246" s="1" t="s">
        <v>10</v>
      </c>
    </row>
    <row r="247" spans="1:7" x14ac:dyDescent="0.3">
      <c r="A247" s="1">
        <v>485</v>
      </c>
      <c r="B247" s="1" t="s">
        <v>991</v>
      </c>
      <c r="C247" s="1" t="s">
        <v>843</v>
      </c>
      <c r="D247" s="1" t="s">
        <v>844</v>
      </c>
      <c r="E247" s="1">
        <v>30.96</v>
      </c>
      <c r="F247" s="1" t="s">
        <v>8</v>
      </c>
      <c r="G247" s="1" t="s">
        <v>10</v>
      </c>
    </row>
    <row r="248" spans="1:7" x14ac:dyDescent="0.3">
      <c r="A248" s="1">
        <v>485</v>
      </c>
      <c r="B248" s="1" t="s">
        <v>991</v>
      </c>
      <c r="C248" s="1" t="s">
        <v>855</v>
      </c>
      <c r="D248" s="1" t="s">
        <v>856</v>
      </c>
      <c r="E248" s="1">
        <v>34.04</v>
      </c>
      <c r="F248" s="1" t="s">
        <v>8</v>
      </c>
      <c r="G248" s="1" t="s">
        <v>10</v>
      </c>
    </row>
    <row r="249" spans="1:7" x14ac:dyDescent="0.3">
      <c r="A249" s="1">
        <v>485</v>
      </c>
      <c r="B249" s="1" t="s">
        <v>991</v>
      </c>
      <c r="C249" s="1" t="s">
        <v>857</v>
      </c>
      <c r="D249" s="1" t="s">
        <v>858</v>
      </c>
      <c r="E249" s="1">
        <v>33.96</v>
      </c>
      <c r="F249" s="1" t="s">
        <v>8</v>
      </c>
      <c r="G249" s="1" t="s">
        <v>10</v>
      </c>
    </row>
    <row r="250" spans="1:7" x14ac:dyDescent="0.3">
      <c r="A250" s="1">
        <v>485</v>
      </c>
      <c r="B250" s="1" t="s">
        <v>991</v>
      </c>
      <c r="C250" s="1" t="s">
        <v>695</v>
      </c>
      <c r="D250" s="1" t="s">
        <v>696</v>
      </c>
      <c r="E250" s="1">
        <v>61.06</v>
      </c>
      <c r="F250" s="1" t="s">
        <v>8</v>
      </c>
      <c r="G250" s="1" t="s">
        <v>10</v>
      </c>
    </row>
    <row r="251" spans="1:7" x14ac:dyDescent="0.3">
      <c r="A251" s="1">
        <v>485</v>
      </c>
      <c r="B251" s="1" t="s">
        <v>991</v>
      </c>
      <c r="C251" s="1" t="s">
        <v>859</v>
      </c>
      <c r="D251" s="1" t="s">
        <v>860</v>
      </c>
      <c r="E251" s="1">
        <v>114.69</v>
      </c>
      <c r="F251" s="1" t="s">
        <v>8</v>
      </c>
      <c r="G251" s="1" t="s">
        <v>10</v>
      </c>
    </row>
    <row r="252" spans="1:7" x14ac:dyDescent="0.3">
      <c r="A252" s="1">
        <v>485</v>
      </c>
      <c r="B252" s="1" t="s">
        <v>991</v>
      </c>
      <c r="C252" s="1" t="s">
        <v>861</v>
      </c>
      <c r="D252" s="1" t="s">
        <v>862</v>
      </c>
      <c r="E252" s="1">
        <v>26.12</v>
      </c>
      <c r="F252" s="1" t="s">
        <v>8</v>
      </c>
      <c r="G252" s="1" t="s">
        <v>10</v>
      </c>
    </row>
    <row r="253" spans="1:7" x14ac:dyDescent="0.3">
      <c r="A253" s="1">
        <v>485</v>
      </c>
      <c r="B253" s="1" t="s">
        <v>991</v>
      </c>
      <c r="C253" s="1" t="s">
        <v>863</v>
      </c>
      <c r="D253" s="1" t="s">
        <v>864</v>
      </c>
      <c r="E253" s="1">
        <v>35</v>
      </c>
      <c r="F253" s="1" t="s">
        <v>8</v>
      </c>
      <c r="G253" s="1" t="s">
        <v>10</v>
      </c>
    </row>
    <row r="254" spans="1:7" x14ac:dyDescent="0.3">
      <c r="A254" s="1">
        <v>485</v>
      </c>
      <c r="B254" s="1" t="s">
        <v>991</v>
      </c>
      <c r="C254" s="1" t="s">
        <v>867</v>
      </c>
      <c r="D254" s="1" t="s">
        <v>868</v>
      </c>
      <c r="E254" s="1">
        <v>28.86</v>
      </c>
      <c r="F254" s="1" t="s">
        <v>8</v>
      </c>
      <c r="G254" s="1" t="s">
        <v>10</v>
      </c>
    </row>
    <row r="255" spans="1:7" x14ac:dyDescent="0.3">
      <c r="A255" s="1">
        <v>485</v>
      </c>
      <c r="B255" s="1" t="s">
        <v>991</v>
      </c>
      <c r="C255" s="1" t="s">
        <v>869</v>
      </c>
      <c r="D255" s="1" t="s">
        <v>870</v>
      </c>
      <c r="E255" s="1">
        <v>61.57</v>
      </c>
      <c r="F255" s="1" t="s">
        <v>8</v>
      </c>
      <c r="G255" s="1" t="s">
        <v>10</v>
      </c>
    </row>
    <row r="256" spans="1:7" x14ac:dyDescent="0.3">
      <c r="A256" s="1">
        <v>485</v>
      </c>
      <c r="B256" s="1" t="s">
        <v>991</v>
      </c>
      <c r="C256" s="1" t="s">
        <v>705</v>
      </c>
      <c r="D256" s="1" t="s">
        <v>706</v>
      </c>
      <c r="E256" s="1">
        <v>58.14</v>
      </c>
      <c r="F256" s="1" t="s">
        <v>8</v>
      </c>
      <c r="G256" s="1" t="s">
        <v>10</v>
      </c>
    </row>
    <row r="257" spans="1:7" x14ac:dyDescent="0.3">
      <c r="A257" s="1">
        <v>485</v>
      </c>
      <c r="B257" s="1" t="s">
        <v>991</v>
      </c>
      <c r="C257" s="1" t="s">
        <v>889</v>
      </c>
      <c r="D257" s="1" t="s">
        <v>890</v>
      </c>
      <c r="E257" s="1">
        <v>35.15</v>
      </c>
      <c r="F257" s="1" t="s">
        <v>8</v>
      </c>
      <c r="G257" s="1" t="s">
        <v>10</v>
      </c>
    </row>
    <row r="258" spans="1:7" x14ac:dyDescent="0.3">
      <c r="A258" s="1">
        <v>485</v>
      </c>
      <c r="B258" s="1" t="s">
        <v>991</v>
      </c>
      <c r="C258" s="1" t="s">
        <v>891</v>
      </c>
      <c r="D258" s="1" t="s">
        <v>892</v>
      </c>
      <c r="E258" s="1">
        <v>44.35</v>
      </c>
      <c r="F258" s="1" t="s">
        <v>8</v>
      </c>
      <c r="G258" s="1" t="s">
        <v>10</v>
      </c>
    </row>
    <row r="259" spans="1:7" x14ac:dyDescent="0.3">
      <c r="A259" s="1">
        <v>485</v>
      </c>
      <c r="B259" s="1" t="s">
        <v>991</v>
      </c>
      <c r="C259" s="1" t="s">
        <v>824</v>
      </c>
      <c r="D259" s="1" t="s">
        <v>825</v>
      </c>
      <c r="E259" s="1">
        <v>37.36</v>
      </c>
      <c r="F259" s="1" t="s">
        <v>8</v>
      </c>
      <c r="G259" s="1" t="s">
        <v>10</v>
      </c>
    </row>
    <row r="260" spans="1:7" x14ac:dyDescent="0.3">
      <c r="A260" s="1">
        <v>485</v>
      </c>
      <c r="B260" s="1" t="s">
        <v>991</v>
      </c>
      <c r="C260" s="1" t="s">
        <v>905</v>
      </c>
      <c r="D260" s="1" t="s">
        <v>906</v>
      </c>
      <c r="E260" s="1">
        <v>78.39</v>
      </c>
      <c r="F260" s="1" t="s">
        <v>8</v>
      </c>
      <c r="G260" s="1" t="s">
        <v>10</v>
      </c>
    </row>
    <row r="261" spans="1:7" x14ac:dyDescent="0.3">
      <c r="A261" s="1">
        <v>485</v>
      </c>
      <c r="B261" s="1" t="s">
        <v>991</v>
      </c>
      <c r="C261" s="1" t="s">
        <v>7260</v>
      </c>
      <c r="D261" s="1" t="s">
        <v>7261</v>
      </c>
      <c r="E261" s="1">
        <v>38.9</v>
      </c>
      <c r="F261" s="1" t="s">
        <v>8</v>
      </c>
      <c r="G261" s="1" t="s">
        <v>10</v>
      </c>
    </row>
    <row r="262" spans="1:7" x14ac:dyDescent="0.3">
      <c r="A262" s="1">
        <v>485</v>
      </c>
      <c r="B262" s="1" t="s">
        <v>991</v>
      </c>
      <c r="C262" s="1" t="s">
        <v>907</v>
      </c>
      <c r="D262" s="1" t="s">
        <v>908</v>
      </c>
      <c r="E262" s="1">
        <v>128.79</v>
      </c>
      <c r="F262" s="1" t="s">
        <v>8</v>
      </c>
      <c r="G262" s="1" t="s">
        <v>10</v>
      </c>
    </row>
    <row r="263" spans="1:7" x14ac:dyDescent="0.3">
      <c r="A263" s="1">
        <v>485</v>
      </c>
      <c r="B263" s="1" t="s">
        <v>991</v>
      </c>
      <c r="C263" s="1" t="s">
        <v>911</v>
      </c>
      <c r="D263" s="1" t="s">
        <v>912</v>
      </c>
      <c r="E263" s="1">
        <v>68.58</v>
      </c>
      <c r="F263" s="1" t="s">
        <v>8</v>
      </c>
      <c r="G263" s="1" t="s">
        <v>10</v>
      </c>
    </row>
    <row r="264" spans="1:7" x14ac:dyDescent="0.3">
      <c r="A264" s="1">
        <v>485</v>
      </c>
      <c r="B264" s="1" t="s">
        <v>991</v>
      </c>
      <c r="C264" s="1" t="s">
        <v>913</v>
      </c>
      <c r="D264" s="1" t="s">
        <v>914</v>
      </c>
      <c r="E264" s="1">
        <v>62.06</v>
      </c>
      <c r="F264" s="1" t="s">
        <v>8</v>
      </c>
      <c r="G264" s="1" t="s">
        <v>10</v>
      </c>
    </row>
    <row r="265" spans="1:7" x14ac:dyDescent="0.3">
      <c r="A265" s="1">
        <v>485</v>
      </c>
      <c r="B265" s="1" t="s">
        <v>991</v>
      </c>
      <c r="C265" s="1" t="s">
        <v>915</v>
      </c>
      <c r="D265" s="1" t="s">
        <v>916</v>
      </c>
      <c r="E265" s="1">
        <v>35.630000000000003</v>
      </c>
      <c r="F265" s="1" t="s">
        <v>8</v>
      </c>
      <c r="G265" s="1" t="s">
        <v>10</v>
      </c>
    </row>
    <row r="266" spans="1:7" x14ac:dyDescent="0.3">
      <c r="A266" s="1">
        <v>485</v>
      </c>
      <c r="B266" s="1" t="s">
        <v>991</v>
      </c>
      <c r="C266" s="1" t="s">
        <v>919</v>
      </c>
      <c r="D266" s="1" t="s">
        <v>920</v>
      </c>
      <c r="E266" s="1">
        <v>107.81</v>
      </c>
      <c r="F266" s="1" t="s">
        <v>8</v>
      </c>
      <c r="G266" s="1" t="s">
        <v>10</v>
      </c>
    </row>
    <row r="267" spans="1:7" x14ac:dyDescent="0.3">
      <c r="A267" s="1">
        <v>485</v>
      </c>
      <c r="B267" s="1" t="s">
        <v>991</v>
      </c>
      <c r="C267" s="1" t="s">
        <v>733</v>
      </c>
      <c r="D267" s="1" t="s">
        <v>734</v>
      </c>
      <c r="E267" s="1">
        <v>38.9</v>
      </c>
      <c r="F267" s="1" t="s">
        <v>8</v>
      </c>
      <c r="G267" s="1" t="s">
        <v>10</v>
      </c>
    </row>
    <row r="268" spans="1:7" x14ac:dyDescent="0.3">
      <c r="A268" s="1">
        <v>485</v>
      </c>
      <c r="B268" s="1" t="s">
        <v>991</v>
      </c>
      <c r="C268" s="1" t="s">
        <v>927</v>
      </c>
      <c r="D268" s="1" t="s">
        <v>928</v>
      </c>
      <c r="E268" s="1">
        <v>64.709999999999994</v>
      </c>
      <c r="F268" s="1" t="s">
        <v>8</v>
      </c>
      <c r="G268" s="1" t="s">
        <v>10</v>
      </c>
    </row>
    <row r="269" spans="1:7" x14ac:dyDescent="0.3">
      <c r="A269" s="1">
        <v>485</v>
      </c>
      <c r="B269" s="1" t="s">
        <v>991</v>
      </c>
      <c r="C269" s="1" t="s">
        <v>929</v>
      </c>
      <c r="D269" s="1" t="s">
        <v>930</v>
      </c>
      <c r="E269" s="1">
        <v>78.39</v>
      </c>
      <c r="F269" s="1" t="s">
        <v>8</v>
      </c>
      <c r="G269" s="1" t="s">
        <v>10</v>
      </c>
    </row>
    <row r="270" spans="1:7" x14ac:dyDescent="0.3">
      <c r="A270" s="1">
        <v>485</v>
      </c>
      <c r="B270" s="1" t="s">
        <v>991</v>
      </c>
      <c r="C270" s="1" t="s">
        <v>741</v>
      </c>
      <c r="D270" s="1" t="s">
        <v>742</v>
      </c>
      <c r="E270" s="1">
        <v>66.3</v>
      </c>
      <c r="F270" s="1" t="s">
        <v>8</v>
      </c>
      <c r="G270" s="1" t="s">
        <v>10</v>
      </c>
    </row>
    <row r="271" spans="1:7" x14ac:dyDescent="0.3">
      <c r="A271" s="1">
        <v>485</v>
      </c>
      <c r="B271" s="1" t="s">
        <v>991</v>
      </c>
      <c r="C271" s="1" t="s">
        <v>931</v>
      </c>
      <c r="D271" s="1" t="s">
        <v>932</v>
      </c>
      <c r="E271" s="1">
        <v>67.989999999999995</v>
      </c>
      <c r="F271" s="1" t="s">
        <v>8</v>
      </c>
      <c r="G271" s="1" t="s">
        <v>10</v>
      </c>
    </row>
    <row r="272" spans="1:7" x14ac:dyDescent="0.3">
      <c r="A272" s="1">
        <v>485</v>
      </c>
      <c r="B272" s="1" t="s">
        <v>991</v>
      </c>
      <c r="C272" s="1" t="s">
        <v>7262</v>
      </c>
      <c r="D272" s="1" t="s">
        <v>7263</v>
      </c>
      <c r="E272" s="1">
        <v>1035.5999999999999</v>
      </c>
      <c r="F272" s="1" t="s">
        <v>8</v>
      </c>
      <c r="G272" s="1" t="s">
        <v>10</v>
      </c>
    </row>
    <row r="273" spans="1:7" x14ac:dyDescent="0.3">
      <c r="A273" s="1">
        <v>485</v>
      </c>
      <c r="B273" s="1" t="s">
        <v>991</v>
      </c>
      <c r="C273" s="1" t="s">
        <v>747</v>
      </c>
      <c r="D273" s="1" t="s">
        <v>748</v>
      </c>
      <c r="E273" s="1">
        <v>38.86</v>
      </c>
      <c r="F273" s="1" t="s">
        <v>8</v>
      </c>
      <c r="G273" s="1" t="s">
        <v>10</v>
      </c>
    </row>
    <row r="274" spans="1:7" x14ac:dyDescent="0.3">
      <c r="A274" s="1">
        <v>485</v>
      </c>
      <c r="B274" s="1" t="s">
        <v>991</v>
      </c>
      <c r="C274" s="1" t="s">
        <v>7264</v>
      </c>
      <c r="D274" s="1" t="s">
        <v>7265</v>
      </c>
      <c r="E274" s="1">
        <v>9</v>
      </c>
      <c r="F274" s="1" t="s">
        <v>8</v>
      </c>
      <c r="G274" s="1" t="s">
        <v>10</v>
      </c>
    </row>
    <row r="275" spans="1:7" x14ac:dyDescent="0.3">
      <c r="A275" s="1">
        <v>485</v>
      </c>
      <c r="B275" s="1" t="s">
        <v>991</v>
      </c>
      <c r="C275" s="1" t="s">
        <v>939</v>
      </c>
      <c r="D275" s="1" t="s">
        <v>940</v>
      </c>
      <c r="E275" s="1">
        <v>62</v>
      </c>
      <c r="F275" s="1" t="s">
        <v>8</v>
      </c>
      <c r="G275" s="1" t="s">
        <v>10</v>
      </c>
    </row>
    <row r="276" spans="1:7" x14ac:dyDescent="0.3">
      <c r="A276" s="1">
        <v>485</v>
      </c>
      <c r="B276" s="1" t="s">
        <v>991</v>
      </c>
      <c r="C276" s="1" t="s">
        <v>945</v>
      </c>
      <c r="D276" s="1" t="s">
        <v>946</v>
      </c>
      <c r="E276" s="1">
        <v>75.510000000000005</v>
      </c>
      <c r="F276" s="1" t="s">
        <v>8</v>
      </c>
      <c r="G276" s="1" t="s">
        <v>10</v>
      </c>
    </row>
    <row r="277" spans="1:7" x14ac:dyDescent="0.3">
      <c r="A277" s="1">
        <v>485</v>
      </c>
      <c r="B277" s="1" t="s">
        <v>991</v>
      </c>
      <c r="C277" s="1" t="s">
        <v>773</v>
      </c>
      <c r="D277" s="1" t="s">
        <v>774</v>
      </c>
      <c r="E277" s="1">
        <v>29.9</v>
      </c>
      <c r="F277" s="1" t="s">
        <v>8</v>
      </c>
      <c r="G277" s="1" t="s">
        <v>10</v>
      </c>
    </row>
    <row r="278" spans="1:7" x14ac:dyDescent="0.3">
      <c r="A278" s="1">
        <v>485</v>
      </c>
      <c r="B278" s="1" t="s">
        <v>991</v>
      </c>
      <c r="C278" s="1" t="s">
        <v>7266</v>
      </c>
      <c r="D278" s="1" t="s">
        <v>7267</v>
      </c>
      <c r="E278" s="1">
        <v>453.6</v>
      </c>
      <c r="F278" s="1" t="s">
        <v>8</v>
      </c>
      <c r="G278" s="1" t="s">
        <v>10</v>
      </c>
    </row>
    <row r="279" spans="1:7" x14ac:dyDescent="0.3">
      <c r="A279" s="1">
        <v>485</v>
      </c>
      <c r="B279" s="1" t="s">
        <v>991</v>
      </c>
      <c r="C279" s="1" t="s">
        <v>967</v>
      </c>
      <c r="D279" s="1" t="s">
        <v>968</v>
      </c>
      <c r="E279" s="1">
        <v>61.06</v>
      </c>
      <c r="F279" s="1" t="s">
        <v>8</v>
      </c>
      <c r="G279" s="1" t="s">
        <v>10</v>
      </c>
    </row>
    <row r="280" spans="1:7" x14ac:dyDescent="0.3">
      <c r="A280" s="1">
        <v>485</v>
      </c>
      <c r="B280" s="1" t="s">
        <v>991</v>
      </c>
      <c r="C280" s="1" t="s">
        <v>969</v>
      </c>
      <c r="D280" s="1" t="s">
        <v>970</v>
      </c>
      <c r="E280" s="1">
        <v>68.2</v>
      </c>
      <c r="F280" s="1" t="s">
        <v>8</v>
      </c>
      <c r="G280" s="1" t="s">
        <v>10</v>
      </c>
    </row>
    <row r="281" spans="1:7" x14ac:dyDescent="0.3">
      <c r="A281" s="1">
        <v>485</v>
      </c>
      <c r="B281" s="1" t="s">
        <v>991</v>
      </c>
      <c r="C281" s="1" t="s">
        <v>975</v>
      </c>
      <c r="D281" s="1" t="s">
        <v>976</v>
      </c>
      <c r="E281" s="1">
        <v>33.78</v>
      </c>
      <c r="F281" s="1" t="s">
        <v>8</v>
      </c>
      <c r="G281" s="1" t="s">
        <v>10</v>
      </c>
    </row>
    <row r="282" spans="1:7" x14ac:dyDescent="0.3">
      <c r="A282" s="1">
        <v>485</v>
      </c>
      <c r="B282" s="1" t="s">
        <v>991</v>
      </c>
      <c r="C282" s="1" t="s">
        <v>981</v>
      </c>
      <c r="D282" s="1" t="s">
        <v>982</v>
      </c>
      <c r="E282" s="1">
        <v>239.13</v>
      </c>
      <c r="F282" s="1" t="s">
        <v>8</v>
      </c>
      <c r="G282" s="1" t="s">
        <v>10</v>
      </c>
    </row>
    <row r="283" spans="1:7" x14ac:dyDescent="0.3">
      <c r="A283" s="1">
        <v>485</v>
      </c>
      <c r="B283" s="1" t="s">
        <v>991</v>
      </c>
      <c r="C283" s="1" t="s">
        <v>799</v>
      </c>
      <c r="D283" s="1" t="s">
        <v>800</v>
      </c>
      <c r="E283" s="1">
        <v>79.8</v>
      </c>
      <c r="F283" s="1" t="s">
        <v>8</v>
      </c>
      <c r="G283" s="1" t="s">
        <v>10</v>
      </c>
    </row>
    <row r="284" spans="1:7" x14ac:dyDescent="0.3">
      <c r="A284" s="1">
        <v>485</v>
      </c>
      <c r="B284" s="1" t="s">
        <v>991</v>
      </c>
      <c r="C284" s="1" t="s">
        <v>7268</v>
      </c>
      <c r="D284" s="1" t="s">
        <v>7269</v>
      </c>
      <c r="E284" s="1">
        <v>44.55</v>
      </c>
      <c r="F284" s="1" t="s">
        <v>8</v>
      </c>
      <c r="G284" s="1" t="s">
        <v>10</v>
      </c>
    </row>
    <row r="285" spans="1:7" x14ac:dyDescent="0.3">
      <c r="A285" s="1">
        <v>485</v>
      </c>
      <c r="B285" s="1" t="s">
        <v>991</v>
      </c>
      <c r="C285" s="1" t="s">
        <v>985</v>
      </c>
      <c r="D285" s="1" t="s">
        <v>986</v>
      </c>
      <c r="E285" s="1">
        <v>69.91</v>
      </c>
      <c r="F285" s="1" t="s">
        <v>8</v>
      </c>
      <c r="G285" s="1" t="s">
        <v>10</v>
      </c>
    </row>
    <row r="286" spans="1:7" x14ac:dyDescent="0.3">
      <c r="A286" s="1">
        <v>485</v>
      </c>
      <c r="B286" s="1" t="s">
        <v>991</v>
      </c>
      <c r="C286" s="1" t="s">
        <v>7270</v>
      </c>
      <c r="D286" s="1" t="s">
        <v>7271</v>
      </c>
      <c r="E286" s="1">
        <v>334.9</v>
      </c>
      <c r="F286" s="1" t="s">
        <v>8</v>
      </c>
      <c r="G286" s="1" t="s">
        <v>10</v>
      </c>
    </row>
    <row r="287" spans="1:7" x14ac:dyDescent="0.3">
      <c r="A287" s="1">
        <v>485</v>
      </c>
      <c r="B287" s="1" t="s">
        <v>991</v>
      </c>
      <c r="C287" s="1" t="s">
        <v>987</v>
      </c>
      <c r="D287" s="1" t="s">
        <v>988</v>
      </c>
      <c r="E287" s="1">
        <v>38.82</v>
      </c>
      <c r="F287" s="1" t="s">
        <v>8</v>
      </c>
      <c r="G287" s="1" t="s">
        <v>10</v>
      </c>
    </row>
    <row r="288" spans="1:7" x14ac:dyDescent="0.3">
      <c r="A288" s="1">
        <v>485</v>
      </c>
      <c r="B288" s="1" t="s">
        <v>991</v>
      </c>
      <c r="C288" s="1" t="s">
        <v>4712</v>
      </c>
      <c r="D288" s="1" t="s">
        <v>4713</v>
      </c>
      <c r="E288" s="1">
        <v>87.41</v>
      </c>
      <c r="F288" s="1" t="s">
        <v>8</v>
      </c>
      <c r="G288" s="1" t="s">
        <v>10</v>
      </c>
    </row>
    <row r="289" spans="1:7" x14ac:dyDescent="0.3">
      <c r="A289" s="1">
        <v>485</v>
      </c>
      <c r="B289" s="1" t="s">
        <v>991</v>
      </c>
      <c r="C289" s="1" t="s">
        <v>7272</v>
      </c>
      <c r="D289" s="1" t="s">
        <v>7273</v>
      </c>
      <c r="E289" s="1">
        <v>67.900000000000006</v>
      </c>
      <c r="F289" s="1" t="s">
        <v>8</v>
      </c>
      <c r="G289" s="1" t="s">
        <v>10</v>
      </c>
    </row>
    <row r="290" spans="1:7" x14ac:dyDescent="0.3">
      <c r="A290" s="1">
        <v>485</v>
      </c>
      <c r="B290" s="1" t="s">
        <v>991</v>
      </c>
      <c r="C290" s="1" t="s">
        <v>4730</v>
      </c>
      <c r="D290" s="1" t="s">
        <v>4731</v>
      </c>
      <c r="E290" s="1">
        <v>93.04</v>
      </c>
      <c r="F290" s="1" t="s">
        <v>8</v>
      </c>
      <c r="G290" s="1" t="s">
        <v>10</v>
      </c>
    </row>
    <row r="291" spans="1:7" x14ac:dyDescent="0.3">
      <c r="A291" s="1">
        <v>485</v>
      </c>
      <c r="B291" s="1" t="s">
        <v>991</v>
      </c>
      <c r="C291" s="1" t="s">
        <v>7274</v>
      </c>
      <c r="D291" s="1" t="s">
        <v>7275</v>
      </c>
      <c r="E291" s="1">
        <v>177.09</v>
      </c>
      <c r="F291" s="1" t="s">
        <v>8</v>
      </c>
      <c r="G291" s="1" t="s">
        <v>10</v>
      </c>
    </row>
    <row r="292" spans="1:7" x14ac:dyDescent="0.3">
      <c r="A292" s="1">
        <v>485</v>
      </c>
      <c r="B292" s="1" t="s">
        <v>991</v>
      </c>
      <c r="C292" s="1" t="s">
        <v>7276</v>
      </c>
      <c r="D292" s="1" t="s">
        <v>7277</v>
      </c>
      <c r="E292" s="1">
        <v>41.46</v>
      </c>
      <c r="F292" s="1" t="s">
        <v>8</v>
      </c>
      <c r="G292" s="1" t="s">
        <v>10</v>
      </c>
    </row>
    <row r="293" spans="1:7" x14ac:dyDescent="0.3">
      <c r="A293" s="1">
        <v>517</v>
      </c>
      <c r="B293" s="1" t="s">
        <v>1352</v>
      </c>
      <c r="C293" s="1" t="s">
        <v>7278</v>
      </c>
      <c r="D293" s="1" t="s">
        <v>7279</v>
      </c>
      <c r="E293" s="1">
        <v>3005</v>
      </c>
      <c r="F293" s="1" t="s">
        <v>8</v>
      </c>
      <c r="G293" s="1" t="s">
        <v>10</v>
      </c>
    </row>
    <row r="294" spans="1:7" x14ac:dyDescent="0.3">
      <c r="A294" s="1">
        <v>517</v>
      </c>
      <c r="B294" s="1" t="s">
        <v>1352</v>
      </c>
      <c r="C294" s="1" t="s">
        <v>7280</v>
      </c>
      <c r="D294" s="1" t="s">
        <v>7281</v>
      </c>
      <c r="E294" s="1">
        <v>3005</v>
      </c>
      <c r="F294" s="1" t="s">
        <v>8</v>
      </c>
      <c r="G294" s="1" t="s">
        <v>10</v>
      </c>
    </row>
    <row r="295" spans="1:7" x14ac:dyDescent="0.3">
      <c r="A295" s="1">
        <v>517</v>
      </c>
      <c r="B295" s="1" t="s">
        <v>1352</v>
      </c>
      <c r="C295" s="1" t="s">
        <v>1387</v>
      </c>
      <c r="D295" s="1" t="s">
        <v>7282</v>
      </c>
      <c r="E295" s="1">
        <v>2000</v>
      </c>
      <c r="F295" s="1" t="s">
        <v>8</v>
      </c>
      <c r="G295" s="1" t="s">
        <v>10</v>
      </c>
    </row>
    <row r="296" spans="1:7" x14ac:dyDescent="0.3">
      <c r="A296" s="1">
        <v>517</v>
      </c>
      <c r="B296" s="1" t="s">
        <v>1352</v>
      </c>
      <c r="C296" s="1" t="s">
        <v>7283</v>
      </c>
      <c r="D296" s="1" t="s">
        <v>7284</v>
      </c>
      <c r="E296" s="1">
        <v>4050</v>
      </c>
      <c r="F296" s="1" t="s">
        <v>8</v>
      </c>
      <c r="G296" s="1" t="s">
        <v>10</v>
      </c>
    </row>
    <row r="297" spans="1:7" x14ac:dyDescent="0.3">
      <c r="A297" s="1">
        <v>517</v>
      </c>
      <c r="B297" s="1" t="s">
        <v>1352</v>
      </c>
      <c r="C297" s="1" t="s">
        <v>7285</v>
      </c>
      <c r="D297" s="1" t="s">
        <v>7286</v>
      </c>
      <c r="E297" s="1">
        <v>10000</v>
      </c>
      <c r="F297" s="1" t="s">
        <v>8</v>
      </c>
      <c r="G297" s="1" t="s">
        <v>10</v>
      </c>
    </row>
    <row r="298" spans="1:7" x14ac:dyDescent="0.3">
      <c r="A298" s="1">
        <v>517</v>
      </c>
      <c r="B298" s="1" t="s">
        <v>1352</v>
      </c>
      <c r="C298" s="1" t="s">
        <v>7287</v>
      </c>
      <c r="D298" s="1" t="s">
        <v>7288</v>
      </c>
      <c r="E298" s="1">
        <v>15670</v>
      </c>
      <c r="F298" s="1" t="s">
        <v>8</v>
      </c>
      <c r="G298" s="1" t="s">
        <v>10</v>
      </c>
    </row>
    <row r="299" spans="1:7" x14ac:dyDescent="0.3">
      <c r="A299" s="1">
        <v>517</v>
      </c>
      <c r="B299" s="1" t="s">
        <v>1352</v>
      </c>
      <c r="C299" s="1" t="s">
        <v>7289</v>
      </c>
      <c r="D299" s="1" t="s">
        <v>7290</v>
      </c>
      <c r="E299" s="1">
        <v>6269</v>
      </c>
      <c r="F299" s="1" t="s">
        <v>8</v>
      </c>
      <c r="G299" s="1" t="s">
        <v>10</v>
      </c>
    </row>
    <row r="300" spans="1:7" x14ac:dyDescent="0.3">
      <c r="A300" s="1">
        <v>517</v>
      </c>
      <c r="B300" s="1" t="s">
        <v>1352</v>
      </c>
      <c r="C300" s="1" t="s">
        <v>7291</v>
      </c>
      <c r="D300" s="1" t="s">
        <v>7292</v>
      </c>
      <c r="E300" s="1">
        <v>5400</v>
      </c>
      <c r="F300" s="1" t="s">
        <v>8</v>
      </c>
      <c r="G300" s="1" t="s">
        <v>10</v>
      </c>
    </row>
    <row r="301" spans="1:7" x14ac:dyDescent="0.3">
      <c r="A301" s="1">
        <v>517</v>
      </c>
      <c r="B301" s="1" t="s">
        <v>1352</v>
      </c>
      <c r="C301" s="1" t="s">
        <v>7293</v>
      </c>
      <c r="D301" s="1" t="s">
        <v>7294</v>
      </c>
      <c r="E301" s="1">
        <v>7250</v>
      </c>
      <c r="F301" s="1" t="s">
        <v>8</v>
      </c>
      <c r="G301" s="1" t="s">
        <v>10</v>
      </c>
    </row>
    <row r="302" spans="1:7" x14ac:dyDescent="0.3">
      <c r="A302" s="1">
        <v>517</v>
      </c>
      <c r="B302" s="1" t="s">
        <v>1352</v>
      </c>
      <c r="C302" s="1" t="s">
        <v>7295</v>
      </c>
      <c r="D302" s="1" t="s">
        <v>7296</v>
      </c>
      <c r="E302" s="1">
        <v>3320</v>
      </c>
      <c r="F302" s="1" t="s">
        <v>8</v>
      </c>
      <c r="G302" s="1" t="s">
        <v>10</v>
      </c>
    </row>
    <row r="303" spans="1:7" x14ac:dyDescent="0.3">
      <c r="A303" s="1">
        <v>517</v>
      </c>
      <c r="B303" s="1" t="s">
        <v>1352</v>
      </c>
      <c r="C303" s="1" t="s">
        <v>7297</v>
      </c>
      <c r="D303" s="1" t="s">
        <v>7298</v>
      </c>
      <c r="E303" s="1">
        <v>3005</v>
      </c>
      <c r="F303" s="1" t="s">
        <v>8</v>
      </c>
      <c r="G303" s="1" t="s">
        <v>10</v>
      </c>
    </row>
    <row r="304" spans="1:7" x14ac:dyDescent="0.3">
      <c r="A304" s="1">
        <v>517</v>
      </c>
      <c r="B304" s="1" t="s">
        <v>1352</v>
      </c>
      <c r="C304" s="1" t="s">
        <v>7299</v>
      </c>
      <c r="D304" s="1" t="s">
        <v>7300</v>
      </c>
      <c r="E304" s="1">
        <v>1025</v>
      </c>
      <c r="F304" s="1" t="s">
        <v>8</v>
      </c>
      <c r="G304" s="1" t="s">
        <v>10</v>
      </c>
    </row>
    <row r="305" spans="1:7" x14ac:dyDescent="0.3">
      <c r="A305" s="1">
        <v>517</v>
      </c>
      <c r="B305" s="1" t="s">
        <v>1352</v>
      </c>
      <c r="C305" s="1" t="s">
        <v>1867</v>
      </c>
      <c r="D305" s="1" t="s">
        <v>7301</v>
      </c>
      <c r="E305" s="1">
        <v>2700</v>
      </c>
      <c r="F305" s="1" t="s">
        <v>8</v>
      </c>
      <c r="G305" s="1" t="s">
        <v>10</v>
      </c>
    </row>
    <row r="306" spans="1:7" x14ac:dyDescent="0.3">
      <c r="A306" s="1">
        <v>517</v>
      </c>
      <c r="B306" s="1" t="s">
        <v>1352</v>
      </c>
      <c r="C306" s="1" t="s">
        <v>7302</v>
      </c>
      <c r="D306" s="1" t="s">
        <v>7303</v>
      </c>
      <c r="E306" s="1">
        <v>5600</v>
      </c>
      <c r="F306" s="1" t="s">
        <v>8</v>
      </c>
      <c r="G306" s="1" t="s">
        <v>10</v>
      </c>
    </row>
    <row r="307" spans="1:7" x14ac:dyDescent="0.3">
      <c r="A307" s="1">
        <v>517</v>
      </c>
      <c r="B307" s="1" t="s">
        <v>1352</v>
      </c>
      <c r="C307" s="1" t="s">
        <v>1901</v>
      </c>
      <c r="D307" s="1" t="s">
        <v>7304</v>
      </c>
      <c r="E307" s="1">
        <v>7500</v>
      </c>
      <c r="F307" s="1" t="s">
        <v>8</v>
      </c>
      <c r="G307" s="1" t="s">
        <v>10</v>
      </c>
    </row>
    <row r="308" spans="1:7" x14ac:dyDescent="0.3">
      <c r="A308" s="1">
        <v>517</v>
      </c>
      <c r="B308" s="1" t="s">
        <v>1352</v>
      </c>
      <c r="C308" s="1" t="s">
        <v>7305</v>
      </c>
      <c r="D308" s="1" t="s">
        <v>7306</v>
      </c>
      <c r="E308" s="1">
        <v>5000</v>
      </c>
      <c r="F308" s="1" t="s">
        <v>8</v>
      </c>
      <c r="G308" s="1" t="s">
        <v>10</v>
      </c>
    </row>
    <row r="309" spans="1:7" x14ac:dyDescent="0.3">
      <c r="A309" s="1">
        <v>517</v>
      </c>
      <c r="B309" s="1" t="s">
        <v>1352</v>
      </c>
      <c r="C309" s="1" t="s">
        <v>7307</v>
      </c>
      <c r="D309" s="1" t="s">
        <v>7308</v>
      </c>
      <c r="E309" s="1">
        <v>2920</v>
      </c>
      <c r="F309" s="1" t="s">
        <v>8</v>
      </c>
      <c r="G309" s="1" t="s">
        <v>10</v>
      </c>
    </row>
    <row r="310" spans="1:7" x14ac:dyDescent="0.3">
      <c r="A310" s="1">
        <v>517</v>
      </c>
      <c r="B310" s="1" t="s">
        <v>1352</v>
      </c>
      <c r="C310" s="1" t="s">
        <v>7309</v>
      </c>
      <c r="D310" s="1" t="s">
        <v>7310</v>
      </c>
      <c r="E310" s="1">
        <v>2910</v>
      </c>
      <c r="F310" s="1" t="s">
        <v>8</v>
      </c>
      <c r="G310" s="1" t="s">
        <v>10</v>
      </c>
    </row>
    <row r="311" spans="1:7" x14ac:dyDescent="0.3">
      <c r="A311" s="1">
        <v>517</v>
      </c>
      <c r="B311" s="1" t="s">
        <v>1352</v>
      </c>
      <c r="C311" s="1" t="s">
        <v>7311</v>
      </c>
      <c r="D311" s="1" t="s">
        <v>7312</v>
      </c>
      <c r="E311" s="1">
        <v>10000</v>
      </c>
      <c r="F311" s="1" t="s">
        <v>8</v>
      </c>
      <c r="G311" s="1" t="s">
        <v>10</v>
      </c>
    </row>
    <row r="312" spans="1:7" x14ac:dyDescent="0.3">
      <c r="A312" s="1">
        <v>517</v>
      </c>
      <c r="B312" s="1" t="s">
        <v>1352</v>
      </c>
      <c r="C312" s="1" t="s">
        <v>7313</v>
      </c>
      <c r="D312" s="1" t="s">
        <v>7314</v>
      </c>
      <c r="E312" s="1">
        <v>2690</v>
      </c>
      <c r="F312" s="1" t="s">
        <v>8</v>
      </c>
      <c r="G312" s="1" t="s">
        <v>10</v>
      </c>
    </row>
    <row r="313" spans="1:7" x14ac:dyDescent="0.3">
      <c r="A313" s="1">
        <v>517</v>
      </c>
      <c r="B313" s="1" t="s">
        <v>1352</v>
      </c>
      <c r="C313" s="1" t="s">
        <v>7315</v>
      </c>
      <c r="D313" s="1" t="s">
        <v>7316</v>
      </c>
      <c r="E313" s="1">
        <v>1025</v>
      </c>
      <c r="F313" s="1" t="s">
        <v>8</v>
      </c>
      <c r="G313" s="1" t="s">
        <v>10</v>
      </c>
    </row>
    <row r="314" spans="1:7" x14ac:dyDescent="0.3">
      <c r="A314" s="1">
        <v>517</v>
      </c>
      <c r="B314" s="1" t="s">
        <v>1352</v>
      </c>
      <c r="C314" s="1" t="s">
        <v>7317</v>
      </c>
      <c r="D314" s="1" t="s">
        <v>7318</v>
      </c>
      <c r="E314" s="1">
        <v>2065</v>
      </c>
      <c r="F314" s="1" t="s">
        <v>8</v>
      </c>
      <c r="G314" s="1" t="s">
        <v>10</v>
      </c>
    </row>
    <row r="315" spans="1:7" x14ac:dyDescent="0.3">
      <c r="A315" s="1">
        <v>517</v>
      </c>
      <c r="B315" s="1" t="s">
        <v>1352</v>
      </c>
      <c r="C315" s="1" t="s">
        <v>1937</v>
      </c>
      <c r="D315" s="1" t="s">
        <v>7319</v>
      </c>
      <c r="E315" s="1">
        <v>2910</v>
      </c>
      <c r="F315" s="1" t="s">
        <v>11</v>
      </c>
      <c r="G315" s="1" t="s">
        <v>10</v>
      </c>
    </row>
    <row r="316" spans="1:7" x14ac:dyDescent="0.3">
      <c r="A316" s="1">
        <v>517</v>
      </c>
      <c r="B316" s="1" t="s">
        <v>1352</v>
      </c>
      <c r="C316" s="1" t="s">
        <v>7320</v>
      </c>
      <c r="D316" s="1" t="s">
        <v>7321</v>
      </c>
      <c r="E316" s="1">
        <v>2910</v>
      </c>
      <c r="F316" s="1" t="s">
        <v>8</v>
      </c>
      <c r="G316" s="1" t="s">
        <v>10</v>
      </c>
    </row>
    <row r="317" spans="1:7" x14ac:dyDescent="0.3">
      <c r="A317" s="1">
        <v>517</v>
      </c>
      <c r="B317" s="1" t="s">
        <v>1352</v>
      </c>
      <c r="C317" s="1" t="s">
        <v>7322</v>
      </c>
      <c r="D317" s="1" t="s">
        <v>7323</v>
      </c>
      <c r="E317" s="1">
        <v>4500</v>
      </c>
      <c r="F317" s="1" t="s">
        <v>8</v>
      </c>
      <c r="G317" s="1" t="s">
        <v>10</v>
      </c>
    </row>
    <row r="318" spans="1:7" x14ac:dyDescent="0.3">
      <c r="A318" s="1">
        <v>517</v>
      </c>
      <c r="B318" s="1" t="s">
        <v>1352</v>
      </c>
      <c r="C318" s="1" t="s">
        <v>7324</v>
      </c>
      <c r="D318" s="1" t="s">
        <v>7325</v>
      </c>
      <c r="E318" s="1">
        <v>13260</v>
      </c>
      <c r="F318" s="1" t="s">
        <v>8</v>
      </c>
      <c r="G318" s="1" t="s">
        <v>10</v>
      </c>
    </row>
    <row r="319" spans="1:7" x14ac:dyDescent="0.3">
      <c r="A319" s="1">
        <v>517</v>
      </c>
      <c r="B319" s="1" t="s">
        <v>1352</v>
      </c>
      <c r="C319" s="1" t="s">
        <v>1939</v>
      </c>
      <c r="D319" s="1" t="s">
        <v>7326</v>
      </c>
      <c r="E319" s="1">
        <v>12600</v>
      </c>
      <c r="F319" s="1" t="s">
        <v>8</v>
      </c>
      <c r="G319" s="1" t="s">
        <v>10</v>
      </c>
    </row>
    <row r="320" spans="1:7" x14ac:dyDescent="0.3">
      <c r="A320" s="1">
        <v>517</v>
      </c>
      <c r="B320" s="1" t="s">
        <v>1352</v>
      </c>
      <c r="C320" s="1" t="s">
        <v>7327</v>
      </c>
      <c r="D320" s="1" t="s">
        <v>7328</v>
      </c>
      <c r="E320" s="1">
        <v>2920</v>
      </c>
      <c r="F320" s="1" t="s">
        <v>8</v>
      </c>
      <c r="G320" s="1" t="s">
        <v>10</v>
      </c>
    </row>
    <row r="321" spans="1:7" x14ac:dyDescent="0.3">
      <c r="A321" s="1">
        <v>517</v>
      </c>
      <c r="B321" s="1" t="s">
        <v>1352</v>
      </c>
      <c r="C321" s="1" t="s">
        <v>7329</v>
      </c>
      <c r="D321" s="1" t="s">
        <v>7330</v>
      </c>
      <c r="E321" s="1">
        <v>2710</v>
      </c>
      <c r="F321" s="1" t="s">
        <v>8</v>
      </c>
      <c r="G321" s="1" t="s">
        <v>10</v>
      </c>
    </row>
    <row r="322" spans="1:7" x14ac:dyDescent="0.3">
      <c r="A322" s="1">
        <v>517</v>
      </c>
      <c r="B322" s="1" t="s">
        <v>1352</v>
      </c>
      <c r="C322" s="1" t="s">
        <v>1784</v>
      </c>
      <c r="D322" s="1" t="s">
        <v>7331</v>
      </c>
      <c r="E322" s="1">
        <v>2500</v>
      </c>
      <c r="F322" s="1" t="s">
        <v>8</v>
      </c>
      <c r="G322" s="1" t="s">
        <v>10</v>
      </c>
    </row>
    <row r="323" spans="1:7" x14ac:dyDescent="0.3">
      <c r="A323" s="1">
        <v>517</v>
      </c>
      <c r="B323" s="1" t="s">
        <v>1352</v>
      </c>
      <c r="C323" s="1" t="s">
        <v>7332</v>
      </c>
      <c r="D323" s="1" t="s">
        <v>7333</v>
      </c>
      <c r="E323" s="1">
        <v>12850</v>
      </c>
      <c r="F323" s="1" t="s">
        <v>8</v>
      </c>
      <c r="G323" s="1" t="s">
        <v>10</v>
      </c>
    </row>
    <row r="324" spans="1:7" x14ac:dyDescent="0.3">
      <c r="A324" s="1">
        <v>517</v>
      </c>
      <c r="B324" s="1" t="s">
        <v>1352</v>
      </c>
      <c r="C324" s="1" t="s">
        <v>7334</v>
      </c>
      <c r="D324" s="1" t="s">
        <v>7335</v>
      </c>
      <c r="E324" s="1">
        <v>10350</v>
      </c>
      <c r="F324" s="1" t="s">
        <v>8</v>
      </c>
      <c r="G324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8"/>
  <sheetViews>
    <sheetView workbookViewId="0">
      <selection sqref="A1:E308"/>
    </sheetView>
  </sheetViews>
  <sheetFormatPr defaultRowHeight="14.4" x14ac:dyDescent="0.3"/>
  <cols>
    <col min="1" max="1" width="15.109375" bestFit="1" customWidth="1"/>
    <col min="2" max="2" width="9" bestFit="1" customWidth="1"/>
    <col min="3" max="3" width="77.109375" customWidth="1"/>
    <col min="4" max="4" width="14.6640625" customWidth="1"/>
    <col min="5" max="5" width="18.5546875" customWidth="1"/>
  </cols>
  <sheetData>
    <row r="1" spans="1:5" x14ac:dyDescent="0.3">
      <c r="A1" s="1" t="s">
        <v>2458</v>
      </c>
      <c r="B1" s="1" t="s">
        <v>2459</v>
      </c>
      <c r="C1" s="1" t="s">
        <v>2460</v>
      </c>
      <c r="D1" s="1" t="s">
        <v>2461</v>
      </c>
      <c r="E1" s="1" t="s">
        <v>2462</v>
      </c>
    </row>
    <row r="2" spans="1:5" x14ac:dyDescent="0.3">
      <c r="A2" s="1" t="s">
        <v>238</v>
      </c>
      <c r="B2" s="1">
        <v>65974123</v>
      </c>
      <c r="C2" s="1" t="s">
        <v>2464</v>
      </c>
      <c r="D2" s="1" t="s">
        <v>2465</v>
      </c>
      <c r="E2" s="1">
        <v>257</v>
      </c>
    </row>
    <row r="3" spans="1:5" x14ac:dyDescent="0.3">
      <c r="A3" s="1" t="s">
        <v>56</v>
      </c>
      <c r="B3" s="1">
        <v>69359202</v>
      </c>
      <c r="C3" s="1" t="s">
        <v>2466</v>
      </c>
      <c r="D3" s="1" t="s">
        <v>2465</v>
      </c>
      <c r="E3" s="1">
        <v>204</v>
      </c>
    </row>
    <row r="4" spans="1:5" x14ac:dyDescent="0.3">
      <c r="A4" s="1" t="s">
        <v>672</v>
      </c>
      <c r="B4" s="1">
        <v>63483297</v>
      </c>
      <c r="C4" s="1" t="s">
        <v>2467</v>
      </c>
      <c r="D4" s="1" t="s">
        <v>2463</v>
      </c>
      <c r="E4" s="1">
        <v>482</v>
      </c>
    </row>
    <row r="5" spans="1:5" x14ac:dyDescent="0.3">
      <c r="A5" s="1" t="s">
        <v>1352</v>
      </c>
      <c r="B5" s="1">
        <v>69551715</v>
      </c>
      <c r="C5" s="1" t="s">
        <v>2469</v>
      </c>
      <c r="D5" s="1" t="s">
        <v>2463</v>
      </c>
      <c r="E5" s="1">
        <v>517</v>
      </c>
    </row>
    <row r="6" spans="1:5" x14ac:dyDescent="0.3">
      <c r="A6" s="1" t="s">
        <v>1352</v>
      </c>
      <c r="B6" s="1">
        <v>69551715</v>
      </c>
      <c r="C6" s="1" t="s">
        <v>2469</v>
      </c>
      <c r="D6" s="1" t="s">
        <v>2463</v>
      </c>
      <c r="E6" s="1">
        <v>517</v>
      </c>
    </row>
    <row r="7" spans="1:5" x14ac:dyDescent="0.3">
      <c r="A7" s="1" t="s">
        <v>433</v>
      </c>
      <c r="B7" s="1">
        <v>67915841</v>
      </c>
      <c r="C7" s="1" t="s">
        <v>2470</v>
      </c>
      <c r="D7" s="1" t="s">
        <v>2471</v>
      </c>
      <c r="E7" s="1">
        <v>426</v>
      </c>
    </row>
    <row r="8" spans="1:5" x14ac:dyDescent="0.3">
      <c r="A8" s="1" t="s">
        <v>1502</v>
      </c>
      <c r="B8" s="1">
        <v>64710580</v>
      </c>
      <c r="C8" s="1" t="s">
        <v>2472</v>
      </c>
      <c r="D8" s="1" t="s">
        <v>2471</v>
      </c>
      <c r="E8" s="1">
        <v>612</v>
      </c>
    </row>
    <row r="9" spans="1:5" x14ac:dyDescent="0.3">
      <c r="A9" s="1" t="s">
        <v>2473</v>
      </c>
      <c r="B9" s="1">
        <v>67940188</v>
      </c>
      <c r="C9" s="1" t="s">
        <v>2474</v>
      </c>
      <c r="D9" s="1" t="s">
        <v>2463</v>
      </c>
      <c r="E9" s="1">
        <v>149</v>
      </c>
    </row>
    <row r="10" spans="1:5" x14ac:dyDescent="0.3">
      <c r="A10" s="1" t="s">
        <v>154</v>
      </c>
      <c r="B10" s="1">
        <v>62507168</v>
      </c>
      <c r="C10" s="1" t="s">
        <v>2475</v>
      </c>
      <c r="D10" s="1" t="s">
        <v>2465</v>
      </c>
      <c r="E10" s="1">
        <v>235</v>
      </c>
    </row>
    <row r="11" spans="1:5" x14ac:dyDescent="0.3">
      <c r="A11" s="1" t="s">
        <v>991</v>
      </c>
      <c r="B11" s="1">
        <v>67364829</v>
      </c>
      <c r="C11" s="1" t="s">
        <v>2467</v>
      </c>
      <c r="D11" s="1" t="s">
        <v>2463</v>
      </c>
      <c r="E11" s="1">
        <v>485</v>
      </c>
    </row>
    <row r="12" spans="1:5" x14ac:dyDescent="0.3">
      <c r="A12" s="1" t="s">
        <v>2476</v>
      </c>
      <c r="B12" s="1">
        <v>63350661</v>
      </c>
      <c r="C12" s="1" t="s">
        <v>2477</v>
      </c>
      <c r="D12" s="1" t="s">
        <v>2463</v>
      </c>
      <c r="E12" s="1">
        <v>445</v>
      </c>
    </row>
    <row r="13" spans="1:5" x14ac:dyDescent="0.3">
      <c r="A13" s="1" t="s">
        <v>2478</v>
      </c>
      <c r="B13" s="1">
        <v>62993950</v>
      </c>
      <c r="C13" s="1" t="s">
        <v>2479</v>
      </c>
      <c r="D13" s="1" t="s">
        <v>2471</v>
      </c>
      <c r="E13" s="1">
        <v>619</v>
      </c>
    </row>
    <row r="14" spans="1:5" x14ac:dyDescent="0.3">
      <c r="A14" s="1" t="s">
        <v>1352</v>
      </c>
      <c r="B14" s="1">
        <v>69551715</v>
      </c>
      <c r="C14" s="1" t="s">
        <v>2469</v>
      </c>
      <c r="D14" s="1" t="s">
        <v>2463</v>
      </c>
      <c r="E14" s="1">
        <v>517</v>
      </c>
    </row>
    <row r="15" spans="1:5" x14ac:dyDescent="0.3">
      <c r="A15" s="1" t="s">
        <v>428</v>
      </c>
      <c r="B15" s="1">
        <v>64570711</v>
      </c>
      <c r="C15" s="1" t="s">
        <v>2480</v>
      </c>
      <c r="D15" s="1" t="s">
        <v>2463</v>
      </c>
      <c r="E15" s="1">
        <v>423</v>
      </c>
    </row>
    <row r="16" spans="1:5" x14ac:dyDescent="0.3">
      <c r="A16" s="1" t="s">
        <v>2473</v>
      </c>
      <c r="B16" s="1">
        <v>67940188</v>
      </c>
      <c r="C16" s="1" t="s">
        <v>2474</v>
      </c>
      <c r="D16" s="1" t="s">
        <v>2463</v>
      </c>
      <c r="E16" s="1">
        <v>149</v>
      </c>
    </row>
    <row r="17" spans="1:5" x14ac:dyDescent="0.3">
      <c r="A17" s="1" t="s">
        <v>576</v>
      </c>
      <c r="B17" s="1">
        <v>65255577</v>
      </c>
      <c r="C17" s="1" t="s">
        <v>2481</v>
      </c>
      <c r="D17" s="1" t="s">
        <v>2463</v>
      </c>
      <c r="E17" s="1">
        <v>472</v>
      </c>
    </row>
    <row r="18" spans="1:5" x14ac:dyDescent="0.3">
      <c r="A18" s="1" t="s">
        <v>834</v>
      </c>
      <c r="B18" s="1">
        <v>64423875</v>
      </c>
      <c r="C18" s="1" t="s">
        <v>2467</v>
      </c>
      <c r="D18" s="1" t="s">
        <v>2463</v>
      </c>
      <c r="E18" s="1">
        <v>484</v>
      </c>
    </row>
    <row r="19" spans="1:5" x14ac:dyDescent="0.3">
      <c r="A19" s="1" t="s">
        <v>529</v>
      </c>
      <c r="B19" s="1">
        <v>63929171</v>
      </c>
      <c r="C19" s="1" t="s">
        <v>2481</v>
      </c>
      <c r="D19" s="1" t="s">
        <v>2463</v>
      </c>
      <c r="E19" s="1">
        <v>471</v>
      </c>
    </row>
    <row r="20" spans="1:5" x14ac:dyDescent="0.3">
      <c r="A20" s="1" t="s">
        <v>1394</v>
      </c>
      <c r="B20" s="1">
        <v>64325555</v>
      </c>
      <c r="C20" s="1" t="s">
        <v>2482</v>
      </c>
      <c r="D20" s="1" t="s">
        <v>2463</v>
      </c>
      <c r="E20" s="1">
        <v>563</v>
      </c>
    </row>
    <row r="21" spans="1:5" x14ac:dyDescent="0.3">
      <c r="A21" s="1" t="s">
        <v>2473</v>
      </c>
      <c r="B21" s="1">
        <v>67940188</v>
      </c>
      <c r="C21" s="1" t="s">
        <v>2474</v>
      </c>
      <c r="D21" s="1" t="s">
        <v>2463</v>
      </c>
      <c r="E21" s="1">
        <v>149</v>
      </c>
    </row>
    <row r="22" spans="1:5" x14ac:dyDescent="0.3">
      <c r="A22" s="1" t="s">
        <v>405</v>
      </c>
      <c r="B22" s="1">
        <v>62097849</v>
      </c>
      <c r="C22" s="1" t="s">
        <v>2483</v>
      </c>
      <c r="D22" s="1" t="s">
        <v>2463</v>
      </c>
      <c r="E22" s="1">
        <v>3</v>
      </c>
    </row>
    <row r="23" spans="1:5" x14ac:dyDescent="0.3">
      <c r="A23" s="1" t="s">
        <v>529</v>
      </c>
      <c r="B23" s="1">
        <v>63929171</v>
      </c>
      <c r="C23" s="1" t="s">
        <v>2481</v>
      </c>
      <c r="D23" s="1" t="s">
        <v>2463</v>
      </c>
      <c r="E23" s="1">
        <v>471</v>
      </c>
    </row>
    <row r="24" spans="1:5" x14ac:dyDescent="0.3">
      <c r="A24" s="1" t="s">
        <v>154</v>
      </c>
      <c r="B24" s="1">
        <v>62507168</v>
      </c>
      <c r="C24" s="1" t="s">
        <v>2475</v>
      </c>
      <c r="D24" s="1" t="s">
        <v>2465</v>
      </c>
      <c r="E24" s="1">
        <v>235</v>
      </c>
    </row>
    <row r="25" spans="1:5" x14ac:dyDescent="0.3">
      <c r="A25" s="1" t="s">
        <v>2484</v>
      </c>
      <c r="B25" s="1">
        <v>62811002</v>
      </c>
      <c r="C25" s="1" t="s">
        <v>2485</v>
      </c>
      <c r="D25" s="1" t="s">
        <v>2463</v>
      </c>
      <c r="E25" s="1">
        <v>819</v>
      </c>
    </row>
    <row r="26" spans="1:5" x14ac:dyDescent="0.3">
      <c r="A26" s="1" t="s">
        <v>529</v>
      </c>
      <c r="B26" s="1">
        <v>63929171</v>
      </c>
      <c r="C26" s="1" t="s">
        <v>2481</v>
      </c>
      <c r="D26" s="1" t="s">
        <v>2463</v>
      </c>
      <c r="E26" s="1">
        <v>471</v>
      </c>
    </row>
    <row r="27" spans="1:5" x14ac:dyDescent="0.3">
      <c r="A27" s="1" t="s">
        <v>2484</v>
      </c>
      <c r="B27" s="1">
        <v>62811002</v>
      </c>
      <c r="C27" s="1" t="s">
        <v>2485</v>
      </c>
      <c r="D27" s="1" t="s">
        <v>2463</v>
      </c>
      <c r="E27" s="1">
        <v>819</v>
      </c>
    </row>
    <row r="28" spans="1:5" x14ac:dyDescent="0.3">
      <c r="A28" s="1" t="s">
        <v>1502</v>
      </c>
      <c r="B28" s="1">
        <v>64710580</v>
      </c>
      <c r="C28" s="1" t="s">
        <v>2472</v>
      </c>
      <c r="D28" s="1" t="s">
        <v>2471</v>
      </c>
      <c r="E28" s="1">
        <v>612</v>
      </c>
    </row>
    <row r="29" spans="1:5" x14ac:dyDescent="0.3">
      <c r="A29" s="1" t="s">
        <v>428</v>
      </c>
      <c r="B29" s="1">
        <v>64570711</v>
      </c>
      <c r="C29" s="1" t="s">
        <v>2480</v>
      </c>
      <c r="D29" s="1" t="s">
        <v>2463</v>
      </c>
      <c r="E29" s="1">
        <v>423</v>
      </c>
    </row>
    <row r="30" spans="1:5" x14ac:dyDescent="0.3">
      <c r="A30" s="1" t="s">
        <v>2486</v>
      </c>
      <c r="B30" s="1">
        <v>71481320</v>
      </c>
      <c r="C30" s="1" t="s">
        <v>2487</v>
      </c>
      <c r="D30" s="1" t="s">
        <v>2463</v>
      </c>
      <c r="E30" s="1">
        <v>124</v>
      </c>
    </row>
    <row r="31" spans="1:5" x14ac:dyDescent="0.3">
      <c r="A31" s="1" t="s">
        <v>400</v>
      </c>
      <c r="B31" s="1">
        <v>62409794</v>
      </c>
      <c r="C31" s="1" t="s">
        <v>2488</v>
      </c>
      <c r="D31" s="1" t="s">
        <v>2465</v>
      </c>
      <c r="E31" s="1">
        <v>391</v>
      </c>
    </row>
    <row r="32" spans="1:5" x14ac:dyDescent="0.3">
      <c r="A32" s="1" t="s">
        <v>1645</v>
      </c>
      <c r="B32" s="1">
        <v>65042018</v>
      </c>
      <c r="C32" s="1" t="s">
        <v>2489</v>
      </c>
      <c r="D32" s="1" t="s">
        <v>2471</v>
      </c>
      <c r="E32" s="1">
        <v>636</v>
      </c>
    </row>
    <row r="33" spans="1:5" x14ac:dyDescent="0.3">
      <c r="A33" s="1" t="s">
        <v>1542</v>
      </c>
      <c r="B33" s="1">
        <v>63818426</v>
      </c>
      <c r="C33" s="1" t="s">
        <v>2489</v>
      </c>
      <c r="D33" s="1" t="s">
        <v>2471</v>
      </c>
      <c r="E33" s="1">
        <v>617</v>
      </c>
    </row>
    <row r="34" spans="1:5" x14ac:dyDescent="0.3">
      <c r="A34" s="1" t="s">
        <v>1645</v>
      </c>
      <c r="B34" s="1">
        <v>65042018</v>
      </c>
      <c r="C34" s="1" t="s">
        <v>2489</v>
      </c>
      <c r="D34" s="1" t="s">
        <v>2471</v>
      </c>
      <c r="E34" s="1">
        <v>636</v>
      </c>
    </row>
    <row r="35" spans="1:5" x14ac:dyDescent="0.3">
      <c r="A35" s="1" t="s">
        <v>2486</v>
      </c>
      <c r="B35" s="1">
        <v>71481320</v>
      </c>
      <c r="C35" s="1" t="s">
        <v>2487</v>
      </c>
      <c r="D35" s="1" t="s">
        <v>2463</v>
      </c>
      <c r="E35" s="1">
        <v>124</v>
      </c>
    </row>
    <row r="36" spans="1:5" x14ac:dyDescent="0.3">
      <c r="A36" s="1" t="s">
        <v>1352</v>
      </c>
      <c r="B36" s="1">
        <v>69551715</v>
      </c>
      <c r="C36" s="1" t="s">
        <v>2469</v>
      </c>
      <c r="D36" s="1" t="s">
        <v>2463</v>
      </c>
      <c r="E36" s="1">
        <v>517</v>
      </c>
    </row>
    <row r="37" spans="1:5" x14ac:dyDescent="0.3">
      <c r="A37" s="1" t="s">
        <v>1542</v>
      </c>
      <c r="B37" s="1">
        <v>63818426</v>
      </c>
      <c r="C37" s="1" t="s">
        <v>2489</v>
      </c>
      <c r="D37" s="1" t="s">
        <v>2471</v>
      </c>
      <c r="E37" s="1">
        <v>617</v>
      </c>
    </row>
    <row r="38" spans="1:5" x14ac:dyDescent="0.3">
      <c r="A38" s="1" t="s">
        <v>1975</v>
      </c>
      <c r="B38" s="1">
        <v>70073490</v>
      </c>
      <c r="C38" s="1" t="s">
        <v>2490</v>
      </c>
      <c r="D38" s="1" t="s">
        <v>2463</v>
      </c>
      <c r="E38" s="1">
        <v>738</v>
      </c>
    </row>
    <row r="39" spans="1:5" x14ac:dyDescent="0.3">
      <c r="A39" s="1" t="s">
        <v>2491</v>
      </c>
      <c r="B39" s="1">
        <v>69216509</v>
      </c>
      <c r="C39" s="1" t="s">
        <v>2492</v>
      </c>
      <c r="D39" s="1" t="s">
        <v>2471</v>
      </c>
      <c r="E39" s="1">
        <v>614</v>
      </c>
    </row>
    <row r="40" spans="1:5" x14ac:dyDescent="0.3">
      <c r="A40" s="1" t="s">
        <v>2493</v>
      </c>
      <c r="B40" s="1">
        <v>64187853</v>
      </c>
      <c r="C40" s="1" t="s">
        <v>2494</v>
      </c>
      <c r="D40" s="1" t="s">
        <v>2463</v>
      </c>
      <c r="E40" s="1">
        <v>297</v>
      </c>
    </row>
    <row r="41" spans="1:5" x14ac:dyDescent="0.3">
      <c r="A41" s="1" t="s">
        <v>2495</v>
      </c>
      <c r="B41" s="1">
        <v>62269216</v>
      </c>
      <c r="C41" s="1" t="s">
        <v>2496</v>
      </c>
      <c r="D41" s="1" t="s">
        <v>2465</v>
      </c>
      <c r="E41" s="1">
        <v>324</v>
      </c>
    </row>
    <row r="42" spans="1:5" x14ac:dyDescent="0.3">
      <c r="A42" s="1" t="s">
        <v>1417</v>
      </c>
      <c r="B42" s="1">
        <v>63789450</v>
      </c>
      <c r="C42" s="1" t="s">
        <v>2497</v>
      </c>
      <c r="D42" s="1" t="s">
        <v>2471</v>
      </c>
      <c r="E42" s="1">
        <v>611</v>
      </c>
    </row>
    <row r="43" spans="1:5" x14ac:dyDescent="0.3">
      <c r="A43" s="1" t="s">
        <v>389</v>
      </c>
      <c r="B43" s="1">
        <v>63732254</v>
      </c>
      <c r="C43" s="1" t="s">
        <v>2498</v>
      </c>
      <c r="D43" s="1" t="s">
        <v>2465</v>
      </c>
      <c r="E43" s="1">
        <v>33</v>
      </c>
    </row>
    <row r="44" spans="1:5" x14ac:dyDescent="0.3">
      <c r="A44" s="1" t="s">
        <v>1378</v>
      </c>
      <c r="B44" s="1">
        <v>62330667</v>
      </c>
      <c r="C44" s="1" t="s">
        <v>2499</v>
      </c>
      <c r="D44" s="1" t="s">
        <v>2465</v>
      </c>
      <c r="E44" s="1">
        <v>547</v>
      </c>
    </row>
    <row r="45" spans="1:5" x14ac:dyDescent="0.3">
      <c r="A45" s="1" t="s">
        <v>2500</v>
      </c>
      <c r="B45" s="1">
        <v>66050090</v>
      </c>
      <c r="C45" s="1" t="s">
        <v>2494</v>
      </c>
      <c r="D45" s="1" t="s">
        <v>2463</v>
      </c>
      <c r="E45" s="1">
        <v>295</v>
      </c>
    </row>
    <row r="46" spans="1:5" x14ac:dyDescent="0.3">
      <c r="A46" s="1" t="s">
        <v>2501</v>
      </c>
      <c r="B46" s="1">
        <v>61263001</v>
      </c>
      <c r="C46" s="1" t="s">
        <v>2502</v>
      </c>
      <c r="D46" s="1" t="s">
        <v>2463</v>
      </c>
      <c r="E46" s="1">
        <v>788</v>
      </c>
    </row>
    <row r="47" spans="1:5" x14ac:dyDescent="0.3">
      <c r="A47" s="1" t="s">
        <v>1680</v>
      </c>
      <c r="B47" s="1">
        <v>61268119</v>
      </c>
      <c r="C47" s="1" t="s">
        <v>2503</v>
      </c>
      <c r="D47" s="1" t="s">
        <v>2463</v>
      </c>
      <c r="E47" s="1">
        <v>679</v>
      </c>
    </row>
    <row r="48" spans="1:5" x14ac:dyDescent="0.3">
      <c r="A48" s="1" t="s">
        <v>63</v>
      </c>
      <c r="B48" s="1">
        <v>63534398</v>
      </c>
      <c r="C48" s="1" t="s">
        <v>2504</v>
      </c>
      <c r="D48" s="1" t="s">
        <v>2463</v>
      </c>
      <c r="E48" s="1">
        <v>22</v>
      </c>
    </row>
    <row r="49" spans="1:5" x14ac:dyDescent="0.3">
      <c r="A49" s="1" t="s">
        <v>187</v>
      </c>
      <c r="B49" s="1">
        <v>67134270</v>
      </c>
      <c r="C49" s="1" t="s">
        <v>2505</v>
      </c>
      <c r="D49" s="1" t="s">
        <v>2465</v>
      </c>
      <c r="E49" s="1">
        <v>252</v>
      </c>
    </row>
    <row r="50" spans="1:5" x14ac:dyDescent="0.3">
      <c r="A50" s="1" t="s">
        <v>367</v>
      </c>
      <c r="B50" s="1">
        <v>65189248</v>
      </c>
      <c r="C50" s="1" t="s">
        <v>2506</v>
      </c>
      <c r="D50" s="1" t="s">
        <v>2463</v>
      </c>
      <c r="E50" s="1">
        <v>29</v>
      </c>
    </row>
    <row r="51" spans="1:5" x14ac:dyDescent="0.3">
      <c r="A51" s="1" t="s">
        <v>2507</v>
      </c>
      <c r="B51" s="1">
        <v>63725878</v>
      </c>
      <c r="C51" s="1" t="s">
        <v>2508</v>
      </c>
      <c r="D51" s="1" t="s">
        <v>2471</v>
      </c>
      <c r="E51" s="1">
        <v>635</v>
      </c>
    </row>
    <row r="52" spans="1:5" x14ac:dyDescent="0.3">
      <c r="A52" s="1" t="s">
        <v>2509</v>
      </c>
      <c r="B52" s="1">
        <v>72170352</v>
      </c>
      <c r="C52" s="1" t="s">
        <v>2510</v>
      </c>
      <c r="D52" s="1" t="s">
        <v>2463</v>
      </c>
      <c r="E52" s="1">
        <v>514</v>
      </c>
    </row>
    <row r="53" spans="1:5" x14ac:dyDescent="0.3">
      <c r="A53" s="1" t="s">
        <v>2501</v>
      </c>
      <c r="B53" s="1">
        <v>61263001</v>
      </c>
      <c r="C53" s="1" t="s">
        <v>2502</v>
      </c>
      <c r="D53" s="1" t="s">
        <v>2463</v>
      </c>
      <c r="E53" s="1">
        <v>788</v>
      </c>
    </row>
    <row r="54" spans="1:5" x14ac:dyDescent="0.3">
      <c r="A54" s="1" t="s">
        <v>2495</v>
      </c>
      <c r="B54" s="1">
        <v>62269216</v>
      </c>
      <c r="C54" s="1" t="s">
        <v>2496</v>
      </c>
      <c r="D54" s="1" t="s">
        <v>2465</v>
      </c>
      <c r="E54" s="1">
        <v>324</v>
      </c>
    </row>
    <row r="55" spans="1:5" x14ac:dyDescent="0.3">
      <c r="A55" s="1" t="s">
        <v>2511</v>
      </c>
      <c r="B55" s="1">
        <v>63995603</v>
      </c>
      <c r="C55" s="1" t="s">
        <v>2494</v>
      </c>
      <c r="D55" s="1" t="s">
        <v>2463</v>
      </c>
      <c r="E55" s="1">
        <v>294</v>
      </c>
    </row>
    <row r="56" spans="1:5" x14ac:dyDescent="0.3">
      <c r="A56" s="1" t="s">
        <v>2512</v>
      </c>
      <c r="B56" s="1">
        <v>62019139</v>
      </c>
      <c r="C56" s="1" t="s">
        <v>2513</v>
      </c>
      <c r="D56" s="1" t="s">
        <v>2465</v>
      </c>
      <c r="E56" s="1">
        <v>264</v>
      </c>
    </row>
    <row r="57" spans="1:5" x14ac:dyDescent="0.3">
      <c r="A57" s="1" t="s">
        <v>1378</v>
      </c>
      <c r="B57" s="1">
        <v>62330667</v>
      </c>
      <c r="C57" s="1" t="s">
        <v>2499</v>
      </c>
      <c r="D57" s="1" t="s">
        <v>2465</v>
      </c>
      <c r="E57" s="1">
        <v>547</v>
      </c>
    </row>
    <row r="58" spans="1:5" x14ac:dyDescent="0.3">
      <c r="A58" s="1" t="s">
        <v>2514</v>
      </c>
      <c r="B58" s="1">
        <v>62011308</v>
      </c>
      <c r="C58" s="1" t="s">
        <v>2515</v>
      </c>
      <c r="D58" s="1" t="s">
        <v>2465</v>
      </c>
      <c r="E58" s="1">
        <v>261</v>
      </c>
    </row>
    <row r="59" spans="1:5" x14ac:dyDescent="0.3">
      <c r="A59" s="1" t="s">
        <v>2385</v>
      </c>
      <c r="B59" s="1">
        <v>62570790</v>
      </c>
      <c r="C59" s="1" t="s">
        <v>2516</v>
      </c>
      <c r="D59" s="1" t="s">
        <v>2465</v>
      </c>
      <c r="E59" s="1">
        <v>836</v>
      </c>
    </row>
    <row r="60" spans="1:5" x14ac:dyDescent="0.3">
      <c r="A60" s="1" t="s">
        <v>2511</v>
      </c>
      <c r="B60" s="1">
        <v>63995603</v>
      </c>
      <c r="C60" s="1" t="s">
        <v>2494</v>
      </c>
      <c r="D60" s="1" t="s">
        <v>2463</v>
      </c>
      <c r="E60" s="1">
        <v>294</v>
      </c>
    </row>
    <row r="61" spans="1:5" x14ac:dyDescent="0.3">
      <c r="A61" s="1" t="s">
        <v>2512</v>
      </c>
      <c r="B61" s="1">
        <v>62019139</v>
      </c>
      <c r="C61" s="1" t="s">
        <v>2513</v>
      </c>
      <c r="D61" s="1" t="s">
        <v>2465</v>
      </c>
      <c r="E61" s="1">
        <v>264</v>
      </c>
    </row>
    <row r="62" spans="1:5" x14ac:dyDescent="0.3">
      <c r="A62" s="1" t="s">
        <v>2495</v>
      </c>
      <c r="B62" s="1">
        <v>62269216</v>
      </c>
      <c r="C62" s="1" t="s">
        <v>2496</v>
      </c>
      <c r="D62" s="1" t="s">
        <v>2465</v>
      </c>
      <c r="E62" s="1">
        <v>324</v>
      </c>
    </row>
    <row r="63" spans="1:5" x14ac:dyDescent="0.3">
      <c r="A63" s="1" t="s">
        <v>2514</v>
      </c>
      <c r="B63" s="1">
        <v>62011308</v>
      </c>
      <c r="C63" s="1" t="s">
        <v>2515</v>
      </c>
      <c r="D63" s="1" t="s">
        <v>2465</v>
      </c>
      <c r="E63" s="1">
        <v>261</v>
      </c>
    </row>
    <row r="64" spans="1:5" x14ac:dyDescent="0.3">
      <c r="A64" s="1" t="s">
        <v>2517</v>
      </c>
      <c r="B64" s="1">
        <v>63692627</v>
      </c>
      <c r="C64" s="1" t="s">
        <v>2518</v>
      </c>
      <c r="D64" s="1" t="s">
        <v>2471</v>
      </c>
      <c r="E64" s="1">
        <v>820</v>
      </c>
    </row>
    <row r="65" spans="1:5" x14ac:dyDescent="0.3">
      <c r="A65" s="1" t="s">
        <v>300</v>
      </c>
      <c r="B65" s="1">
        <v>67374360</v>
      </c>
      <c r="C65" s="1" t="s">
        <v>2519</v>
      </c>
      <c r="D65" s="1" t="s">
        <v>2465</v>
      </c>
      <c r="E65" s="1">
        <v>263</v>
      </c>
    </row>
    <row r="66" spans="1:5" x14ac:dyDescent="0.3">
      <c r="A66" s="1" t="s">
        <v>2520</v>
      </c>
      <c r="B66" s="1">
        <v>71619771</v>
      </c>
      <c r="C66" s="1" t="s">
        <v>2521</v>
      </c>
      <c r="D66" s="1" t="s">
        <v>2463</v>
      </c>
      <c r="E66" s="1">
        <v>368</v>
      </c>
    </row>
    <row r="67" spans="1:5" x14ac:dyDescent="0.3">
      <c r="A67" s="1" t="s">
        <v>2057</v>
      </c>
      <c r="B67" s="1">
        <v>68927525</v>
      </c>
      <c r="C67" s="1" t="s">
        <v>2522</v>
      </c>
      <c r="D67" s="1" t="s">
        <v>2463</v>
      </c>
      <c r="E67" s="1">
        <v>768</v>
      </c>
    </row>
    <row r="68" spans="1:5" x14ac:dyDescent="0.3">
      <c r="A68" s="1" t="s">
        <v>14</v>
      </c>
      <c r="B68" s="1">
        <v>64209318</v>
      </c>
      <c r="C68" s="1" t="s">
        <v>2523</v>
      </c>
      <c r="D68" s="1" t="s">
        <v>2463</v>
      </c>
      <c r="E68" s="1">
        <v>154</v>
      </c>
    </row>
    <row r="69" spans="1:5" x14ac:dyDescent="0.3">
      <c r="A69" s="1" t="s">
        <v>1687</v>
      </c>
      <c r="B69" s="1">
        <v>65081250</v>
      </c>
      <c r="C69" s="1" t="s">
        <v>2524</v>
      </c>
      <c r="D69" s="1" t="s">
        <v>2463</v>
      </c>
      <c r="E69" s="1">
        <v>718</v>
      </c>
    </row>
    <row r="70" spans="1:5" x14ac:dyDescent="0.3">
      <c r="A70" s="1" t="s">
        <v>2525</v>
      </c>
      <c r="B70" s="1">
        <v>62746987</v>
      </c>
      <c r="C70" s="1" t="s">
        <v>2510</v>
      </c>
      <c r="D70" s="1" t="s">
        <v>2463</v>
      </c>
      <c r="E70" s="1">
        <v>331</v>
      </c>
    </row>
    <row r="71" spans="1:5" x14ac:dyDescent="0.3">
      <c r="A71" s="1" t="s">
        <v>2526</v>
      </c>
      <c r="B71" s="1">
        <v>69408327</v>
      </c>
      <c r="C71" s="1" t="s">
        <v>2527</v>
      </c>
      <c r="D71" s="1" t="s">
        <v>2463</v>
      </c>
      <c r="E71" s="1">
        <v>559</v>
      </c>
    </row>
    <row r="72" spans="1:5" x14ac:dyDescent="0.3">
      <c r="A72" s="1" t="s">
        <v>2514</v>
      </c>
      <c r="B72" s="1">
        <v>62011308</v>
      </c>
      <c r="C72" s="1" t="s">
        <v>2515</v>
      </c>
      <c r="D72" s="1" t="s">
        <v>2465</v>
      </c>
      <c r="E72" s="1">
        <v>261</v>
      </c>
    </row>
    <row r="73" spans="1:5" x14ac:dyDescent="0.3">
      <c r="A73" s="1" t="s">
        <v>2495</v>
      </c>
      <c r="B73" s="1">
        <v>62269216</v>
      </c>
      <c r="C73" s="1" t="s">
        <v>2496</v>
      </c>
      <c r="D73" s="1" t="s">
        <v>2465</v>
      </c>
      <c r="E73" s="1">
        <v>324</v>
      </c>
    </row>
    <row r="74" spans="1:5" x14ac:dyDescent="0.3">
      <c r="A74" s="1" t="s">
        <v>1378</v>
      </c>
      <c r="B74" s="1">
        <v>62330667</v>
      </c>
      <c r="C74" s="1" t="s">
        <v>2499</v>
      </c>
      <c r="D74" s="1" t="s">
        <v>2465</v>
      </c>
      <c r="E74" s="1">
        <v>547</v>
      </c>
    </row>
    <row r="75" spans="1:5" x14ac:dyDescent="0.3">
      <c r="A75" s="1" t="s">
        <v>1635</v>
      </c>
      <c r="B75" s="1">
        <v>62362402</v>
      </c>
      <c r="C75" s="1" t="s">
        <v>2528</v>
      </c>
      <c r="D75" s="1" t="s">
        <v>2465</v>
      </c>
      <c r="E75" s="1">
        <v>626</v>
      </c>
    </row>
    <row r="76" spans="1:5" x14ac:dyDescent="0.3">
      <c r="A76" s="1" t="s">
        <v>2517</v>
      </c>
      <c r="B76" s="1">
        <v>63692627</v>
      </c>
      <c r="C76" s="1" t="s">
        <v>2518</v>
      </c>
      <c r="D76" s="1" t="s">
        <v>2471</v>
      </c>
      <c r="E76" s="1">
        <v>820</v>
      </c>
    </row>
    <row r="77" spans="1:5" x14ac:dyDescent="0.3">
      <c r="A77" s="1" t="s">
        <v>300</v>
      </c>
      <c r="B77" s="1">
        <v>67374360</v>
      </c>
      <c r="C77" s="1" t="s">
        <v>2519</v>
      </c>
      <c r="D77" s="1" t="s">
        <v>2465</v>
      </c>
      <c r="E77" s="1">
        <v>263</v>
      </c>
    </row>
    <row r="78" spans="1:5" x14ac:dyDescent="0.3">
      <c r="A78" s="1" t="s">
        <v>2056</v>
      </c>
      <c r="B78" s="1">
        <v>67384218</v>
      </c>
      <c r="C78" s="1" t="s">
        <v>2529</v>
      </c>
      <c r="D78" s="1" t="s">
        <v>2463</v>
      </c>
      <c r="E78" s="1">
        <v>762</v>
      </c>
    </row>
    <row r="79" spans="1:5" x14ac:dyDescent="0.3">
      <c r="A79" s="1" t="s">
        <v>300</v>
      </c>
      <c r="B79" s="1">
        <v>67374360</v>
      </c>
      <c r="C79" s="1" t="s">
        <v>2519</v>
      </c>
      <c r="D79" s="1" t="s">
        <v>2465</v>
      </c>
      <c r="E79" s="1">
        <v>263</v>
      </c>
    </row>
    <row r="80" spans="1:5" x14ac:dyDescent="0.3">
      <c r="A80" s="1" t="s">
        <v>2056</v>
      </c>
      <c r="B80" s="1">
        <v>67384218</v>
      </c>
      <c r="C80" s="1" t="s">
        <v>2529</v>
      </c>
      <c r="D80" s="1" t="s">
        <v>2463</v>
      </c>
      <c r="E80" s="1">
        <v>762</v>
      </c>
    </row>
    <row r="81" spans="1:5" x14ac:dyDescent="0.3">
      <c r="A81" s="1" t="s">
        <v>2530</v>
      </c>
      <c r="B81" s="1">
        <v>67372856</v>
      </c>
      <c r="C81" s="1" t="s">
        <v>2531</v>
      </c>
      <c r="D81" s="1" t="s">
        <v>2468</v>
      </c>
      <c r="E81" s="1">
        <v>567</v>
      </c>
    </row>
    <row r="82" spans="1:5" x14ac:dyDescent="0.3">
      <c r="A82" s="1" t="s">
        <v>2532</v>
      </c>
      <c r="B82" s="1">
        <v>60872993</v>
      </c>
      <c r="C82" s="1" t="s">
        <v>2533</v>
      </c>
      <c r="D82" s="1" t="s">
        <v>2465</v>
      </c>
      <c r="E82" s="1">
        <v>152</v>
      </c>
    </row>
    <row r="83" spans="1:5" x14ac:dyDescent="0.3">
      <c r="A83" s="1" t="s">
        <v>2534</v>
      </c>
      <c r="B83" s="1">
        <v>69954275</v>
      </c>
      <c r="C83" s="1" t="s">
        <v>2535</v>
      </c>
      <c r="D83" s="1" t="s">
        <v>2471</v>
      </c>
      <c r="E83" s="1">
        <v>613</v>
      </c>
    </row>
    <row r="84" spans="1:5" x14ac:dyDescent="0.3">
      <c r="A84" s="1" t="s">
        <v>1299</v>
      </c>
      <c r="B84" s="1">
        <v>70152713</v>
      </c>
      <c r="C84" s="1" t="s">
        <v>2536</v>
      </c>
      <c r="D84" s="1" t="s">
        <v>2465</v>
      </c>
      <c r="E84" s="1">
        <v>49</v>
      </c>
    </row>
    <row r="85" spans="1:5" x14ac:dyDescent="0.3">
      <c r="A85" s="1" t="s">
        <v>2537</v>
      </c>
      <c r="B85" s="1">
        <v>70605424</v>
      </c>
      <c r="C85" s="1" t="s">
        <v>2538</v>
      </c>
      <c r="D85" s="1" t="s">
        <v>2463</v>
      </c>
      <c r="E85" s="1">
        <v>37</v>
      </c>
    </row>
    <row r="86" spans="1:5" x14ac:dyDescent="0.3">
      <c r="A86" s="1" t="s">
        <v>2495</v>
      </c>
      <c r="B86" s="1">
        <v>62269216</v>
      </c>
      <c r="C86" s="1" t="s">
        <v>2496</v>
      </c>
      <c r="D86" s="1" t="s">
        <v>2465</v>
      </c>
      <c r="E86" s="1">
        <v>324</v>
      </c>
    </row>
    <row r="87" spans="1:5" x14ac:dyDescent="0.3">
      <c r="A87" s="1" t="s">
        <v>2539</v>
      </c>
      <c r="B87" s="1">
        <v>66371724</v>
      </c>
      <c r="C87" s="1" t="s">
        <v>2540</v>
      </c>
      <c r="D87" s="1" t="s">
        <v>2465</v>
      </c>
      <c r="E87" s="1">
        <v>369</v>
      </c>
    </row>
    <row r="88" spans="1:5" x14ac:dyDescent="0.3">
      <c r="A88" s="1" t="s">
        <v>2537</v>
      </c>
      <c r="B88" s="1">
        <v>70605424</v>
      </c>
      <c r="C88" s="1" t="s">
        <v>2538</v>
      </c>
      <c r="D88" s="1" t="s">
        <v>2463</v>
      </c>
      <c r="E88" s="1">
        <v>37</v>
      </c>
    </row>
    <row r="89" spans="1:5" x14ac:dyDescent="0.3">
      <c r="A89" s="1" t="s">
        <v>55</v>
      </c>
      <c r="B89" s="1">
        <v>62381113</v>
      </c>
      <c r="C89" s="1" t="s">
        <v>2541</v>
      </c>
      <c r="D89" s="1" t="s">
        <v>2465</v>
      </c>
      <c r="E89" s="1">
        <v>19</v>
      </c>
    </row>
    <row r="90" spans="1:5" x14ac:dyDescent="0.3">
      <c r="A90" s="1" t="s">
        <v>2501</v>
      </c>
      <c r="B90" s="1">
        <v>61263001</v>
      </c>
      <c r="C90" s="1" t="s">
        <v>2502</v>
      </c>
      <c r="D90" s="1" t="s">
        <v>2463</v>
      </c>
      <c r="E90" s="1">
        <v>788</v>
      </c>
    </row>
    <row r="91" spans="1:5" x14ac:dyDescent="0.3">
      <c r="A91" s="1" t="s">
        <v>2539</v>
      </c>
      <c r="B91" s="1">
        <v>66371724</v>
      </c>
      <c r="C91" s="1" t="s">
        <v>2540</v>
      </c>
      <c r="D91" s="1" t="s">
        <v>2465</v>
      </c>
      <c r="E91" s="1">
        <v>369</v>
      </c>
    </row>
    <row r="92" spans="1:5" x14ac:dyDescent="0.3">
      <c r="A92" s="1" t="s">
        <v>2385</v>
      </c>
      <c r="B92" s="1">
        <v>62570790</v>
      </c>
      <c r="C92" s="1" t="s">
        <v>2516</v>
      </c>
      <c r="D92" s="1" t="s">
        <v>2465</v>
      </c>
      <c r="E92" s="1">
        <v>836</v>
      </c>
    </row>
    <row r="93" spans="1:5" x14ac:dyDescent="0.3">
      <c r="A93" s="1" t="s">
        <v>2537</v>
      </c>
      <c r="B93" s="1">
        <v>70605424</v>
      </c>
      <c r="C93" s="1" t="s">
        <v>2538</v>
      </c>
      <c r="D93" s="1" t="s">
        <v>2463</v>
      </c>
      <c r="E93" s="1">
        <v>37</v>
      </c>
    </row>
    <row r="94" spans="1:5" x14ac:dyDescent="0.3">
      <c r="A94" s="1" t="s">
        <v>2542</v>
      </c>
      <c r="B94" s="1">
        <v>62558781</v>
      </c>
      <c r="C94" s="1" t="s">
        <v>2543</v>
      </c>
      <c r="D94" s="1" t="s">
        <v>2463</v>
      </c>
      <c r="E94" s="1">
        <v>640</v>
      </c>
    </row>
    <row r="95" spans="1:5" x14ac:dyDescent="0.3">
      <c r="A95" s="1" t="s">
        <v>1680</v>
      </c>
      <c r="B95" s="1">
        <v>61268119</v>
      </c>
      <c r="C95" s="1" t="s">
        <v>2503</v>
      </c>
      <c r="D95" s="1" t="s">
        <v>2463</v>
      </c>
      <c r="E95" s="1">
        <v>679</v>
      </c>
    </row>
    <row r="96" spans="1:5" x14ac:dyDescent="0.3">
      <c r="A96" s="1" t="s">
        <v>2539</v>
      </c>
      <c r="B96" s="1">
        <v>66371724</v>
      </c>
      <c r="C96" s="1" t="s">
        <v>2540</v>
      </c>
      <c r="D96" s="1" t="s">
        <v>2465</v>
      </c>
      <c r="E96" s="1">
        <v>369</v>
      </c>
    </row>
    <row r="97" spans="1:5" x14ac:dyDescent="0.3">
      <c r="A97" s="1" t="s">
        <v>2539</v>
      </c>
      <c r="B97" s="1">
        <v>66371724</v>
      </c>
      <c r="C97" s="1" t="s">
        <v>2540</v>
      </c>
      <c r="D97" s="1" t="s">
        <v>2465</v>
      </c>
      <c r="E97" s="1">
        <v>369</v>
      </c>
    </row>
    <row r="98" spans="1:5" x14ac:dyDescent="0.3">
      <c r="A98" s="1" t="s">
        <v>1376</v>
      </c>
      <c r="B98" s="1">
        <v>70084530</v>
      </c>
      <c r="C98" s="1" t="s">
        <v>2544</v>
      </c>
      <c r="D98" s="1" t="s">
        <v>2463</v>
      </c>
      <c r="E98" s="1">
        <v>52</v>
      </c>
    </row>
    <row r="99" spans="1:5" x14ac:dyDescent="0.3">
      <c r="A99" s="1" t="s">
        <v>1680</v>
      </c>
      <c r="B99" s="1">
        <v>61268119</v>
      </c>
      <c r="C99" s="1" t="s">
        <v>2503</v>
      </c>
      <c r="D99" s="1" t="s">
        <v>2463</v>
      </c>
      <c r="E99" s="1">
        <v>679</v>
      </c>
    </row>
    <row r="100" spans="1:5" x14ac:dyDescent="0.3">
      <c r="A100" s="1" t="s">
        <v>1635</v>
      </c>
      <c r="B100" s="1">
        <v>62362402</v>
      </c>
      <c r="C100" s="1" t="s">
        <v>2528</v>
      </c>
      <c r="D100" s="1" t="s">
        <v>2465</v>
      </c>
      <c r="E100" s="1">
        <v>626</v>
      </c>
    </row>
    <row r="101" spans="1:5" x14ac:dyDescent="0.3">
      <c r="A101" s="1" t="s">
        <v>528</v>
      </c>
      <c r="B101" s="1">
        <v>65000870</v>
      </c>
      <c r="C101" s="1" t="s">
        <v>2545</v>
      </c>
      <c r="D101" s="1" t="s">
        <v>2463</v>
      </c>
      <c r="E101" s="1">
        <v>461</v>
      </c>
    </row>
    <row r="102" spans="1:5" x14ac:dyDescent="0.3">
      <c r="A102" s="1" t="s">
        <v>2546</v>
      </c>
      <c r="B102" s="1">
        <v>67563694</v>
      </c>
      <c r="C102" s="1" t="s">
        <v>2547</v>
      </c>
      <c r="D102" s="1" t="s">
        <v>2465</v>
      </c>
      <c r="E102" s="1">
        <v>659</v>
      </c>
    </row>
    <row r="103" spans="1:5" x14ac:dyDescent="0.3">
      <c r="A103" s="1" t="s">
        <v>528</v>
      </c>
      <c r="B103" s="1">
        <v>65000870</v>
      </c>
      <c r="C103" s="1" t="s">
        <v>2545</v>
      </c>
      <c r="D103" s="1" t="s">
        <v>2463</v>
      </c>
      <c r="E103" s="1">
        <v>461</v>
      </c>
    </row>
    <row r="104" spans="1:5" x14ac:dyDescent="0.3">
      <c r="A104" s="1" t="s">
        <v>2546</v>
      </c>
      <c r="B104" s="1">
        <v>67563694</v>
      </c>
      <c r="C104" s="1" t="s">
        <v>2547</v>
      </c>
      <c r="D104" s="1" t="s">
        <v>2465</v>
      </c>
      <c r="E104" s="1">
        <v>659</v>
      </c>
    </row>
    <row r="105" spans="1:5" x14ac:dyDescent="0.3">
      <c r="A105" s="1" t="s">
        <v>1376</v>
      </c>
      <c r="B105" s="1">
        <v>70084530</v>
      </c>
      <c r="C105" s="1" t="s">
        <v>2544</v>
      </c>
      <c r="D105" s="1" t="s">
        <v>2463</v>
      </c>
      <c r="E105" s="1">
        <v>52</v>
      </c>
    </row>
    <row r="106" spans="1:5" x14ac:dyDescent="0.3">
      <c r="A106" s="1" t="s">
        <v>2548</v>
      </c>
      <c r="B106" s="1">
        <v>64980243</v>
      </c>
      <c r="C106" s="1" t="s">
        <v>2549</v>
      </c>
      <c r="D106" s="1" t="s">
        <v>2465</v>
      </c>
      <c r="E106" s="1">
        <v>59</v>
      </c>
    </row>
    <row r="107" spans="1:5" x14ac:dyDescent="0.3">
      <c r="A107" s="1" t="s">
        <v>2551</v>
      </c>
      <c r="B107" s="1">
        <v>70100896</v>
      </c>
      <c r="C107" s="1" t="s">
        <v>2552</v>
      </c>
      <c r="D107" s="1" t="s">
        <v>2465</v>
      </c>
      <c r="E107" s="1">
        <v>558</v>
      </c>
    </row>
    <row r="108" spans="1:5" x14ac:dyDescent="0.3">
      <c r="A108" s="1" t="s">
        <v>2553</v>
      </c>
      <c r="B108" s="1">
        <v>64836096</v>
      </c>
      <c r="C108" s="1" t="s">
        <v>2554</v>
      </c>
      <c r="D108" s="1" t="s">
        <v>2465</v>
      </c>
      <c r="E108" s="1">
        <v>258</v>
      </c>
    </row>
    <row r="109" spans="1:5" x14ac:dyDescent="0.3">
      <c r="A109" s="1" t="s">
        <v>2555</v>
      </c>
      <c r="B109" s="1">
        <v>61787507</v>
      </c>
      <c r="C109" s="1" t="s">
        <v>2556</v>
      </c>
      <c r="D109" s="1" t="s">
        <v>2463</v>
      </c>
      <c r="E109" s="1">
        <v>356</v>
      </c>
    </row>
    <row r="110" spans="1:5" x14ac:dyDescent="0.3">
      <c r="A110" s="1" t="s">
        <v>2557</v>
      </c>
      <c r="B110" s="1">
        <v>70296995</v>
      </c>
      <c r="C110" s="1" t="s">
        <v>2558</v>
      </c>
      <c r="D110" s="1" t="s">
        <v>2471</v>
      </c>
      <c r="E110" s="1">
        <v>133</v>
      </c>
    </row>
    <row r="111" spans="1:5" x14ac:dyDescent="0.3">
      <c r="A111" s="1" t="s">
        <v>2553</v>
      </c>
      <c r="B111" s="1">
        <v>64836096</v>
      </c>
      <c r="C111" s="1" t="s">
        <v>2554</v>
      </c>
      <c r="D111" s="1" t="s">
        <v>2465</v>
      </c>
      <c r="E111" s="1">
        <v>258</v>
      </c>
    </row>
    <row r="112" spans="1:5" x14ac:dyDescent="0.3">
      <c r="A112" s="1" t="s">
        <v>2555</v>
      </c>
      <c r="B112" s="1">
        <v>61787507</v>
      </c>
      <c r="C112" s="1" t="s">
        <v>2556</v>
      </c>
      <c r="D112" s="1" t="s">
        <v>2463</v>
      </c>
      <c r="E112" s="1">
        <v>356</v>
      </c>
    </row>
    <row r="113" spans="1:5" x14ac:dyDescent="0.3">
      <c r="A113" s="1" t="s">
        <v>1299</v>
      </c>
      <c r="B113" s="1">
        <v>70152713</v>
      </c>
      <c r="C113" s="1" t="s">
        <v>2536</v>
      </c>
      <c r="D113" s="1" t="s">
        <v>2465</v>
      </c>
      <c r="E113" s="1">
        <v>49</v>
      </c>
    </row>
    <row r="114" spans="1:5" x14ac:dyDescent="0.3">
      <c r="A114" s="1" t="s">
        <v>2559</v>
      </c>
      <c r="B114" s="1">
        <v>64716899</v>
      </c>
      <c r="C114" s="1" t="s">
        <v>2560</v>
      </c>
      <c r="D114" s="1" t="s">
        <v>2463</v>
      </c>
      <c r="E114" s="1">
        <v>489</v>
      </c>
    </row>
    <row r="115" spans="1:5" x14ac:dyDescent="0.3">
      <c r="A115" s="1" t="s">
        <v>2561</v>
      </c>
      <c r="B115" s="1">
        <v>70073600</v>
      </c>
      <c r="C115" s="1" t="s">
        <v>2562</v>
      </c>
      <c r="D115" s="1" t="s">
        <v>2465</v>
      </c>
      <c r="E115" s="1">
        <v>265</v>
      </c>
    </row>
    <row r="116" spans="1:5" x14ac:dyDescent="0.3">
      <c r="A116" s="1" t="s">
        <v>2563</v>
      </c>
      <c r="B116" s="1">
        <v>61907332</v>
      </c>
      <c r="C116" s="1" t="s">
        <v>2564</v>
      </c>
      <c r="D116" s="1" t="s">
        <v>2463</v>
      </c>
      <c r="E116" s="1">
        <v>309</v>
      </c>
    </row>
    <row r="117" spans="1:5" x14ac:dyDescent="0.3">
      <c r="A117" s="1" t="s">
        <v>2565</v>
      </c>
      <c r="B117" s="1">
        <v>70033480</v>
      </c>
      <c r="C117" s="1" t="s">
        <v>2566</v>
      </c>
      <c r="D117" s="1" t="s">
        <v>2463</v>
      </c>
      <c r="E117" s="1">
        <v>562</v>
      </c>
    </row>
    <row r="118" spans="1:5" x14ac:dyDescent="0.3">
      <c r="A118" s="1" t="s">
        <v>2567</v>
      </c>
      <c r="B118" s="1">
        <v>64431100</v>
      </c>
      <c r="C118" s="1" t="s">
        <v>2568</v>
      </c>
      <c r="D118" s="1" t="s">
        <v>2465</v>
      </c>
      <c r="E118" s="1">
        <v>764</v>
      </c>
    </row>
    <row r="119" spans="1:5" x14ac:dyDescent="0.3">
      <c r="A119" s="1" t="s">
        <v>2569</v>
      </c>
      <c r="B119" s="1">
        <v>72733063</v>
      </c>
      <c r="C119" s="1" t="s">
        <v>2485</v>
      </c>
      <c r="D119" s="1" t="s">
        <v>2463</v>
      </c>
      <c r="E119" s="1">
        <v>838</v>
      </c>
    </row>
    <row r="120" spans="1:5" x14ac:dyDescent="0.3">
      <c r="A120" s="1" t="s">
        <v>2570</v>
      </c>
      <c r="B120" s="1">
        <v>66380944</v>
      </c>
      <c r="C120" s="1" t="s">
        <v>2571</v>
      </c>
      <c r="D120" s="1" t="s">
        <v>2468</v>
      </c>
      <c r="E120" s="1">
        <v>353</v>
      </c>
    </row>
    <row r="121" spans="1:5" x14ac:dyDescent="0.3">
      <c r="A121" s="1" t="s">
        <v>2572</v>
      </c>
      <c r="B121" s="1">
        <v>71323210</v>
      </c>
      <c r="C121" s="1" t="s">
        <v>2573</v>
      </c>
      <c r="D121" s="1" t="s">
        <v>2463</v>
      </c>
      <c r="E121" s="1">
        <v>467</v>
      </c>
    </row>
    <row r="122" spans="1:5" x14ac:dyDescent="0.3">
      <c r="A122" s="1" t="s">
        <v>2574</v>
      </c>
      <c r="B122" s="1">
        <v>70379718</v>
      </c>
      <c r="C122" s="1" t="s">
        <v>2575</v>
      </c>
      <c r="D122" s="1" t="s">
        <v>2465</v>
      </c>
      <c r="E122" s="1">
        <v>424</v>
      </c>
    </row>
    <row r="123" spans="1:5" x14ac:dyDescent="0.3">
      <c r="A123" s="1" t="s">
        <v>2576</v>
      </c>
      <c r="B123" s="1">
        <v>70801126</v>
      </c>
      <c r="C123" s="1" t="s">
        <v>2522</v>
      </c>
      <c r="D123" s="1" t="s">
        <v>2463</v>
      </c>
      <c r="E123" s="1">
        <v>864</v>
      </c>
    </row>
    <row r="124" spans="1:5" x14ac:dyDescent="0.3">
      <c r="A124" s="1" t="s">
        <v>2577</v>
      </c>
      <c r="B124" s="1">
        <v>64432564</v>
      </c>
      <c r="C124" s="1" t="s">
        <v>2578</v>
      </c>
      <c r="D124" s="1" t="s">
        <v>2465</v>
      </c>
      <c r="E124" s="1">
        <v>734</v>
      </c>
    </row>
    <row r="125" spans="1:5" x14ac:dyDescent="0.3">
      <c r="A125" s="1" t="s">
        <v>2579</v>
      </c>
      <c r="B125" s="1">
        <v>61797910</v>
      </c>
      <c r="C125" s="1" t="s">
        <v>2580</v>
      </c>
      <c r="D125" s="1" t="s">
        <v>2465</v>
      </c>
      <c r="E125" s="1">
        <v>145</v>
      </c>
    </row>
    <row r="126" spans="1:5" x14ac:dyDescent="0.3">
      <c r="A126" s="1" t="s">
        <v>2581</v>
      </c>
      <c r="B126" s="1">
        <v>64160246</v>
      </c>
      <c r="C126" s="1" t="s">
        <v>2582</v>
      </c>
      <c r="D126" s="1" t="s">
        <v>2471</v>
      </c>
      <c r="E126" s="1">
        <v>621</v>
      </c>
    </row>
    <row r="127" spans="1:5" x14ac:dyDescent="0.3">
      <c r="A127" s="1" t="s">
        <v>2583</v>
      </c>
      <c r="B127" s="1">
        <v>64073351</v>
      </c>
      <c r="C127" s="1" t="s">
        <v>2584</v>
      </c>
      <c r="D127" s="1" t="s">
        <v>2465</v>
      </c>
      <c r="E127" s="1">
        <v>772</v>
      </c>
    </row>
    <row r="128" spans="1:5" x14ac:dyDescent="0.3">
      <c r="A128" s="1" t="s">
        <v>2585</v>
      </c>
      <c r="B128" s="1">
        <v>62407872</v>
      </c>
      <c r="C128" s="1" t="s">
        <v>2586</v>
      </c>
      <c r="D128" s="1" t="s">
        <v>2465</v>
      </c>
      <c r="E128" s="1">
        <v>228</v>
      </c>
    </row>
    <row r="129" spans="1:5" x14ac:dyDescent="0.3">
      <c r="A129" s="1" t="s">
        <v>2587</v>
      </c>
      <c r="B129" s="1">
        <v>61745375</v>
      </c>
      <c r="C129" s="1" t="s">
        <v>2588</v>
      </c>
      <c r="D129" s="1" t="s">
        <v>2465</v>
      </c>
      <c r="E129" s="1">
        <v>549</v>
      </c>
    </row>
    <row r="130" spans="1:5" x14ac:dyDescent="0.3">
      <c r="A130" s="1" t="s">
        <v>2589</v>
      </c>
      <c r="B130" s="1">
        <v>64288196</v>
      </c>
      <c r="C130" s="1" t="s">
        <v>2590</v>
      </c>
      <c r="D130" s="1" t="s">
        <v>2465</v>
      </c>
      <c r="E130" s="1">
        <v>262</v>
      </c>
    </row>
    <row r="131" spans="1:5" x14ac:dyDescent="0.3">
      <c r="A131" s="1" t="s">
        <v>2591</v>
      </c>
      <c r="B131" s="1">
        <v>63547627</v>
      </c>
      <c r="C131" s="1" t="s">
        <v>2592</v>
      </c>
      <c r="D131" s="1" t="s">
        <v>2468</v>
      </c>
      <c r="E131" s="1">
        <v>254</v>
      </c>
    </row>
    <row r="132" spans="1:5" x14ac:dyDescent="0.3">
      <c r="A132" s="1" t="s">
        <v>2593</v>
      </c>
      <c r="B132" s="1">
        <v>63709899</v>
      </c>
      <c r="C132" s="1" t="s">
        <v>2594</v>
      </c>
      <c r="D132" s="1" t="s">
        <v>2471</v>
      </c>
      <c r="E132" s="1">
        <v>618</v>
      </c>
    </row>
    <row r="133" spans="1:5" x14ac:dyDescent="0.3">
      <c r="A133" s="1" t="s">
        <v>2595</v>
      </c>
      <c r="B133" s="1">
        <v>61206466</v>
      </c>
      <c r="C133" s="1" t="s">
        <v>2596</v>
      </c>
      <c r="D133" s="1" t="s">
        <v>2465</v>
      </c>
      <c r="E133" s="1">
        <v>219</v>
      </c>
    </row>
    <row r="134" spans="1:5" x14ac:dyDescent="0.3">
      <c r="A134" s="1" t="s">
        <v>2597</v>
      </c>
      <c r="B134" s="1">
        <v>61448419</v>
      </c>
      <c r="C134" s="1" t="s">
        <v>2598</v>
      </c>
      <c r="D134" s="1" t="s">
        <v>2465</v>
      </c>
      <c r="E134" s="1">
        <v>524</v>
      </c>
    </row>
    <row r="135" spans="1:5" x14ac:dyDescent="0.3">
      <c r="A135" s="1" t="s">
        <v>2599</v>
      </c>
      <c r="B135" s="1">
        <v>63121476</v>
      </c>
      <c r="C135" s="1" t="s">
        <v>2600</v>
      </c>
      <c r="D135" s="1" t="s">
        <v>2465</v>
      </c>
      <c r="E135" s="1">
        <v>303</v>
      </c>
    </row>
    <row r="136" spans="1:5" x14ac:dyDescent="0.3">
      <c r="A136" s="1" t="s">
        <v>2601</v>
      </c>
      <c r="B136" s="1">
        <v>62054317</v>
      </c>
      <c r="C136" s="1" t="s">
        <v>2602</v>
      </c>
      <c r="D136" s="1" t="s">
        <v>2465</v>
      </c>
      <c r="E136" s="1">
        <v>277</v>
      </c>
    </row>
    <row r="137" spans="1:5" x14ac:dyDescent="0.3">
      <c r="A137" s="1" t="s">
        <v>2603</v>
      </c>
      <c r="B137" s="1">
        <v>69821313</v>
      </c>
      <c r="C137" s="1" t="s">
        <v>2604</v>
      </c>
      <c r="D137" s="1" t="s">
        <v>2463</v>
      </c>
      <c r="E137" s="1">
        <v>40</v>
      </c>
    </row>
    <row r="138" spans="1:5" x14ac:dyDescent="0.3">
      <c r="A138" s="1" t="s">
        <v>2605</v>
      </c>
      <c r="B138" s="1">
        <v>61337420</v>
      </c>
      <c r="C138" s="1" t="s">
        <v>2510</v>
      </c>
      <c r="D138" s="1" t="s">
        <v>2463</v>
      </c>
      <c r="E138" s="1">
        <v>332</v>
      </c>
    </row>
    <row r="139" spans="1:5" x14ac:dyDescent="0.3">
      <c r="A139" s="1" t="s">
        <v>2606</v>
      </c>
      <c r="B139" s="1">
        <v>61250996</v>
      </c>
      <c r="C139" s="1" t="s">
        <v>2467</v>
      </c>
      <c r="D139" s="1" t="s">
        <v>2463</v>
      </c>
      <c r="E139" s="1">
        <v>486</v>
      </c>
    </row>
    <row r="140" spans="1:5" x14ac:dyDescent="0.3">
      <c r="A140" s="1" t="s">
        <v>2607</v>
      </c>
      <c r="B140" s="1">
        <v>66187150</v>
      </c>
      <c r="C140" s="1" t="s">
        <v>2608</v>
      </c>
      <c r="D140" s="1" t="s">
        <v>2463</v>
      </c>
      <c r="E140" s="1">
        <v>21</v>
      </c>
    </row>
    <row r="141" spans="1:5" x14ac:dyDescent="0.3">
      <c r="A141" s="1" t="s">
        <v>2609</v>
      </c>
      <c r="B141" s="1">
        <v>69974195</v>
      </c>
      <c r="C141" s="1" t="s">
        <v>2610</v>
      </c>
      <c r="D141" s="1" t="s">
        <v>2463</v>
      </c>
      <c r="E141" s="1">
        <v>134</v>
      </c>
    </row>
    <row r="142" spans="1:5" x14ac:dyDescent="0.3">
      <c r="A142" s="1" t="s">
        <v>2611</v>
      </c>
      <c r="B142" s="1">
        <v>70393095</v>
      </c>
      <c r="C142" s="1" t="s">
        <v>2523</v>
      </c>
      <c r="D142" s="1" t="s">
        <v>2463</v>
      </c>
      <c r="E142" s="1">
        <v>158</v>
      </c>
    </row>
    <row r="143" spans="1:5" x14ac:dyDescent="0.3">
      <c r="A143" s="1" t="s">
        <v>2612</v>
      </c>
      <c r="B143" s="1">
        <v>63293145</v>
      </c>
      <c r="C143" s="1" t="s">
        <v>2613</v>
      </c>
      <c r="D143" s="1" t="s">
        <v>2468</v>
      </c>
      <c r="E143" s="1">
        <v>136</v>
      </c>
    </row>
    <row r="144" spans="1:5" x14ac:dyDescent="0.3">
      <c r="A144" s="1" t="s">
        <v>2614</v>
      </c>
      <c r="B144" s="1">
        <v>63669889</v>
      </c>
      <c r="C144" s="1" t="s">
        <v>2615</v>
      </c>
      <c r="D144" s="1" t="s">
        <v>2471</v>
      </c>
      <c r="E144" s="1">
        <v>253</v>
      </c>
    </row>
    <row r="145" spans="1:5" x14ac:dyDescent="0.3">
      <c r="A145" s="1" t="s">
        <v>2616</v>
      </c>
      <c r="B145" s="1">
        <v>66943221</v>
      </c>
      <c r="C145" s="1" t="s">
        <v>2617</v>
      </c>
      <c r="D145" s="1" t="s">
        <v>2471</v>
      </c>
      <c r="E145" s="1">
        <v>48</v>
      </c>
    </row>
    <row r="146" spans="1:5" x14ac:dyDescent="0.3">
      <c r="A146" s="1" t="s">
        <v>2618</v>
      </c>
      <c r="B146" s="1">
        <v>62815148</v>
      </c>
      <c r="C146" s="1" t="s">
        <v>2619</v>
      </c>
      <c r="D146" s="1" t="s">
        <v>2465</v>
      </c>
      <c r="E146" s="1">
        <v>334</v>
      </c>
    </row>
    <row r="147" spans="1:5" x14ac:dyDescent="0.3">
      <c r="A147" s="1" t="s">
        <v>2620</v>
      </c>
      <c r="B147" s="1">
        <v>62506986</v>
      </c>
      <c r="C147" s="1" t="s">
        <v>2621</v>
      </c>
      <c r="D147" s="1" t="s">
        <v>2465</v>
      </c>
      <c r="E147" s="1">
        <v>188</v>
      </c>
    </row>
    <row r="148" spans="1:5" x14ac:dyDescent="0.3">
      <c r="A148" s="1" t="s">
        <v>2622</v>
      </c>
      <c r="B148" s="1">
        <v>63568799</v>
      </c>
      <c r="C148" s="1" t="s">
        <v>2623</v>
      </c>
      <c r="D148" s="1" t="s">
        <v>2465</v>
      </c>
      <c r="E148" s="1">
        <v>38</v>
      </c>
    </row>
    <row r="149" spans="1:5" x14ac:dyDescent="0.3">
      <c r="A149" s="1" t="s">
        <v>2624</v>
      </c>
      <c r="B149" s="1">
        <v>63658887</v>
      </c>
      <c r="C149" s="1" t="s">
        <v>2625</v>
      </c>
      <c r="D149" s="1" t="s">
        <v>2471</v>
      </c>
      <c r="E149" s="1">
        <v>610</v>
      </c>
    </row>
    <row r="150" spans="1:5" x14ac:dyDescent="0.3">
      <c r="A150" s="1" t="s">
        <v>2627</v>
      </c>
      <c r="B150" s="1">
        <v>69910626</v>
      </c>
      <c r="C150" s="1" t="s">
        <v>2626</v>
      </c>
      <c r="D150" s="1" t="s">
        <v>2465</v>
      </c>
      <c r="E150" s="1">
        <v>43</v>
      </c>
    </row>
    <row r="151" spans="1:5" x14ac:dyDescent="0.3">
      <c r="A151" s="1" t="s">
        <v>2628</v>
      </c>
      <c r="B151" s="1">
        <v>69484929</v>
      </c>
      <c r="C151" s="1" t="s">
        <v>2629</v>
      </c>
      <c r="D151" s="1" t="s">
        <v>2465</v>
      </c>
      <c r="E151" s="1">
        <v>371</v>
      </c>
    </row>
    <row r="152" spans="1:5" x14ac:dyDescent="0.3">
      <c r="A152" s="1" t="s">
        <v>2630</v>
      </c>
      <c r="B152" s="1">
        <v>66251443</v>
      </c>
      <c r="C152" s="1" t="s">
        <v>2631</v>
      </c>
      <c r="D152" s="1" t="s">
        <v>2465</v>
      </c>
      <c r="E152" s="1">
        <v>54</v>
      </c>
    </row>
    <row r="153" spans="1:5" x14ac:dyDescent="0.3">
      <c r="A153" s="1" t="s">
        <v>2632</v>
      </c>
      <c r="B153" s="1">
        <v>66182379</v>
      </c>
      <c r="C153" s="1" t="s">
        <v>2633</v>
      </c>
      <c r="D153" s="1" t="s">
        <v>2465</v>
      </c>
      <c r="E153" s="1">
        <v>706</v>
      </c>
    </row>
    <row r="154" spans="1:5" x14ac:dyDescent="0.3">
      <c r="A154" s="1" t="s">
        <v>2634</v>
      </c>
      <c r="B154" s="1">
        <v>71925945</v>
      </c>
      <c r="C154" s="1" t="s">
        <v>2635</v>
      </c>
      <c r="D154" s="1" t="s">
        <v>2465</v>
      </c>
      <c r="E154" s="1">
        <v>352</v>
      </c>
    </row>
    <row r="155" spans="1:5" x14ac:dyDescent="0.3">
      <c r="A155" s="1" t="s">
        <v>2636</v>
      </c>
      <c r="B155" s="1">
        <v>66135567</v>
      </c>
      <c r="C155" s="1" t="s">
        <v>2637</v>
      </c>
      <c r="D155" s="1" t="s">
        <v>2465</v>
      </c>
      <c r="E155" s="1">
        <v>259</v>
      </c>
    </row>
    <row r="156" spans="1:5" x14ac:dyDescent="0.3">
      <c r="A156" s="1" t="s">
        <v>2638</v>
      </c>
      <c r="B156" s="1">
        <v>69346739</v>
      </c>
      <c r="C156" s="1" t="s">
        <v>2639</v>
      </c>
      <c r="D156" s="1" t="s">
        <v>2465</v>
      </c>
      <c r="E156" s="1">
        <v>208</v>
      </c>
    </row>
    <row r="157" spans="1:5" x14ac:dyDescent="0.3">
      <c r="A157" s="1" t="s">
        <v>2640</v>
      </c>
      <c r="B157" s="1">
        <v>66105277</v>
      </c>
      <c r="C157" s="1" t="s">
        <v>2641</v>
      </c>
      <c r="D157" s="1" t="s">
        <v>2465</v>
      </c>
      <c r="E157" s="1">
        <v>763</v>
      </c>
    </row>
    <row r="158" spans="1:5" x14ac:dyDescent="0.3">
      <c r="A158" s="1" t="s">
        <v>2642</v>
      </c>
      <c r="B158" s="1">
        <v>69286043</v>
      </c>
      <c r="C158" s="1" t="s">
        <v>2643</v>
      </c>
      <c r="D158" s="1" t="s">
        <v>2465</v>
      </c>
      <c r="E158" s="1">
        <v>521</v>
      </c>
    </row>
    <row r="159" spans="1:5" x14ac:dyDescent="0.3">
      <c r="A159" s="1" t="s">
        <v>2645</v>
      </c>
      <c r="B159" s="1">
        <v>65929217</v>
      </c>
      <c r="C159" s="1" t="s">
        <v>2646</v>
      </c>
      <c r="D159" s="1" t="s">
        <v>2465</v>
      </c>
      <c r="E159" s="1">
        <v>61</v>
      </c>
    </row>
    <row r="160" spans="1:5" x14ac:dyDescent="0.3">
      <c r="A160" s="1" t="s">
        <v>2647</v>
      </c>
      <c r="B160" s="1">
        <v>67964524</v>
      </c>
      <c r="C160" s="1" t="s">
        <v>2648</v>
      </c>
      <c r="D160" s="1" t="s">
        <v>2644</v>
      </c>
      <c r="E160" s="1">
        <v>116</v>
      </c>
    </row>
    <row r="161" spans="1:5" x14ac:dyDescent="0.3">
      <c r="A161" s="1" t="s">
        <v>2649</v>
      </c>
      <c r="B161" s="1">
        <v>67923909</v>
      </c>
      <c r="C161" s="1" t="s">
        <v>2650</v>
      </c>
      <c r="D161" s="1" t="s">
        <v>2465</v>
      </c>
      <c r="E161" s="1">
        <v>586</v>
      </c>
    </row>
    <row r="162" spans="1:5" x14ac:dyDescent="0.3">
      <c r="A162" s="1" t="s">
        <v>2651</v>
      </c>
      <c r="B162" s="1">
        <v>67914357</v>
      </c>
      <c r="C162" s="1" t="s">
        <v>2652</v>
      </c>
      <c r="D162" s="1" t="s">
        <v>2465</v>
      </c>
      <c r="E162" s="1">
        <v>709</v>
      </c>
    </row>
    <row r="163" spans="1:5" x14ac:dyDescent="0.3">
      <c r="A163" s="1" t="s">
        <v>2653</v>
      </c>
      <c r="B163" s="1">
        <v>67911218</v>
      </c>
      <c r="C163" s="1" t="s">
        <v>2654</v>
      </c>
      <c r="D163" s="1" t="s">
        <v>2468</v>
      </c>
      <c r="E163" s="1">
        <v>708</v>
      </c>
    </row>
    <row r="164" spans="1:5" x14ac:dyDescent="0.3">
      <c r="A164" s="1" t="s">
        <v>2655</v>
      </c>
      <c r="B164" s="1">
        <v>69682992</v>
      </c>
      <c r="C164" s="1" t="s">
        <v>2656</v>
      </c>
      <c r="D164" s="1" t="s">
        <v>2463</v>
      </c>
      <c r="E164" s="1">
        <v>658</v>
      </c>
    </row>
    <row r="165" spans="1:5" x14ac:dyDescent="0.3">
      <c r="A165" s="1" t="s">
        <v>2657</v>
      </c>
      <c r="B165" s="1">
        <v>65722914</v>
      </c>
      <c r="C165" s="1" t="s">
        <v>2658</v>
      </c>
      <c r="D165" s="1" t="s">
        <v>2465</v>
      </c>
      <c r="E165" s="1">
        <v>86</v>
      </c>
    </row>
    <row r="166" spans="1:5" x14ac:dyDescent="0.3">
      <c r="A166" s="1" t="s">
        <v>2659</v>
      </c>
      <c r="B166" s="1">
        <v>67801536</v>
      </c>
      <c r="C166" s="1" t="s">
        <v>2660</v>
      </c>
      <c r="D166" s="1" t="s">
        <v>2644</v>
      </c>
      <c r="E166" s="1">
        <v>647</v>
      </c>
    </row>
    <row r="167" spans="1:5" x14ac:dyDescent="0.3">
      <c r="A167" s="1" t="s">
        <v>2661</v>
      </c>
      <c r="B167" s="1">
        <v>63451387</v>
      </c>
      <c r="C167" s="1" t="s">
        <v>2662</v>
      </c>
      <c r="D167" s="1" t="s">
        <v>2465</v>
      </c>
      <c r="E167" s="1">
        <v>743</v>
      </c>
    </row>
    <row r="168" spans="1:5" x14ac:dyDescent="0.3">
      <c r="A168" s="1" t="s">
        <v>2663</v>
      </c>
      <c r="B168" s="1">
        <v>67721044</v>
      </c>
      <c r="C168" s="1" t="s">
        <v>2664</v>
      </c>
      <c r="D168" s="1" t="s">
        <v>2468</v>
      </c>
      <c r="E168" s="1">
        <v>415</v>
      </c>
    </row>
    <row r="169" spans="1:5" x14ac:dyDescent="0.3">
      <c r="A169" s="1" t="s">
        <v>2665</v>
      </c>
      <c r="B169" s="1">
        <v>62026968</v>
      </c>
      <c r="C169" s="1" t="s">
        <v>2666</v>
      </c>
      <c r="D169" s="1" t="s">
        <v>2465</v>
      </c>
      <c r="E169" s="1">
        <v>260</v>
      </c>
    </row>
    <row r="170" spans="1:5" x14ac:dyDescent="0.3">
      <c r="A170" s="1" t="s">
        <v>2663</v>
      </c>
      <c r="B170" s="1">
        <v>67721044</v>
      </c>
      <c r="C170" s="1" t="s">
        <v>2664</v>
      </c>
      <c r="D170" s="1" t="s">
        <v>2468</v>
      </c>
      <c r="E170" s="1">
        <v>415</v>
      </c>
    </row>
    <row r="171" spans="1:5" x14ac:dyDescent="0.3">
      <c r="A171" s="1" t="s">
        <v>2665</v>
      </c>
      <c r="B171" s="1">
        <v>62026968</v>
      </c>
      <c r="C171" s="1" t="s">
        <v>2666</v>
      </c>
      <c r="D171" s="1" t="s">
        <v>2465</v>
      </c>
      <c r="E171" s="1">
        <v>260</v>
      </c>
    </row>
    <row r="172" spans="1:5" x14ac:dyDescent="0.3">
      <c r="A172" s="1" t="s">
        <v>2667</v>
      </c>
      <c r="B172" s="1">
        <v>71220550</v>
      </c>
      <c r="C172" s="1" t="s">
        <v>2668</v>
      </c>
      <c r="D172" s="1" t="s">
        <v>2463</v>
      </c>
      <c r="E172" s="1">
        <v>233</v>
      </c>
    </row>
    <row r="173" spans="1:5" x14ac:dyDescent="0.3">
      <c r="A173" s="1" t="s">
        <v>2669</v>
      </c>
      <c r="B173" s="1">
        <v>71278095</v>
      </c>
      <c r="C173" s="1" t="s">
        <v>2670</v>
      </c>
      <c r="D173" s="1" t="s">
        <v>2465</v>
      </c>
      <c r="E173" s="1">
        <v>210</v>
      </c>
    </row>
    <row r="174" spans="1:5" x14ac:dyDescent="0.3">
      <c r="A174" s="1" t="s">
        <v>2671</v>
      </c>
      <c r="B174" s="1">
        <v>67423221</v>
      </c>
      <c r="C174" s="1" t="s">
        <v>2672</v>
      </c>
      <c r="D174" s="1" t="s">
        <v>2471</v>
      </c>
      <c r="E174" s="1">
        <v>616</v>
      </c>
    </row>
    <row r="175" spans="1:5" x14ac:dyDescent="0.3">
      <c r="A175" s="1" t="s">
        <v>2673</v>
      </c>
      <c r="B175" s="1">
        <v>71188738</v>
      </c>
      <c r="C175" s="1" t="s">
        <v>2674</v>
      </c>
      <c r="D175" s="1" t="s">
        <v>2465</v>
      </c>
      <c r="E175" s="1">
        <v>783</v>
      </c>
    </row>
    <row r="176" spans="1:5" x14ac:dyDescent="0.3">
      <c r="A176" s="1" t="s">
        <v>2675</v>
      </c>
      <c r="B176" s="1">
        <v>71160825</v>
      </c>
      <c r="C176" s="1" t="s">
        <v>2676</v>
      </c>
      <c r="D176" s="1" t="s">
        <v>2465</v>
      </c>
      <c r="E176" s="1">
        <v>413</v>
      </c>
    </row>
    <row r="177" spans="1:5" x14ac:dyDescent="0.3">
      <c r="A177" s="1" t="s">
        <v>2677</v>
      </c>
      <c r="B177" s="1">
        <v>71281991</v>
      </c>
      <c r="C177" s="1" t="s">
        <v>2678</v>
      </c>
      <c r="D177" s="1" t="s">
        <v>2465</v>
      </c>
      <c r="E177" s="1">
        <v>227</v>
      </c>
    </row>
    <row r="178" spans="1:5" x14ac:dyDescent="0.3">
      <c r="A178" s="1" t="s">
        <v>2679</v>
      </c>
      <c r="B178" s="1">
        <v>71299866</v>
      </c>
      <c r="C178" s="1" t="s">
        <v>2680</v>
      </c>
      <c r="D178" s="1" t="s">
        <v>2463</v>
      </c>
      <c r="E178" s="1">
        <v>229</v>
      </c>
    </row>
    <row r="179" spans="1:5" x14ac:dyDescent="0.3">
      <c r="A179" s="1" t="s">
        <v>2675</v>
      </c>
      <c r="B179" s="1">
        <v>71160825</v>
      </c>
      <c r="C179" s="1" t="s">
        <v>2676</v>
      </c>
      <c r="D179" s="1" t="s">
        <v>2465</v>
      </c>
      <c r="E179" s="1">
        <v>413</v>
      </c>
    </row>
    <row r="180" spans="1:5" x14ac:dyDescent="0.3">
      <c r="A180" s="1" t="s">
        <v>2681</v>
      </c>
      <c r="B180" s="1">
        <v>71119353</v>
      </c>
      <c r="C180" s="1" t="s">
        <v>2682</v>
      </c>
      <c r="D180" s="1" t="s">
        <v>2465</v>
      </c>
      <c r="E180" s="1">
        <v>195</v>
      </c>
    </row>
    <row r="181" spans="1:5" x14ac:dyDescent="0.3">
      <c r="A181" s="1" t="s">
        <v>2683</v>
      </c>
      <c r="B181" s="1">
        <v>71131078</v>
      </c>
      <c r="C181" s="1" t="s">
        <v>2684</v>
      </c>
      <c r="D181" s="1" t="s">
        <v>2471</v>
      </c>
      <c r="E181" s="1">
        <v>270</v>
      </c>
    </row>
    <row r="182" spans="1:5" x14ac:dyDescent="0.3">
      <c r="A182" s="1" t="s">
        <v>2685</v>
      </c>
      <c r="B182" s="1">
        <v>71132155</v>
      </c>
      <c r="C182" s="1" t="s">
        <v>2686</v>
      </c>
      <c r="D182" s="1" t="s">
        <v>2465</v>
      </c>
      <c r="E182" s="1">
        <v>187</v>
      </c>
    </row>
    <row r="183" spans="1:5" x14ac:dyDescent="0.3">
      <c r="A183" s="1" t="s">
        <v>2687</v>
      </c>
      <c r="B183" s="1">
        <v>71039333</v>
      </c>
      <c r="C183" s="1" t="s">
        <v>2688</v>
      </c>
      <c r="D183" s="1" t="s">
        <v>2463</v>
      </c>
      <c r="E183" s="1">
        <v>858</v>
      </c>
    </row>
    <row r="184" spans="1:5" x14ac:dyDescent="0.3">
      <c r="A184" s="1" t="s">
        <v>2689</v>
      </c>
      <c r="B184" s="1">
        <v>66946590</v>
      </c>
      <c r="C184" s="1" t="s">
        <v>2690</v>
      </c>
      <c r="D184" s="1" t="s">
        <v>2465</v>
      </c>
      <c r="E184" s="1">
        <v>111</v>
      </c>
    </row>
    <row r="185" spans="1:5" x14ac:dyDescent="0.3">
      <c r="A185" s="1" t="s">
        <v>2691</v>
      </c>
      <c r="B185" s="1">
        <v>64833950</v>
      </c>
      <c r="C185" s="1" t="s">
        <v>2692</v>
      </c>
      <c r="D185" s="1" t="s">
        <v>2465</v>
      </c>
      <c r="E185" s="1">
        <v>561</v>
      </c>
    </row>
    <row r="186" spans="1:5" x14ac:dyDescent="0.3">
      <c r="A186" s="1" t="s">
        <v>2693</v>
      </c>
      <c r="B186" s="1">
        <v>66674875</v>
      </c>
      <c r="C186" s="1" t="s">
        <v>2694</v>
      </c>
      <c r="D186" s="1" t="s">
        <v>2468</v>
      </c>
      <c r="E186" s="1">
        <v>181</v>
      </c>
    </row>
    <row r="187" spans="1:5" x14ac:dyDescent="0.3">
      <c r="A187" s="1" t="s">
        <v>2685</v>
      </c>
      <c r="B187" s="1">
        <v>71132155</v>
      </c>
      <c r="C187" s="1" t="s">
        <v>2686</v>
      </c>
      <c r="D187" s="1" t="s">
        <v>2465</v>
      </c>
      <c r="E187" s="1">
        <v>187</v>
      </c>
    </row>
    <row r="188" spans="1:5" x14ac:dyDescent="0.3">
      <c r="A188" s="1" t="s">
        <v>2687</v>
      </c>
      <c r="B188" s="1">
        <v>71039333</v>
      </c>
      <c r="C188" s="1" t="s">
        <v>2688</v>
      </c>
      <c r="D188" s="1" t="s">
        <v>2463</v>
      </c>
      <c r="E188" s="1">
        <v>858</v>
      </c>
    </row>
    <row r="189" spans="1:5" x14ac:dyDescent="0.3">
      <c r="A189" s="1" t="s">
        <v>2689</v>
      </c>
      <c r="B189" s="1">
        <v>66946590</v>
      </c>
      <c r="C189" s="1" t="s">
        <v>2690</v>
      </c>
      <c r="D189" s="1" t="s">
        <v>2465</v>
      </c>
      <c r="E189" s="1">
        <v>111</v>
      </c>
    </row>
    <row r="190" spans="1:5" x14ac:dyDescent="0.3">
      <c r="A190" s="1" t="s">
        <v>2691</v>
      </c>
      <c r="B190" s="1">
        <v>64833950</v>
      </c>
      <c r="C190" s="1" t="s">
        <v>2692</v>
      </c>
      <c r="D190" s="1" t="s">
        <v>2465</v>
      </c>
      <c r="E190" s="1">
        <v>561</v>
      </c>
    </row>
    <row r="191" spans="1:5" x14ac:dyDescent="0.3">
      <c r="A191" s="1" t="s">
        <v>2693</v>
      </c>
      <c r="B191" s="1">
        <v>66674875</v>
      </c>
      <c r="C191" s="1" t="s">
        <v>2694</v>
      </c>
      <c r="D191" s="1" t="s">
        <v>2468</v>
      </c>
      <c r="E191" s="1">
        <v>181</v>
      </c>
    </row>
    <row r="192" spans="1:5" x14ac:dyDescent="0.3">
      <c r="A192" s="1" t="s">
        <v>2695</v>
      </c>
      <c r="B192" s="1">
        <v>72704705</v>
      </c>
      <c r="C192" s="1" t="s">
        <v>2696</v>
      </c>
      <c r="D192" s="1" t="s">
        <v>2465</v>
      </c>
      <c r="E192" s="1">
        <v>751</v>
      </c>
    </row>
    <row r="193" spans="1:5" x14ac:dyDescent="0.3">
      <c r="A193" s="1" t="s">
        <v>2697</v>
      </c>
      <c r="B193" s="1">
        <v>70953899</v>
      </c>
      <c r="C193" s="1" t="s">
        <v>2698</v>
      </c>
      <c r="D193" s="1" t="s">
        <v>2465</v>
      </c>
      <c r="E193" s="1">
        <v>244</v>
      </c>
    </row>
    <row r="194" spans="1:5" x14ac:dyDescent="0.3">
      <c r="A194" s="1" t="s">
        <v>2699</v>
      </c>
      <c r="B194" s="1">
        <v>61682918</v>
      </c>
      <c r="C194" s="1" t="s">
        <v>2523</v>
      </c>
      <c r="D194" s="1" t="s">
        <v>2463</v>
      </c>
      <c r="E194" s="1">
        <v>157</v>
      </c>
    </row>
    <row r="195" spans="1:5" x14ac:dyDescent="0.3">
      <c r="A195" s="1" t="s">
        <v>2700</v>
      </c>
      <c r="B195" s="1">
        <v>70971650</v>
      </c>
      <c r="C195" s="1" t="s">
        <v>2701</v>
      </c>
      <c r="D195" s="1" t="s">
        <v>2465</v>
      </c>
      <c r="E195" s="1">
        <v>173</v>
      </c>
    </row>
    <row r="196" spans="1:5" x14ac:dyDescent="0.3">
      <c r="A196" s="1" t="s">
        <v>2697</v>
      </c>
      <c r="B196" s="1">
        <v>70953899</v>
      </c>
      <c r="C196" s="1" t="s">
        <v>2698</v>
      </c>
      <c r="D196" s="1" t="s">
        <v>2465</v>
      </c>
      <c r="E196" s="1">
        <v>244</v>
      </c>
    </row>
    <row r="197" spans="1:5" x14ac:dyDescent="0.3">
      <c r="A197" s="1" t="s">
        <v>2699</v>
      </c>
      <c r="B197" s="1">
        <v>61682918</v>
      </c>
      <c r="C197" s="1" t="s">
        <v>2523</v>
      </c>
      <c r="D197" s="1" t="s">
        <v>2463</v>
      </c>
      <c r="E197" s="1">
        <v>157</v>
      </c>
    </row>
    <row r="198" spans="1:5" x14ac:dyDescent="0.3">
      <c r="A198" s="1" t="s">
        <v>2702</v>
      </c>
      <c r="B198" s="1">
        <v>71696199</v>
      </c>
      <c r="C198" s="1" t="s">
        <v>2703</v>
      </c>
      <c r="D198" s="1" t="s">
        <v>2465</v>
      </c>
      <c r="E198" s="1">
        <v>573</v>
      </c>
    </row>
    <row r="199" spans="1:5" x14ac:dyDescent="0.3">
      <c r="A199" s="1" t="s">
        <v>2700</v>
      </c>
      <c r="B199" s="1">
        <v>70971650</v>
      </c>
      <c r="C199" s="1" t="s">
        <v>2701</v>
      </c>
      <c r="D199" s="1" t="s">
        <v>2465</v>
      </c>
      <c r="E199" s="1">
        <v>173</v>
      </c>
    </row>
    <row r="200" spans="1:5" x14ac:dyDescent="0.3">
      <c r="A200" s="1" t="s">
        <v>2704</v>
      </c>
      <c r="B200" s="1">
        <v>71519416</v>
      </c>
      <c r="C200" s="1" t="s">
        <v>2705</v>
      </c>
      <c r="D200" s="1" t="s">
        <v>2463</v>
      </c>
      <c r="E200" s="1">
        <v>641</v>
      </c>
    </row>
    <row r="201" spans="1:5" x14ac:dyDescent="0.3">
      <c r="A201" s="1" t="s">
        <v>2706</v>
      </c>
      <c r="B201" s="1">
        <v>73111619</v>
      </c>
      <c r="C201" s="1" t="s">
        <v>2707</v>
      </c>
      <c r="D201" s="1" t="s">
        <v>2465</v>
      </c>
      <c r="E201" s="1">
        <v>42</v>
      </c>
    </row>
    <row r="202" spans="1:5" x14ac:dyDescent="0.3">
      <c r="A202" s="1" t="s">
        <v>2708</v>
      </c>
      <c r="B202" s="1">
        <v>66425492</v>
      </c>
      <c r="C202" s="1" t="s">
        <v>2707</v>
      </c>
      <c r="D202" s="1" t="s">
        <v>2465</v>
      </c>
      <c r="E202" s="1">
        <v>41</v>
      </c>
    </row>
    <row r="203" spans="1:5" x14ac:dyDescent="0.3">
      <c r="A203" s="1" t="s">
        <v>2709</v>
      </c>
      <c r="B203" s="1">
        <v>61919462</v>
      </c>
      <c r="C203" s="1" t="s">
        <v>2710</v>
      </c>
      <c r="D203" s="1" t="s">
        <v>2471</v>
      </c>
      <c r="E203" s="1">
        <v>479</v>
      </c>
    </row>
    <row r="204" spans="1:5" x14ac:dyDescent="0.3">
      <c r="A204" s="1" t="s">
        <v>2708</v>
      </c>
      <c r="B204" s="1">
        <v>66425492</v>
      </c>
      <c r="C204" s="1" t="s">
        <v>2707</v>
      </c>
      <c r="D204" s="1" t="s">
        <v>2465</v>
      </c>
      <c r="E204" s="1">
        <v>41</v>
      </c>
    </row>
    <row r="205" spans="1:5" x14ac:dyDescent="0.3">
      <c r="A205" s="1" t="s">
        <v>2709</v>
      </c>
      <c r="B205" s="1">
        <v>61919462</v>
      </c>
      <c r="C205" s="1" t="s">
        <v>2710</v>
      </c>
      <c r="D205" s="1" t="s">
        <v>2471</v>
      </c>
      <c r="E205" s="1">
        <v>479</v>
      </c>
    </row>
    <row r="206" spans="1:5" x14ac:dyDescent="0.3">
      <c r="A206" s="1" t="s">
        <v>2711</v>
      </c>
      <c r="B206" s="1">
        <v>70797366</v>
      </c>
      <c r="C206" s="1" t="s">
        <v>2712</v>
      </c>
      <c r="D206" s="1" t="s">
        <v>2468</v>
      </c>
      <c r="E206" s="1">
        <v>673</v>
      </c>
    </row>
    <row r="207" spans="1:5" x14ac:dyDescent="0.3">
      <c r="A207" s="1" t="s">
        <v>2713</v>
      </c>
      <c r="B207" s="1">
        <v>70771863</v>
      </c>
      <c r="C207" s="1" t="s">
        <v>2714</v>
      </c>
      <c r="D207" s="1" t="s">
        <v>2465</v>
      </c>
      <c r="E207" s="1">
        <v>373</v>
      </c>
    </row>
    <row r="208" spans="1:5" x14ac:dyDescent="0.3">
      <c r="A208" s="1" t="s">
        <v>2715</v>
      </c>
      <c r="B208" s="1">
        <v>72806893</v>
      </c>
      <c r="C208" s="1" t="s">
        <v>2716</v>
      </c>
      <c r="D208" s="1" t="s">
        <v>2468</v>
      </c>
      <c r="E208" s="1">
        <v>844</v>
      </c>
    </row>
    <row r="209" spans="1:5" x14ac:dyDescent="0.3">
      <c r="A209" s="1" t="s">
        <v>2717</v>
      </c>
      <c r="B209" s="1">
        <v>66114080</v>
      </c>
      <c r="C209" s="1" t="s">
        <v>2710</v>
      </c>
      <c r="D209" s="1" t="s">
        <v>2471</v>
      </c>
      <c r="E209" s="1">
        <v>481</v>
      </c>
    </row>
    <row r="210" spans="1:5" x14ac:dyDescent="0.3">
      <c r="A210" s="1" t="s">
        <v>2718</v>
      </c>
      <c r="B210" s="1">
        <v>72116153</v>
      </c>
      <c r="C210" s="1" t="s">
        <v>2714</v>
      </c>
      <c r="D210" s="1" t="s">
        <v>2465</v>
      </c>
      <c r="E210" s="1">
        <v>519</v>
      </c>
    </row>
    <row r="211" spans="1:5" x14ac:dyDescent="0.3">
      <c r="A211" s="1" t="s">
        <v>2719</v>
      </c>
      <c r="B211" s="1">
        <v>65456548</v>
      </c>
      <c r="C211" s="1" t="s">
        <v>2720</v>
      </c>
      <c r="D211" s="1" t="s">
        <v>2465</v>
      </c>
      <c r="E211" s="1">
        <v>249</v>
      </c>
    </row>
    <row r="212" spans="1:5" x14ac:dyDescent="0.3">
      <c r="A212" s="1" t="s">
        <v>2715</v>
      </c>
      <c r="B212" s="1">
        <v>72806893</v>
      </c>
      <c r="C212" s="1" t="s">
        <v>2716</v>
      </c>
      <c r="D212" s="1" t="s">
        <v>2468</v>
      </c>
      <c r="E212" s="1">
        <v>844</v>
      </c>
    </row>
    <row r="213" spans="1:5" x14ac:dyDescent="0.3">
      <c r="A213" s="1" t="s">
        <v>2717</v>
      </c>
      <c r="B213" s="1">
        <v>66114080</v>
      </c>
      <c r="C213" s="1" t="s">
        <v>2710</v>
      </c>
      <c r="D213" s="1" t="s">
        <v>2471</v>
      </c>
      <c r="E213" s="1">
        <v>481</v>
      </c>
    </row>
    <row r="214" spans="1:5" x14ac:dyDescent="0.3">
      <c r="A214" s="1" t="s">
        <v>2718</v>
      </c>
      <c r="B214" s="1">
        <v>72116153</v>
      </c>
      <c r="C214" s="1" t="s">
        <v>2714</v>
      </c>
      <c r="D214" s="1" t="s">
        <v>2465</v>
      </c>
      <c r="E214" s="1">
        <v>519</v>
      </c>
    </row>
    <row r="215" spans="1:5" x14ac:dyDescent="0.3">
      <c r="A215" s="1" t="s">
        <v>2719</v>
      </c>
      <c r="B215" s="1">
        <v>65456548</v>
      </c>
      <c r="C215" s="1" t="s">
        <v>2720</v>
      </c>
      <c r="D215" s="1" t="s">
        <v>2465</v>
      </c>
      <c r="E215" s="1">
        <v>249</v>
      </c>
    </row>
    <row r="216" spans="1:5" x14ac:dyDescent="0.3">
      <c r="A216" s="1" t="s">
        <v>2721</v>
      </c>
      <c r="B216" s="1">
        <v>64082490</v>
      </c>
      <c r="C216" s="1" t="s">
        <v>2722</v>
      </c>
      <c r="D216" s="1" t="s">
        <v>2465</v>
      </c>
      <c r="E216" s="1">
        <v>117</v>
      </c>
    </row>
    <row r="217" spans="1:5" x14ac:dyDescent="0.3">
      <c r="A217" s="1" t="s">
        <v>2723</v>
      </c>
      <c r="B217" s="1">
        <v>70477280</v>
      </c>
      <c r="C217" s="1" t="s">
        <v>2724</v>
      </c>
      <c r="D217" s="1" t="s">
        <v>2471</v>
      </c>
      <c r="E217" s="1">
        <v>159</v>
      </c>
    </row>
    <row r="218" spans="1:5" x14ac:dyDescent="0.3">
      <c r="A218" s="1" t="s">
        <v>2725</v>
      </c>
      <c r="B218" s="1">
        <v>60348526</v>
      </c>
      <c r="C218" s="1" t="s">
        <v>2726</v>
      </c>
      <c r="D218" s="1" t="s">
        <v>2471</v>
      </c>
      <c r="E218" s="1">
        <v>609</v>
      </c>
    </row>
    <row r="219" spans="1:5" x14ac:dyDescent="0.3">
      <c r="A219" s="1" t="s">
        <v>2611</v>
      </c>
      <c r="B219" s="1">
        <v>70393095</v>
      </c>
      <c r="C219" s="1" t="s">
        <v>2523</v>
      </c>
      <c r="D219" s="1" t="s">
        <v>2463</v>
      </c>
      <c r="E219" s="1">
        <v>158</v>
      </c>
    </row>
    <row r="220" spans="1:5" x14ac:dyDescent="0.3">
      <c r="A220" s="1" t="s">
        <v>2607</v>
      </c>
      <c r="B220" s="1">
        <v>66187150</v>
      </c>
      <c r="C220" s="1" t="s">
        <v>2608</v>
      </c>
      <c r="D220" s="1" t="s">
        <v>2463</v>
      </c>
      <c r="E220" s="1">
        <v>21</v>
      </c>
    </row>
    <row r="221" spans="1:5" x14ac:dyDescent="0.3">
      <c r="A221" s="1" t="s">
        <v>2603</v>
      </c>
      <c r="B221" s="1">
        <v>69821313</v>
      </c>
      <c r="C221" s="1" t="s">
        <v>2604</v>
      </c>
      <c r="D221" s="1" t="s">
        <v>2463</v>
      </c>
      <c r="E221" s="1">
        <v>40</v>
      </c>
    </row>
    <row r="222" spans="1:5" x14ac:dyDescent="0.3">
      <c r="A222" s="1" t="s">
        <v>2727</v>
      </c>
      <c r="B222" s="1">
        <v>67391869</v>
      </c>
      <c r="C222" s="1" t="s">
        <v>2524</v>
      </c>
      <c r="D222" s="1" t="s">
        <v>2463</v>
      </c>
      <c r="E222" s="1">
        <v>715</v>
      </c>
    </row>
    <row r="223" spans="1:5" x14ac:dyDescent="0.3">
      <c r="A223" s="1" t="s">
        <v>2601</v>
      </c>
      <c r="B223" s="1">
        <v>62054317</v>
      </c>
      <c r="C223" s="1" t="s">
        <v>2602</v>
      </c>
      <c r="D223" s="1" t="s">
        <v>2465</v>
      </c>
      <c r="E223" s="1">
        <v>277</v>
      </c>
    </row>
    <row r="224" spans="1:5" x14ac:dyDescent="0.3">
      <c r="A224" s="1" t="s">
        <v>2728</v>
      </c>
      <c r="B224" s="1">
        <v>63327562</v>
      </c>
      <c r="C224" s="1" t="s">
        <v>2729</v>
      </c>
      <c r="D224" s="1" t="s">
        <v>2463</v>
      </c>
      <c r="E224" s="1">
        <v>602</v>
      </c>
    </row>
    <row r="225" spans="1:5" x14ac:dyDescent="0.3">
      <c r="A225" s="1" t="s">
        <v>2606</v>
      </c>
      <c r="B225" s="1">
        <v>61250996</v>
      </c>
      <c r="C225" s="1" t="s">
        <v>2467</v>
      </c>
      <c r="D225" s="1" t="s">
        <v>2463</v>
      </c>
      <c r="E225" s="1">
        <v>486</v>
      </c>
    </row>
    <row r="226" spans="1:5" x14ac:dyDescent="0.3">
      <c r="A226" s="1" t="s">
        <v>2730</v>
      </c>
      <c r="B226" s="1">
        <v>64100200</v>
      </c>
      <c r="C226" s="1" t="s">
        <v>2731</v>
      </c>
      <c r="D226" s="1" t="s">
        <v>2463</v>
      </c>
      <c r="E226" s="1">
        <v>510</v>
      </c>
    </row>
    <row r="227" spans="1:5" x14ac:dyDescent="0.3">
      <c r="A227" s="1" t="s">
        <v>2721</v>
      </c>
      <c r="B227" s="1">
        <v>64082490</v>
      </c>
      <c r="C227" s="1" t="s">
        <v>2722</v>
      </c>
      <c r="D227" s="1" t="s">
        <v>2465</v>
      </c>
      <c r="E227" s="1">
        <v>117</v>
      </c>
    </row>
    <row r="228" spans="1:5" x14ac:dyDescent="0.3">
      <c r="A228" s="1" t="s">
        <v>2723</v>
      </c>
      <c r="B228" s="1">
        <v>70477280</v>
      </c>
      <c r="C228" s="1" t="s">
        <v>2724</v>
      </c>
      <c r="D228" s="1" t="s">
        <v>2471</v>
      </c>
      <c r="E228" s="1">
        <v>159</v>
      </c>
    </row>
    <row r="229" spans="1:5" x14ac:dyDescent="0.3">
      <c r="A229" s="1" t="s">
        <v>2725</v>
      </c>
      <c r="B229" s="1">
        <v>60348526</v>
      </c>
      <c r="C229" s="1" t="s">
        <v>2726</v>
      </c>
      <c r="D229" s="1" t="s">
        <v>2471</v>
      </c>
      <c r="E229" s="1">
        <v>609</v>
      </c>
    </row>
    <row r="230" spans="1:5" x14ac:dyDescent="0.3">
      <c r="A230" s="1" t="s">
        <v>2732</v>
      </c>
      <c r="B230" s="1">
        <v>72080388</v>
      </c>
      <c r="C230" s="1" t="s">
        <v>2733</v>
      </c>
      <c r="D230" s="1" t="s">
        <v>2465</v>
      </c>
      <c r="E230" s="1">
        <v>507</v>
      </c>
    </row>
    <row r="231" spans="1:5" x14ac:dyDescent="0.3">
      <c r="A231" s="1" t="s">
        <v>2734</v>
      </c>
      <c r="B231" s="1">
        <v>70457409</v>
      </c>
      <c r="C231" s="1" t="s">
        <v>2735</v>
      </c>
      <c r="D231" s="1" t="s">
        <v>2465</v>
      </c>
      <c r="E231" s="1">
        <v>597</v>
      </c>
    </row>
    <row r="232" spans="1:5" x14ac:dyDescent="0.3">
      <c r="A232" s="1" t="s">
        <v>2736</v>
      </c>
      <c r="B232" s="1">
        <v>72121505</v>
      </c>
      <c r="C232" s="1" t="s">
        <v>2737</v>
      </c>
      <c r="D232" s="1" t="s">
        <v>2465</v>
      </c>
      <c r="E232" s="1">
        <v>758</v>
      </c>
    </row>
    <row r="233" spans="1:5" x14ac:dyDescent="0.3">
      <c r="A233" s="1" t="s">
        <v>2738</v>
      </c>
      <c r="B233" s="1">
        <v>70346518</v>
      </c>
      <c r="C233" s="1" t="s">
        <v>2739</v>
      </c>
      <c r="D233" s="1" t="s">
        <v>2465</v>
      </c>
      <c r="E233" s="1">
        <v>289</v>
      </c>
    </row>
    <row r="234" spans="1:5" x14ac:dyDescent="0.3">
      <c r="A234" s="1" t="s">
        <v>2740</v>
      </c>
      <c r="B234" s="1">
        <v>72806915</v>
      </c>
      <c r="C234" s="1" t="s">
        <v>2547</v>
      </c>
      <c r="D234" s="1" t="s">
        <v>2465</v>
      </c>
      <c r="E234" s="1">
        <v>778</v>
      </c>
    </row>
    <row r="235" spans="1:5" x14ac:dyDescent="0.3">
      <c r="A235" s="1" t="s">
        <v>2725</v>
      </c>
      <c r="B235" s="1">
        <v>60348526</v>
      </c>
      <c r="C235" s="1" t="s">
        <v>2726</v>
      </c>
      <c r="D235" s="1" t="s">
        <v>2471</v>
      </c>
      <c r="E235" s="1">
        <v>609</v>
      </c>
    </row>
    <row r="236" spans="1:5" x14ac:dyDescent="0.3">
      <c r="A236" s="1" t="s">
        <v>2734</v>
      </c>
      <c r="B236" s="1">
        <v>70457409</v>
      </c>
      <c r="C236" s="1" t="s">
        <v>2735</v>
      </c>
      <c r="D236" s="1" t="s">
        <v>2465</v>
      </c>
      <c r="E236" s="1">
        <v>597</v>
      </c>
    </row>
    <row r="237" spans="1:5" x14ac:dyDescent="0.3">
      <c r="A237" s="1" t="s">
        <v>2738</v>
      </c>
      <c r="B237" s="1">
        <v>70346518</v>
      </c>
      <c r="C237" s="1" t="s">
        <v>2739</v>
      </c>
      <c r="D237" s="1" t="s">
        <v>2465</v>
      </c>
      <c r="E237" s="1">
        <v>289</v>
      </c>
    </row>
    <row r="238" spans="1:5" x14ac:dyDescent="0.3">
      <c r="A238" s="1" t="s">
        <v>2740</v>
      </c>
      <c r="B238" s="1">
        <v>72806915</v>
      </c>
      <c r="C238" s="1" t="s">
        <v>2547</v>
      </c>
      <c r="D238" s="1" t="s">
        <v>2465</v>
      </c>
      <c r="E238" s="1">
        <v>778</v>
      </c>
    </row>
    <row r="239" spans="1:5" x14ac:dyDescent="0.3">
      <c r="A239" s="1" t="s">
        <v>2741</v>
      </c>
      <c r="B239" s="1">
        <v>65786459</v>
      </c>
      <c r="C239" s="1" t="s">
        <v>2710</v>
      </c>
      <c r="D239" s="1" t="s">
        <v>2471</v>
      </c>
      <c r="E239" s="1">
        <v>480</v>
      </c>
    </row>
    <row r="240" spans="1:5" x14ac:dyDescent="0.3">
      <c r="A240" s="1" t="s">
        <v>2742</v>
      </c>
      <c r="B240" s="1">
        <v>61834092</v>
      </c>
      <c r="C240" s="1" t="s">
        <v>2743</v>
      </c>
      <c r="D240" s="1" t="s">
        <v>2471</v>
      </c>
      <c r="E240" s="1">
        <v>14</v>
      </c>
    </row>
    <row r="241" spans="1:5" x14ac:dyDescent="0.3">
      <c r="A241" s="1" t="s">
        <v>2744</v>
      </c>
      <c r="B241" s="1">
        <v>70290130</v>
      </c>
      <c r="C241" s="1" t="s">
        <v>2745</v>
      </c>
      <c r="D241" s="1" t="s">
        <v>2465</v>
      </c>
      <c r="E241" s="1">
        <v>796</v>
      </c>
    </row>
    <row r="242" spans="1:5" x14ac:dyDescent="0.3">
      <c r="A242" s="1" t="s">
        <v>2746</v>
      </c>
      <c r="B242" s="1">
        <v>71289640</v>
      </c>
      <c r="C242" s="1" t="s">
        <v>2747</v>
      </c>
      <c r="D242" s="1" t="s">
        <v>2465</v>
      </c>
      <c r="E242" s="1">
        <v>697</v>
      </c>
    </row>
    <row r="243" spans="1:5" x14ac:dyDescent="0.3">
      <c r="A243" s="1" t="s">
        <v>2748</v>
      </c>
      <c r="B243" s="1">
        <v>64727254</v>
      </c>
      <c r="C243" s="1" t="s">
        <v>2749</v>
      </c>
      <c r="D243" s="1" t="s">
        <v>2463</v>
      </c>
      <c r="E243" s="1">
        <v>182</v>
      </c>
    </row>
    <row r="244" spans="1:5" x14ac:dyDescent="0.3">
      <c r="A244" s="1" t="s">
        <v>2740</v>
      </c>
      <c r="B244" s="1">
        <v>72806915</v>
      </c>
      <c r="C244" s="1" t="s">
        <v>2547</v>
      </c>
      <c r="D244" s="1" t="s">
        <v>2465</v>
      </c>
      <c r="E244" s="1">
        <v>778</v>
      </c>
    </row>
    <row r="245" spans="1:5" x14ac:dyDescent="0.3">
      <c r="A245" s="1" t="s">
        <v>2741</v>
      </c>
      <c r="B245" s="1">
        <v>65786459</v>
      </c>
      <c r="C245" s="1" t="s">
        <v>2710</v>
      </c>
      <c r="D245" s="1" t="s">
        <v>2471</v>
      </c>
      <c r="E245" s="1">
        <v>480</v>
      </c>
    </row>
    <row r="246" spans="1:5" x14ac:dyDescent="0.3">
      <c r="A246" s="1" t="s">
        <v>2742</v>
      </c>
      <c r="B246" s="1">
        <v>61834092</v>
      </c>
      <c r="C246" s="1" t="s">
        <v>2743</v>
      </c>
      <c r="D246" s="1" t="s">
        <v>2471</v>
      </c>
      <c r="E246" s="1">
        <v>14</v>
      </c>
    </row>
    <row r="247" spans="1:5" x14ac:dyDescent="0.3">
      <c r="A247" s="1" t="s">
        <v>2744</v>
      </c>
      <c r="B247" s="1">
        <v>70290130</v>
      </c>
      <c r="C247" s="1" t="s">
        <v>2745</v>
      </c>
      <c r="D247" s="1" t="s">
        <v>2465</v>
      </c>
      <c r="E247" s="1">
        <v>796</v>
      </c>
    </row>
    <row r="248" spans="1:5" x14ac:dyDescent="0.3">
      <c r="A248" s="1" t="s">
        <v>2746</v>
      </c>
      <c r="B248" s="1">
        <v>71289640</v>
      </c>
      <c r="C248" s="1" t="s">
        <v>2747</v>
      </c>
      <c r="D248" s="1" t="s">
        <v>2465</v>
      </c>
      <c r="E248" s="1">
        <v>697</v>
      </c>
    </row>
    <row r="249" spans="1:5" x14ac:dyDescent="0.3">
      <c r="A249" s="1" t="s">
        <v>2750</v>
      </c>
      <c r="B249" s="1">
        <v>72511257</v>
      </c>
      <c r="C249" s="1" t="s">
        <v>2751</v>
      </c>
      <c r="D249" s="1" t="s">
        <v>2465</v>
      </c>
      <c r="E249" s="1">
        <v>675</v>
      </c>
    </row>
    <row r="250" spans="1:5" x14ac:dyDescent="0.3">
      <c r="A250" s="1" t="s">
        <v>2748</v>
      </c>
      <c r="B250" s="1">
        <v>64727254</v>
      </c>
      <c r="C250" s="1" t="s">
        <v>2749</v>
      </c>
      <c r="D250" s="1" t="s">
        <v>2463</v>
      </c>
      <c r="E250" s="1">
        <v>182</v>
      </c>
    </row>
    <row r="251" spans="1:5" x14ac:dyDescent="0.3">
      <c r="A251" s="1" t="s">
        <v>2752</v>
      </c>
      <c r="B251" s="1">
        <v>63913950</v>
      </c>
      <c r="C251" s="1" t="s">
        <v>2753</v>
      </c>
      <c r="D251" s="1" t="s">
        <v>2465</v>
      </c>
      <c r="E251" s="1">
        <v>554</v>
      </c>
    </row>
    <row r="252" spans="1:5" x14ac:dyDescent="0.3">
      <c r="A252" s="1" t="s">
        <v>2744</v>
      </c>
      <c r="B252" s="1">
        <v>70290130</v>
      </c>
      <c r="C252" s="1" t="s">
        <v>2745</v>
      </c>
      <c r="D252" s="1" t="s">
        <v>2465</v>
      </c>
      <c r="E252" s="1">
        <v>796</v>
      </c>
    </row>
    <row r="253" spans="1:5" x14ac:dyDescent="0.3">
      <c r="A253" s="1" t="s">
        <v>2746</v>
      </c>
      <c r="B253" s="1">
        <v>71289640</v>
      </c>
      <c r="C253" s="1" t="s">
        <v>2747</v>
      </c>
      <c r="D253" s="1" t="s">
        <v>2465</v>
      </c>
      <c r="E253" s="1">
        <v>697</v>
      </c>
    </row>
    <row r="254" spans="1:5" x14ac:dyDescent="0.3">
      <c r="A254" s="1" t="s">
        <v>2748</v>
      </c>
      <c r="B254" s="1">
        <v>64727254</v>
      </c>
      <c r="C254" s="1" t="s">
        <v>2749</v>
      </c>
      <c r="D254" s="1" t="s">
        <v>2463</v>
      </c>
      <c r="E254" s="1">
        <v>182</v>
      </c>
    </row>
    <row r="255" spans="1:5" x14ac:dyDescent="0.3">
      <c r="A255" s="1" t="s">
        <v>2752</v>
      </c>
      <c r="B255" s="1">
        <v>63913950</v>
      </c>
      <c r="C255" s="1" t="s">
        <v>2753</v>
      </c>
      <c r="D255" s="1" t="s">
        <v>2465</v>
      </c>
      <c r="E255" s="1">
        <v>554</v>
      </c>
    </row>
    <row r="256" spans="1:5" x14ac:dyDescent="0.3">
      <c r="A256" s="1" t="s">
        <v>2754</v>
      </c>
      <c r="B256" s="1">
        <v>72579390</v>
      </c>
      <c r="C256" s="1" t="s">
        <v>2755</v>
      </c>
      <c r="D256" s="1" t="s">
        <v>2465</v>
      </c>
      <c r="E256" s="1">
        <v>701</v>
      </c>
    </row>
    <row r="257" spans="1:5" x14ac:dyDescent="0.3">
      <c r="A257" s="1" t="s">
        <v>2756</v>
      </c>
      <c r="B257" s="1">
        <v>61802590</v>
      </c>
      <c r="C257" s="1" t="s">
        <v>2757</v>
      </c>
      <c r="D257" s="1" t="s">
        <v>2465</v>
      </c>
      <c r="E257" s="1">
        <v>255</v>
      </c>
    </row>
    <row r="258" spans="1:5" x14ac:dyDescent="0.3">
      <c r="A258" s="1" t="s">
        <v>2758</v>
      </c>
      <c r="B258" s="1">
        <v>64569748</v>
      </c>
      <c r="C258" s="1" t="s">
        <v>2759</v>
      </c>
      <c r="D258" s="1" t="s">
        <v>2465</v>
      </c>
      <c r="E258" s="1">
        <v>256</v>
      </c>
    </row>
    <row r="259" spans="1:5" x14ac:dyDescent="0.3">
      <c r="A259" s="1" t="s">
        <v>2760</v>
      </c>
      <c r="B259" s="1">
        <v>71238581</v>
      </c>
      <c r="C259" s="1" t="s">
        <v>2761</v>
      </c>
      <c r="D259" s="1" t="s">
        <v>2463</v>
      </c>
      <c r="E259" s="1">
        <v>218</v>
      </c>
    </row>
    <row r="260" spans="1:5" x14ac:dyDescent="0.3">
      <c r="A260" s="1" t="s">
        <v>2762</v>
      </c>
      <c r="B260" s="1">
        <v>64510816</v>
      </c>
      <c r="C260" s="1" t="s">
        <v>2763</v>
      </c>
      <c r="D260" s="1" t="s">
        <v>2465</v>
      </c>
      <c r="E260" s="1">
        <v>5</v>
      </c>
    </row>
    <row r="261" spans="1:5" x14ac:dyDescent="0.3">
      <c r="A261" s="1" t="s">
        <v>2752</v>
      </c>
      <c r="B261" s="1">
        <v>63913950</v>
      </c>
      <c r="C261" s="1" t="s">
        <v>2753</v>
      </c>
      <c r="D261" s="1" t="s">
        <v>2465</v>
      </c>
      <c r="E261" s="1">
        <v>554</v>
      </c>
    </row>
    <row r="262" spans="1:5" x14ac:dyDescent="0.3">
      <c r="A262" s="1" t="s">
        <v>2756</v>
      </c>
      <c r="B262" s="1">
        <v>61802590</v>
      </c>
      <c r="C262" s="1" t="s">
        <v>2757</v>
      </c>
      <c r="D262" s="1" t="s">
        <v>2465</v>
      </c>
      <c r="E262" s="1">
        <v>255</v>
      </c>
    </row>
    <row r="263" spans="1:5" x14ac:dyDescent="0.3">
      <c r="A263" s="1" t="s">
        <v>2758</v>
      </c>
      <c r="B263" s="1">
        <v>64569748</v>
      </c>
      <c r="C263" s="1" t="s">
        <v>2759</v>
      </c>
      <c r="D263" s="1" t="s">
        <v>2465</v>
      </c>
      <c r="E263" s="1">
        <v>256</v>
      </c>
    </row>
    <row r="264" spans="1:5" x14ac:dyDescent="0.3">
      <c r="A264" s="1" t="s">
        <v>2760</v>
      </c>
      <c r="B264" s="1">
        <v>71238581</v>
      </c>
      <c r="C264" s="1" t="s">
        <v>2761</v>
      </c>
      <c r="D264" s="1" t="s">
        <v>2463</v>
      </c>
      <c r="E264" s="1">
        <v>218</v>
      </c>
    </row>
    <row r="265" spans="1:5" x14ac:dyDescent="0.3">
      <c r="A265" s="1" t="s">
        <v>2762</v>
      </c>
      <c r="B265" s="1">
        <v>64510816</v>
      </c>
      <c r="C265" s="1" t="s">
        <v>2763</v>
      </c>
      <c r="D265" s="1" t="s">
        <v>2465</v>
      </c>
      <c r="E265" s="1">
        <v>5</v>
      </c>
    </row>
    <row r="266" spans="1:5" x14ac:dyDescent="0.3">
      <c r="A266" s="1" t="s">
        <v>2764</v>
      </c>
      <c r="B266" s="1">
        <v>72803533</v>
      </c>
      <c r="C266" s="1" t="s">
        <v>2765</v>
      </c>
      <c r="D266" s="1" t="s">
        <v>2465</v>
      </c>
      <c r="E266" s="1">
        <v>776</v>
      </c>
    </row>
    <row r="267" spans="1:5" x14ac:dyDescent="0.3">
      <c r="A267" s="1" t="s">
        <v>2766</v>
      </c>
      <c r="B267" s="1">
        <v>64123910</v>
      </c>
      <c r="C267" s="1" t="s">
        <v>2767</v>
      </c>
      <c r="D267" s="1" t="s">
        <v>2465</v>
      </c>
      <c r="E267" s="1">
        <v>168</v>
      </c>
    </row>
    <row r="268" spans="1:5" x14ac:dyDescent="0.3">
      <c r="A268" s="1" t="s">
        <v>2758</v>
      </c>
      <c r="B268" s="1">
        <v>64569748</v>
      </c>
      <c r="C268" s="1" t="s">
        <v>2759</v>
      </c>
      <c r="D268" s="1" t="s">
        <v>2465</v>
      </c>
      <c r="E268" s="1">
        <v>256</v>
      </c>
    </row>
    <row r="269" spans="1:5" x14ac:dyDescent="0.3">
      <c r="A269" s="1" t="s">
        <v>2760</v>
      </c>
      <c r="B269" s="1">
        <v>71238581</v>
      </c>
      <c r="C269" s="1" t="s">
        <v>2761</v>
      </c>
      <c r="D269" s="1" t="s">
        <v>2463</v>
      </c>
      <c r="E269" s="1">
        <v>218</v>
      </c>
    </row>
    <row r="270" spans="1:5" x14ac:dyDescent="0.3">
      <c r="A270" s="1" t="s">
        <v>2762</v>
      </c>
      <c r="B270" s="1">
        <v>64510816</v>
      </c>
      <c r="C270" s="1" t="s">
        <v>2763</v>
      </c>
      <c r="D270" s="1" t="s">
        <v>2465</v>
      </c>
      <c r="E270" s="1">
        <v>5</v>
      </c>
    </row>
    <row r="271" spans="1:5" x14ac:dyDescent="0.3">
      <c r="A271" s="1" t="s">
        <v>2766</v>
      </c>
      <c r="B271" s="1">
        <v>64123910</v>
      </c>
      <c r="C271" s="1" t="s">
        <v>2767</v>
      </c>
      <c r="D271" s="1" t="s">
        <v>2465</v>
      </c>
      <c r="E271" s="1">
        <v>168</v>
      </c>
    </row>
    <row r="272" spans="1:5" x14ac:dyDescent="0.3">
      <c r="A272" s="1" t="s">
        <v>2768</v>
      </c>
      <c r="B272" s="1">
        <v>68381263</v>
      </c>
      <c r="C272" s="1" t="s">
        <v>2769</v>
      </c>
      <c r="D272" s="1" t="s">
        <v>2465</v>
      </c>
      <c r="E272" s="1">
        <v>784</v>
      </c>
    </row>
    <row r="273" spans="1:5" x14ac:dyDescent="0.3">
      <c r="A273" s="1" t="s">
        <v>2770</v>
      </c>
      <c r="B273" s="1">
        <v>63053136</v>
      </c>
      <c r="C273" s="1" t="s">
        <v>2535</v>
      </c>
      <c r="D273" s="1" t="s">
        <v>2471</v>
      </c>
      <c r="E273" s="1">
        <v>631</v>
      </c>
    </row>
    <row r="274" spans="1:5" x14ac:dyDescent="0.3">
      <c r="A274" s="1" t="s">
        <v>2771</v>
      </c>
      <c r="B274" s="1">
        <v>67790011</v>
      </c>
      <c r="C274" s="1" t="s">
        <v>2522</v>
      </c>
      <c r="D274" s="1" t="s">
        <v>2463</v>
      </c>
      <c r="E274" s="1">
        <v>769</v>
      </c>
    </row>
    <row r="275" spans="1:5" x14ac:dyDescent="0.3">
      <c r="A275" s="1" t="s">
        <v>2772</v>
      </c>
      <c r="B275" s="1">
        <v>70347280</v>
      </c>
      <c r="C275" s="1" t="s">
        <v>2773</v>
      </c>
      <c r="D275" s="1" t="s">
        <v>2465</v>
      </c>
      <c r="E275" s="1">
        <v>714</v>
      </c>
    </row>
    <row r="276" spans="1:5" x14ac:dyDescent="0.3">
      <c r="A276" s="1" t="s">
        <v>2727</v>
      </c>
      <c r="B276" s="1">
        <v>67391869</v>
      </c>
      <c r="C276" s="1" t="s">
        <v>2524</v>
      </c>
      <c r="D276" s="1" t="s">
        <v>2463</v>
      </c>
      <c r="E276" s="1">
        <v>715</v>
      </c>
    </row>
    <row r="277" spans="1:5" x14ac:dyDescent="0.3">
      <c r="A277" s="1" t="s">
        <v>2601</v>
      </c>
      <c r="B277" s="1">
        <v>62054317</v>
      </c>
      <c r="C277" s="1" t="s">
        <v>2602</v>
      </c>
      <c r="D277" s="1" t="s">
        <v>2465</v>
      </c>
      <c r="E277" s="1">
        <v>277</v>
      </c>
    </row>
    <row r="278" spans="1:5" x14ac:dyDescent="0.3">
      <c r="A278" s="1" t="s">
        <v>2728</v>
      </c>
      <c r="B278" s="1">
        <v>63327562</v>
      </c>
      <c r="C278" s="1" t="s">
        <v>2729</v>
      </c>
      <c r="D278" s="1" t="s">
        <v>2463</v>
      </c>
      <c r="E278" s="1">
        <v>602</v>
      </c>
    </row>
    <row r="279" spans="1:5" x14ac:dyDescent="0.3">
      <c r="A279" s="1" t="s">
        <v>2774</v>
      </c>
      <c r="B279" s="1">
        <v>70265976</v>
      </c>
      <c r="C279" s="1" t="s">
        <v>2510</v>
      </c>
      <c r="D279" s="1" t="s">
        <v>2463</v>
      </c>
      <c r="E279" s="1">
        <v>333</v>
      </c>
    </row>
    <row r="280" spans="1:5" x14ac:dyDescent="0.3">
      <c r="A280" s="1" t="s">
        <v>2775</v>
      </c>
      <c r="B280" s="1">
        <v>70019142</v>
      </c>
      <c r="C280" s="1" t="s">
        <v>2776</v>
      </c>
      <c r="D280" s="1" t="s">
        <v>2463</v>
      </c>
      <c r="E280" s="1">
        <v>681</v>
      </c>
    </row>
    <row r="281" spans="1:5" x14ac:dyDescent="0.3">
      <c r="A281" s="1" t="s">
        <v>2777</v>
      </c>
      <c r="B281" s="1">
        <v>62103881</v>
      </c>
      <c r="C281" s="1" t="s">
        <v>2778</v>
      </c>
      <c r="D281" s="1" t="s">
        <v>2463</v>
      </c>
      <c r="E281" s="1">
        <v>50</v>
      </c>
    </row>
    <row r="282" spans="1:5" x14ac:dyDescent="0.3">
      <c r="A282" s="1" t="s">
        <v>2779</v>
      </c>
      <c r="B282" s="1">
        <v>65025032</v>
      </c>
      <c r="C282" s="1" t="s">
        <v>2780</v>
      </c>
      <c r="D282" s="1" t="s">
        <v>2463</v>
      </c>
      <c r="E282" s="1">
        <v>680</v>
      </c>
    </row>
    <row r="283" spans="1:5" x14ac:dyDescent="0.3">
      <c r="A283" s="1" t="s">
        <v>2781</v>
      </c>
      <c r="B283" s="1">
        <v>69570612</v>
      </c>
      <c r="C283" s="1" t="s">
        <v>2782</v>
      </c>
      <c r="D283" s="1" t="s">
        <v>2463</v>
      </c>
      <c r="E283" s="1">
        <v>165</v>
      </c>
    </row>
    <row r="284" spans="1:5" x14ac:dyDescent="0.3">
      <c r="A284" s="1" t="s">
        <v>2783</v>
      </c>
      <c r="B284" s="1">
        <v>67824080</v>
      </c>
      <c r="C284" s="1" t="s">
        <v>2784</v>
      </c>
      <c r="D284" s="1" t="s">
        <v>2463</v>
      </c>
      <c r="E284" s="1">
        <v>815</v>
      </c>
    </row>
    <row r="285" spans="1:5" x14ac:dyDescent="0.3">
      <c r="A285" s="1" t="s">
        <v>2785</v>
      </c>
      <c r="B285" s="1">
        <v>64701611</v>
      </c>
      <c r="C285" s="1" t="s">
        <v>2560</v>
      </c>
      <c r="D285" s="1" t="s">
        <v>2463</v>
      </c>
      <c r="E285" s="1">
        <v>488</v>
      </c>
    </row>
    <row r="286" spans="1:5" x14ac:dyDescent="0.3">
      <c r="A286" s="1" t="s">
        <v>2781</v>
      </c>
      <c r="B286" s="1">
        <v>69570612</v>
      </c>
      <c r="C286" s="1" t="s">
        <v>2782</v>
      </c>
      <c r="D286" s="1" t="s">
        <v>2463</v>
      </c>
      <c r="E286" s="1">
        <v>165</v>
      </c>
    </row>
    <row r="287" spans="1:5" x14ac:dyDescent="0.3">
      <c r="A287" s="1" t="s">
        <v>2783</v>
      </c>
      <c r="B287" s="1">
        <v>67824080</v>
      </c>
      <c r="C287" s="1" t="s">
        <v>2784</v>
      </c>
      <c r="D287" s="1" t="s">
        <v>2463</v>
      </c>
      <c r="E287" s="1">
        <v>815</v>
      </c>
    </row>
    <row r="288" spans="1:5" x14ac:dyDescent="0.3">
      <c r="A288" s="1" t="s">
        <v>2786</v>
      </c>
      <c r="B288" s="1">
        <v>65552202</v>
      </c>
      <c r="C288" s="1" t="s">
        <v>2787</v>
      </c>
      <c r="D288" s="1" t="s">
        <v>2463</v>
      </c>
      <c r="E288" s="1">
        <v>9</v>
      </c>
    </row>
    <row r="289" spans="1:5" x14ac:dyDescent="0.3">
      <c r="A289" s="1" t="s">
        <v>2779</v>
      </c>
      <c r="B289" s="1">
        <v>65025032</v>
      </c>
      <c r="C289" s="1" t="s">
        <v>2780</v>
      </c>
      <c r="D289" s="1" t="s">
        <v>2463</v>
      </c>
      <c r="E289" s="1">
        <v>680</v>
      </c>
    </row>
    <row r="290" spans="1:5" x14ac:dyDescent="0.3">
      <c r="A290" s="1" t="s">
        <v>2788</v>
      </c>
      <c r="B290" s="1">
        <v>66796091</v>
      </c>
      <c r="C290" s="1" t="s">
        <v>2538</v>
      </c>
      <c r="D290" s="1" t="s">
        <v>2463</v>
      </c>
      <c r="E290" s="1">
        <v>36</v>
      </c>
    </row>
    <row r="291" spans="1:5" x14ac:dyDescent="0.3">
      <c r="A291" s="1" t="s">
        <v>2789</v>
      </c>
      <c r="B291" s="1">
        <v>62400037</v>
      </c>
      <c r="C291" s="1" t="s">
        <v>2790</v>
      </c>
      <c r="D291" s="1" t="s">
        <v>2463</v>
      </c>
      <c r="E291" s="1">
        <v>425</v>
      </c>
    </row>
    <row r="292" spans="1:5" x14ac:dyDescent="0.3">
      <c r="A292" s="1" t="s">
        <v>2791</v>
      </c>
      <c r="B292" s="1">
        <v>61788627</v>
      </c>
      <c r="C292" s="1" t="s">
        <v>2792</v>
      </c>
      <c r="D292" s="1" t="s">
        <v>2463</v>
      </c>
      <c r="E292" s="1">
        <v>811</v>
      </c>
    </row>
    <row r="293" spans="1:5" x14ac:dyDescent="0.3">
      <c r="A293" s="1" t="s">
        <v>2783</v>
      </c>
      <c r="B293" s="1">
        <v>67824080</v>
      </c>
      <c r="C293" s="1" t="s">
        <v>2784</v>
      </c>
      <c r="D293" s="1" t="s">
        <v>2463</v>
      </c>
      <c r="E293" s="1">
        <v>815</v>
      </c>
    </row>
    <row r="294" spans="1:5" x14ac:dyDescent="0.3">
      <c r="A294" s="1" t="s">
        <v>2793</v>
      </c>
      <c r="B294" s="1">
        <v>63584646</v>
      </c>
      <c r="C294" s="1" t="s">
        <v>2494</v>
      </c>
      <c r="D294" s="1" t="s">
        <v>2463</v>
      </c>
      <c r="E294" s="1">
        <v>292</v>
      </c>
    </row>
    <row r="295" spans="1:5" x14ac:dyDescent="0.3">
      <c r="A295" s="1" t="s">
        <v>2793</v>
      </c>
      <c r="B295" s="1">
        <v>63584646</v>
      </c>
      <c r="C295" s="1" t="s">
        <v>2494</v>
      </c>
      <c r="D295" s="1" t="s">
        <v>2463</v>
      </c>
      <c r="E295" s="1">
        <v>292</v>
      </c>
    </row>
    <row r="296" spans="1:5" x14ac:dyDescent="0.3">
      <c r="A296" s="1" t="s">
        <v>672</v>
      </c>
      <c r="B296" s="1">
        <v>63483297</v>
      </c>
      <c r="C296" s="1" t="s">
        <v>2467</v>
      </c>
      <c r="D296" s="1" t="s">
        <v>2463</v>
      </c>
      <c r="E296" s="1">
        <v>482</v>
      </c>
    </row>
    <row r="297" spans="1:5" x14ac:dyDescent="0.3">
      <c r="A297" s="1" t="s">
        <v>2476</v>
      </c>
      <c r="B297" s="1">
        <v>63350661</v>
      </c>
      <c r="C297" s="1" t="s">
        <v>2477</v>
      </c>
      <c r="D297" s="1" t="s">
        <v>2463</v>
      </c>
      <c r="E297" s="1">
        <v>445</v>
      </c>
    </row>
    <row r="298" spans="1:5" x14ac:dyDescent="0.3">
      <c r="A298" s="1" t="s">
        <v>56</v>
      </c>
      <c r="B298" s="1">
        <v>69359202</v>
      </c>
      <c r="C298" s="1" t="s">
        <v>2466</v>
      </c>
      <c r="D298" s="1" t="s">
        <v>2465</v>
      </c>
      <c r="E298" s="1">
        <v>204</v>
      </c>
    </row>
    <row r="299" spans="1:5" x14ac:dyDescent="0.3">
      <c r="A299" s="1" t="s">
        <v>2794</v>
      </c>
      <c r="B299" s="1">
        <v>62164333</v>
      </c>
      <c r="C299" s="1" t="s">
        <v>2494</v>
      </c>
      <c r="D299" s="1" t="s">
        <v>2463</v>
      </c>
      <c r="E299" s="1">
        <v>290</v>
      </c>
    </row>
    <row r="300" spans="1:5" x14ac:dyDescent="0.3">
      <c r="A300" s="1" t="s">
        <v>2795</v>
      </c>
      <c r="B300" s="1">
        <v>62162969</v>
      </c>
      <c r="C300" s="1" t="s">
        <v>2796</v>
      </c>
      <c r="D300" s="1" t="s">
        <v>2463</v>
      </c>
      <c r="E300" s="1">
        <v>761</v>
      </c>
    </row>
    <row r="301" spans="1:5" x14ac:dyDescent="0.3">
      <c r="A301" s="1" t="s">
        <v>2797</v>
      </c>
      <c r="B301" s="1">
        <v>66793750</v>
      </c>
      <c r="C301" s="1" t="s">
        <v>2494</v>
      </c>
      <c r="D301" s="1" t="s">
        <v>2463</v>
      </c>
      <c r="E301" s="1">
        <v>288</v>
      </c>
    </row>
    <row r="302" spans="1:5" x14ac:dyDescent="0.3">
      <c r="A302" s="1" t="s">
        <v>819</v>
      </c>
      <c r="B302" s="1">
        <v>63719924</v>
      </c>
      <c r="C302" s="1" t="s">
        <v>2467</v>
      </c>
      <c r="D302" s="1" t="s">
        <v>2463</v>
      </c>
      <c r="E302" s="1">
        <v>483</v>
      </c>
    </row>
    <row r="303" spans="1:5" x14ac:dyDescent="0.3">
      <c r="A303" s="1" t="s">
        <v>2798</v>
      </c>
      <c r="B303" s="1">
        <v>64311066</v>
      </c>
      <c r="C303" s="1" t="s">
        <v>2494</v>
      </c>
      <c r="D303" s="1" t="s">
        <v>2463</v>
      </c>
      <c r="E303" s="1">
        <v>298</v>
      </c>
    </row>
    <row r="304" spans="1:5" x14ac:dyDescent="0.3">
      <c r="A304" s="1" t="s">
        <v>1352</v>
      </c>
      <c r="B304" s="1">
        <v>69551715</v>
      </c>
      <c r="C304" s="1" t="s">
        <v>2469</v>
      </c>
      <c r="D304" s="1" t="s">
        <v>2463</v>
      </c>
      <c r="E304" s="1">
        <v>517</v>
      </c>
    </row>
    <row r="305" spans="1:5" x14ac:dyDescent="0.3">
      <c r="A305" s="1" t="s">
        <v>834</v>
      </c>
      <c r="B305" s="1">
        <v>64423875</v>
      </c>
      <c r="C305" s="1" t="s">
        <v>2467</v>
      </c>
      <c r="D305" s="1" t="s">
        <v>2463</v>
      </c>
      <c r="E305" s="1">
        <v>484</v>
      </c>
    </row>
    <row r="306" spans="1:5" x14ac:dyDescent="0.3">
      <c r="A306" s="1" t="s">
        <v>1293</v>
      </c>
      <c r="B306" s="1">
        <v>70543763</v>
      </c>
      <c r="C306" s="1" t="s">
        <v>2467</v>
      </c>
      <c r="D306" s="1" t="s">
        <v>2463</v>
      </c>
      <c r="E306" s="1">
        <v>487</v>
      </c>
    </row>
    <row r="307" spans="1:5" x14ac:dyDescent="0.3">
      <c r="A307" s="1" t="s">
        <v>2799</v>
      </c>
      <c r="B307" s="1">
        <v>63641682</v>
      </c>
      <c r="C307" s="1" t="s">
        <v>2494</v>
      </c>
      <c r="D307" s="1" t="s">
        <v>2463</v>
      </c>
      <c r="E307" s="1">
        <v>293</v>
      </c>
    </row>
    <row r="308" spans="1:5" x14ac:dyDescent="0.3">
      <c r="A308" s="1" t="s">
        <v>433</v>
      </c>
      <c r="B308" s="1">
        <v>67915841</v>
      </c>
      <c r="C308" s="1" t="s">
        <v>2470</v>
      </c>
      <c r="D308" s="1" t="s">
        <v>2471</v>
      </c>
      <c r="E308" s="1">
        <v>426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E3B8E5-6A8A-4602-8986-E16FB7C5CD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</vt:lpstr>
      <vt:lpstr>NF-e de Entrada</vt:lpstr>
      <vt:lpstr>NF-e de Saída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2026-06-22T15:48:14Z</dcterms:modified>
</cp:coreProperties>
</file>